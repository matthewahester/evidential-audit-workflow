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saneei2014\"/>
    </mc:Choice>
  </mc:AlternateContent>
  <xr:revisionPtr revIDLastSave="0" documentId="13_ncr:1_{58F70FD4-BD16-4F90-9966-BA535506B56D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aneei_diet_sb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K8" i="1" s="1"/>
  <c r="J9" i="1"/>
  <c r="J10" i="1"/>
  <c r="K10" i="1" s="1"/>
  <c r="J11" i="1"/>
  <c r="J12" i="1"/>
  <c r="J13" i="1"/>
  <c r="K13" i="1" s="1"/>
  <c r="J14" i="1"/>
  <c r="K14" i="1" s="1"/>
  <c r="J15" i="1"/>
  <c r="K15" i="1" s="1"/>
  <c r="J16" i="1"/>
  <c r="K16" i="1" s="1"/>
  <c r="J17" i="1"/>
  <c r="K17" i="1" s="1"/>
  <c r="J18" i="1"/>
  <c r="J19" i="1"/>
  <c r="J20" i="1"/>
  <c r="K20" i="1" s="1"/>
  <c r="J21" i="1"/>
  <c r="J22" i="1"/>
  <c r="K22" i="1" s="1"/>
  <c r="J23" i="1"/>
  <c r="J5" i="1"/>
  <c r="K5" i="1" s="1"/>
  <c r="J3" i="1"/>
  <c r="K3" i="1" s="1"/>
  <c r="J4" i="1"/>
  <c r="K4" i="1" s="1"/>
  <c r="J2" i="1"/>
  <c r="K2" i="1" s="1"/>
  <c r="L6" i="1"/>
  <c r="N6" i="1" s="1"/>
  <c r="L7" i="1"/>
  <c r="N7" i="1" s="1"/>
  <c r="L8" i="1"/>
  <c r="L9" i="1"/>
  <c r="N9" i="1" s="1"/>
  <c r="L10" i="1"/>
  <c r="N10" i="1" s="1"/>
  <c r="L11" i="1"/>
  <c r="N11" i="1" s="1"/>
  <c r="L12" i="1"/>
  <c r="L13" i="1"/>
  <c r="L14" i="1"/>
  <c r="N14" i="1" s="1"/>
  <c r="L15" i="1"/>
  <c r="L16" i="1"/>
  <c r="N16" i="1" s="1"/>
  <c r="L17" i="1"/>
  <c r="N17" i="1" s="1"/>
  <c r="L18" i="1"/>
  <c r="N18" i="1" s="1"/>
  <c r="L19" i="1"/>
  <c r="N19" i="1" s="1"/>
  <c r="L20" i="1"/>
  <c r="L21" i="1"/>
  <c r="N21" i="1" s="1"/>
  <c r="L22" i="1"/>
  <c r="N22" i="1" s="1"/>
  <c r="L23" i="1"/>
  <c r="N23" i="1" s="1"/>
  <c r="L5" i="1"/>
  <c r="N5" i="1" s="1"/>
  <c r="K6" i="1"/>
  <c r="K9" i="1"/>
  <c r="K11" i="1"/>
  <c r="K12" i="1"/>
  <c r="K18" i="1"/>
  <c r="K21" i="1"/>
  <c r="K23" i="1"/>
  <c r="K7" i="1"/>
  <c r="K19" i="1"/>
  <c r="L2" i="1"/>
  <c r="L3" i="1"/>
  <c r="L4" i="1"/>
  <c r="N4" i="1" s="1"/>
  <c r="N15" i="1" l="1"/>
  <c r="N3" i="1"/>
  <c r="N13" i="1"/>
  <c r="N2" i="1"/>
  <c r="N12" i="1"/>
  <c r="N20" i="1"/>
  <c r="N8" i="1"/>
  <c r="M2" i="1"/>
  <c r="M20" i="1"/>
  <c r="M8" i="1"/>
  <c r="M22" i="1"/>
  <c r="M10" i="1"/>
  <c r="M21" i="1"/>
  <c r="M16" i="1"/>
  <c r="M13" i="1"/>
  <c r="M11" i="1"/>
  <c r="M17" i="1"/>
  <c r="M18" i="1"/>
  <c r="M23" i="1"/>
  <c r="M19" i="1"/>
  <c r="M12" i="1"/>
  <c r="M4" i="1"/>
  <c r="M3" i="1"/>
  <c r="M7" i="1"/>
  <c r="M15" i="1"/>
  <c r="M9" i="1"/>
  <c r="M14" i="1"/>
  <c r="M5" i="1"/>
  <c r="M6" i="1"/>
</calcChain>
</file>

<file path=xl/sharedStrings.xml><?xml version="1.0" encoding="utf-8"?>
<sst xmlns="http://schemas.openxmlformats.org/spreadsheetml/2006/main" count="80" uniqueCount="37">
  <si>
    <t>Parallel</t>
  </si>
  <si>
    <t>F/M</t>
  </si>
  <si>
    <t>Cross-over</t>
  </si>
  <si>
    <t>F</t>
  </si>
  <si>
    <t>F/Ma</t>
  </si>
  <si>
    <t>Sacks</t>
  </si>
  <si>
    <t>Erlinger</t>
  </si>
  <si>
    <t>Miller</t>
  </si>
  <si>
    <t>Appel</t>
  </si>
  <si>
    <t>Lopes</t>
  </si>
  <si>
    <t>Azadbakht</t>
  </si>
  <si>
    <t>Burke</t>
  </si>
  <si>
    <t>Nowson</t>
  </si>
  <si>
    <t>Kirpizidis</t>
  </si>
  <si>
    <t>Svetkey</t>
  </si>
  <si>
    <t>Blumenthal</t>
  </si>
  <si>
    <t>Edwards</t>
  </si>
  <si>
    <t>Lin</t>
  </si>
  <si>
    <t>Whitt-Glover</t>
  </si>
  <si>
    <t>Aplleho</t>
  </si>
  <si>
    <t>Applehy</t>
  </si>
  <si>
    <t>Nowsonhy</t>
  </si>
  <si>
    <t>Nowsonho</t>
  </si>
  <si>
    <t>Author</t>
  </si>
  <si>
    <t>Year</t>
  </si>
  <si>
    <t>Age</t>
  </si>
  <si>
    <t>n</t>
  </si>
  <si>
    <t>sex</t>
  </si>
  <si>
    <t>design</t>
  </si>
  <si>
    <t>duration</t>
  </si>
  <si>
    <t>md</t>
  </si>
  <si>
    <t>d</t>
  </si>
  <si>
    <t>J</t>
  </si>
  <si>
    <t>g</t>
  </si>
  <si>
    <t>pooled_sd</t>
  </si>
  <si>
    <t>md_se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</si>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</sst>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7" sqref="M7"/>
    </sheetView>
  </sheetViews>
  <sheetFormatPr defaultRowHeight="15" x14ac:dyDescent="0.25"/>
  <cols>
    <col min="1" max="1" width="12.5703125" bestFit="1" customWidth="1"/>
    <col min="2" max="3" width="5" bestFit="1" customWidth="1"/>
    <col min="4" max="4" width="4" bestFit="1" customWidth="1"/>
    <col min="5" max="5" width="5.5703125" bestFit="1" customWidth="1"/>
    <col min="6" max="6" width="10.42578125" bestFit="1" customWidth="1"/>
    <col min="7" max="7" width="8.5703125" bestFit="1" customWidth="1"/>
    <col min="8" max="8" width="11.7109375" bestFit="1" customWidth="1"/>
    <col min="10" max="10" width="10.28515625" bestFit="1" customWidth="1"/>
  </cols>
  <sheetData>
    <row r="1" spans="1:14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35</v>
      </c>
      <c r="J1" t="s">
        <v>34</v>
      </c>
      <c r="K1" t="s">
        <v>31</v>
      </c>
      <c r="L1" t="s">
        <v>32</v>
      </c>
      <c r="M1" t="s">
        <v>33</v>
      </c>
      <c r="N1" t="s">
        <v>36</v>
      </c>
    </row>
    <row r="2" spans="1:14" x14ac:dyDescent="0.25">
      <c r="A2" t="s">
        <v>9</v>
      </c>
      <c r="B2">
        <v>2003</v>
      </c>
      <c r="C2">
        <v>35</v>
      </c>
      <c r="D2">
        <v>12</v>
      </c>
      <c r="E2" t="s">
        <v>1</v>
      </c>
      <c r="F2" t="s">
        <v>2</v>
      </c>
      <c r="G2">
        <v>4</v>
      </c>
      <c r="H2">
        <v>8.1</v>
      </c>
      <c r="I2">
        <v>1.5</v>
      </c>
      <c r="J2">
        <f>I2*SQRT(D2)</f>
        <v>5.196152422706632</v>
      </c>
      <c r="K2">
        <f t="shared" ref="K2:K23" si="0">H2/J2</f>
        <v>1.5588457268119895</v>
      </c>
      <c r="L2">
        <f t="shared" ref="L2:L4" si="1">1-3/(4*(D2-1)-1)</f>
        <v>0.93023255813953487</v>
      </c>
      <c r="M2">
        <f t="shared" ref="M2:M23" si="2">L2*K2</f>
        <v>1.4500890481971995</v>
      </c>
      <c r="N2">
        <f>L2*I2/J2</f>
        <v>0.26853500892540733</v>
      </c>
    </row>
    <row r="3" spans="1:14" x14ac:dyDescent="0.25">
      <c r="A3" t="s">
        <v>9</v>
      </c>
      <c r="B3">
        <v>2003</v>
      </c>
      <c r="C3">
        <v>39</v>
      </c>
      <c r="D3">
        <v>12</v>
      </c>
      <c r="E3" t="s">
        <v>1</v>
      </c>
      <c r="F3" t="s">
        <v>2</v>
      </c>
      <c r="G3">
        <v>4</v>
      </c>
      <c r="H3">
        <v>1.67</v>
      </c>
      <c r="I3">
        <v>0.99</v>
      </c>
      <c r="J3">
        <f t="shared" ref="J3:J4" si="3">I3*SQRT(D3)</f>
        <v>3.4294605989863767</v>
      </c>
      <c r="K3">
        <f t="shared" si="0"/>
        <v>0.48695704522559347</v>
      </c>
      <c r="L3">
        <f t="shared" si="1"/>
        <v>0.93023255813953487</v>
      </c>
      <c r="M3">
        <f t="shared" si="2"/>
        <v>0.452983297884273</v>
      </c>
      <c r="N3">
        <f t="shared" ref="N3:N23" si="4">L3*I3/J3</f>
        <v>0.26853500892540738</v>
      </c>
    </row>
    <row r="4" spans="1:14" x14ac:dyDescent="0.25">
      <c r="A4" t="s">
        <v>10</v>
      </c>
      <c r="B4">
        <v>2011</v>
      </c>
      <c r="C4">
        <v>55</v>
      </c>
      <c r="D4">
        <v>31</v>
      </c>
      <c r="E4" t="s">
        <v>1</v>
      </c>
      <c r="F4" t="s">
        <v>2</v>
      </c>
      <c r="G4">
        <v>8</v>
      </c>
      <c r="H4">
        <v>10.5</v>
      </c>
      <c r="I4">
        <v>2.1</v>
      </c>
      <c r="J4">
        <f t="shared" si="3"/>
        <v>11.692305161943045</v>
      </c>
      <c r="K4">
        <f t="shared" si="0"/>
        <v>0.89802651013387458</v>
      </c>
      <c r="L4">
        <f t="shared" si="1"/>
        <v>0.97478991596638653</v>
      </c>
      <c r="M4">
        <f t="shared" si="2"/>
        <v>0.87538718634898693</v>
      </c>
      <c r="N4">
        <f t="shared" si="4"/>
        <v>0.17507743726979738</v>
      </c>
    </row>
    <row r="5" spans="1:14" x14ac:dyDescent="0.25">
      <c r="A5" t="s">
        <v>20</v>
      </c>
      <c r="B5">
        <v>1997</v>
      </c>
      <c r="C5">
        <v>44</v>
      </c>
      <c r="D5">
        <v>84</v>
      </c>
      <c r="E5" t="s">
        <v>4</v>
      </c>
      <c r="F5" t="s">
        <v>0</v>
      </c>
      <c r="G5">
        <v>8</v>
      </c>
      <c r="H5">
        <v>11.4</v>
      </c>
      <c r="I5">
        <v>2.29</v>
      </c>
      <c r="J5">
        <f>I5*SQRT(D5/4)</f>
        <v>10.494098341448874</v>
      </c>
      <c r="K5">
        <f t="shared" si="0"/>
        <v>1.0863248684237174</v>
      </c>
      <c r="L5">
        <f>1-3/(4*(D5-2)-1)</f>
        <v>0.99082568807339455</v>
      </c>
      <c r="M5">
        <f t="shared" si="2"/>
        <v>1.0763585852271695</v>
      </c>
      <c r="N5">
        <f t="shared" si="4"/>
        <v>0.21621589124300164</v>
      </c>
    </row>
    <row r="6" spans="1:14" x14ac:dyDescent="0.25">
      <c r="A6" t="s">
        <v>19</v>
      </c>
      <c r="B6">
        <v>1997</v>
      </c>
      <c r="C6">
        <v>44</v>
      </c>
      <c r="D6">
        <v>221</v>
      </c>
      <c r="E6" t="s">
        <v>4</v>
      </c>
      <c r="F6" t="s">
        <v>0</v>
      </c>
      <c r="G6">
        <v>8</v>
      </c>
      <c r="H6">
        <v>3.5</v>
      </c>
      <c r="I6">
        <v>0.94</v>
      </c>
      <c r="J6">
        <f t="shared" ref="J6:J23" si="5">I6*SQRT(D6/4)</f>
        <v>6.9870523112396974</v>
      </c>
      <c r="K6">
        <f t="shared" si="0"/>
        <v>0.50092654872065823</v>
      </c>
      <c r="L6">
        <f t="shared" ref="L6:L23" si="6">1-3/(4*(D6-2)-1)</f>
        <v>0.99657142857142855</v>
      </c>
      <c r="M6">
        <f t="shared" si="2"/>
        <v>0.49920908626790167</v>
      </c>
      <c r="N6">
        <f t="shared" si="4"/>
        <v>0.13407329745480787</v>
      </c>
    </row>
    <row r="7" spans="1:14" x14ac:dyDescent="0.25">
      <c r="A7" t="s">
        <v>5</v>
      </c>
      <c r="B7">
        <v>2001</v>
      </c>
      <c r="C7">
        <v>47</v>
      </c>
      <c r="D7">
        <v>412</v>
      </c>
      <c r="E7" t="s">
        <v>1</v>
      </c>
      <c r="F7" t="s">
        <v>0</v>
      </c>
      <c r="G7">
        <v>4</v>
      </c>
      <c r="H7">
        <v>8.9</v>
      </c>
      <c r="I7">
        <v>1.1200000000000001</v>
      </c>
      <c r="J7">
        <f t="shared" si="5"/>
        <v>11.366758552903287</v>
      </c>
      <c r="K7">
        <f t="shared" si="0"/>
        <v>0.78298487282698292</v>
      </c>
      <c r="L7">
        <f t="shared" si="6"/>
        <v>0.99816961561928008</v>
      </c>
      <c r="M7">
        <f t="shared" si="2"/>
        <v>0.78155170954542041</v>
      </c>
      <c r="N7">
        <f t="shared" si="4"/>
        <v>9.8352574684367519E-2</v>
      </c>
    </row>
    <row r="8" spans="1:14" x14ac:dyDescent="0.25">
      <c r="A8" t="s">
        <v>6</v>
      </c>
      <c r="B8">
        <v>2002</v>
      </c>
      <c r="C8">
        <v>53.4</v>
      </c>
      <c r="D8">
        <v>55</v>
      </c>
      <c r="E8" t="s">
        <v>1</v>
      </c>
      <c r="F8" t="s">
        <v>0</v>
      </c>
      <c r="G8">
        <v>8</v>
      </c>
      <c r="H8">
        <v>7.1</v>
      </c>
      <c r="I8">
        <v>3.2</v>
      </c>
      <c r="J8">
        <f t="shared" si="5"/>
        <v>11.865917579353061</v>
      </c>
      <c r="K8">
        <f t="shared" si="0"/>
        <v>0.59835237793612728</v>
      </c>
      <c r="L8">
        <f t="shared" si="6"/>
        <v>0.98578199052132698</v>
      </c>
      <c r="M8">
        <f t="shared" si="2"/>
        <v>0.58984499815504488</v>
      </c>
      <c r="N8">
        <f t="shared" si="4"/>
        <v>0.26584563297128788</v>
      </c>
    </row>
    <row r="9" spans="1:14" x14ac:dyDescent="0.25">
      <c r="A9" t="s">
        <v>7</v>
      </c>
      <c r="B9">
        <v>2002</v>
      </c>
      <c r="C9">
        <v>53</v>
      </c>
      <c r="D9">
        <v>44</v>
      </c>
      <c r="E9" t="s">
        <v>1</v>
      </c>
      <c r="F9" t="s">
        <v>0</v>
      </c>
      <c r="G9">
        <v>9</v>
      </c>
      <c r="H9">
        <v>12.1</v>
      </c>
      <c r="I9">
        <v>2.5</v>
      </c>
      <c r="J9">
        <f t="shared" si="5"/>
        <v>8.2915619758884986</v>
      </c>
      <c r="K9">
        <f t="shared" si="0"/>
        <v>1.4593149077563761</v>
      </c>
      <c r="L9">
        <f t="shared" si="6"/>
        <v>0.98203592814371254</v>
      </c>
      <c r="M9">
        <f t="shared" si="2"/>
        <v>1.4330996698924889</v>
      </c>
      <c r="N9">
        <f t="shared" si="4"/>
        <v>0.29609497311828287</v>
      </c>
    </row>
    <row r="10" spans="1:14" x14ac:dyDescent="0.25">
      <c r="A10" t="s">
        <v>8</v>
      </c>
      <c r="B10">
        <v>2003</v>
      </c>
      <c r="C10">
        <v>50.2</v>
      </c>
      <c r="D10">
        <v>542</v>
      </c>
      <c r="E10" t="s">
        <v>1</v>
      </c>
      <c r="F10" t="s">
        <v>0</v>
      </c>
      <c r="G10">
        <v>26</v>
      </c>
      <c r="H10">
        <v>4.3</v>
      </c>
      <c r="I10">
        <v>0.79</v>
      </c>
      <c r="J10">
        <f t="shared" si="5"/>
        <v>9.1959529141900251</v>
      </c>
      <c r="K10">
        <f t="shared" si="0"/>
        <v>0.46759700056367043</v>
      </c>
      <c r="L10">
        <f t="shared" si="6"/>
        <v>0.99861046780917095</v>
      </c>
      <c r="M10">
        <f t="shared" si="2"/>
        <v>0.46694725947905208</v>
      </c>
      <c r="N10">
        <f t="shared" si="4"/>
        <v>8.5787984881035159E-2</v>
      </c>
    </row>
    <row r="11" spans="1:14" x14ac:dyDescent="0.25">
      <c r="A11" t="s">
        <v>10</v>
      </c>
      <c r="B11">
        <v>2005</v>
      </c>
      <c r="C11">
        <v>41.2</v>
      </c>
      <c r="D11">
        <v>55</v>
      </c>
      <c r="E11" t="s">
        <v>3</v>
      </c>
      <c r="F11" t="s">
        <v>0</v>
      </c>
      <c r="G11">
        <v>26</v>
      </c>
      <c r="H11">
        <v>11</v>
      </c>
      <c r="I11">
        <v>1.74</v>
      </c>
      <c r="J11">
        <f t="shared" si="5"/>
        <v>6.4520926837732269</v>
      </c>
      <c r="K11">
        <f t="shared" si="0"/>
        <v>1.7048732154242903</v>
      </c>
      <c r="L11">
        <f t="shared" si="6"/>
        <v>0.98578199052132698</v>
      </c>
      <c r="M11">
        <f t="shared" si="2"/>
        <v>1.6806333118874519</v>
      </c>
      <c r="N11">
        <f t="shared" si="4"/>
        <v>0.26584563297128788</v>
      </c>
    </row>
    <row r="12" spans="1:14" x14ac:dyDescent="0.25">
      <c r="A12" t="s">
        <v>10</v>
      </c>
      <c r="B12">
        <v>2005</v>
      </c>
      <c r="C12">
        <v>41.2</v>
      </c>
      <c r="D12">
        <v>23</v>
      </c>
      <c r="E12" t="s">
        <v>3</v>
      </c>
      <c r="F12" t="s">
        <v>0</v>
      </c>
      <c r="G12">
        <v>26</v>
      </c>
      <c r="H12">
        <v>11</v>
      </c>
      <c r="I12">
        <v>2.95</v>
      </c>
      <c r="J12">
        <f t="shared" si="5"/>
        <v>7.0738514968862614</v>
      </c>
      <c r="K12">
        <f t="shared" si="0"/>
        <v>1.5550227489002186</v>
      </c>
      <c r="L12">
        <f t="shared" si="6"/>
        <v>0.96385542168674698</v>
      </c>
      <c r="M12">
        <f t="shared" si="2"/>
        <v>1.4988171073737047</v>
      </c>
      <c r="N12">
        <f t="shared" si="4"/>
        <v>0.40195549697749355</v>
      </c>
    </row>
    <row r="13" spans="1:14" x14ac:dyDescent="0.25">
      <c r="A13" t="s">
        <v>11</v>
      </c>
      <c r="B13">
        <v>2005</v>
      </c>
      <c r="C13">
        <v>57.1</v>
      </c>
      <c r="D13">
        <v>204</v>
      </c>
      <c r="E13" t="s">
        <v>1</v>
      </c>
      <c r="F13" t="s">
        <v>0</v>
      </c>
      <c r="G13">
        <v>16</v>
      </c>
      <c r="H13">
        <v>3.1</v>
      </c>
      <c r="I13">
        <v>0.86</v>
      </c>
      <c r="J13">
        <f t="shared" si="5"/>
        <v>6.1416284485468511</v>
      </c>
      <c r="K13">
        <f t="shared" si="0"/>
        <v>0.50475212331242214</v>
      </c>
      <c r="L13">
        <f t="shared" si="6"/>
        <v>0.99628252788104088</v>
      </c>
      <c r="M13">
        <f t="shared" si="2"/>
        <v>0.50287572136702274</v>
      </c>
      <c r="N13">
        <f t="shared" si="4"/>
        <v>0.13950745818569019</v>
      </c>
    </row>
    <row r="14" spans="1:14" x14ac:dyDescent="0.25">
      <c r="A14" t="s">
        <v>12</v>
      </c>
      <c r="B14">
        <v>2005</v>
      </c>
      <c r="C14">
        <v>47.1</v>
      </c>
      <c r="D14">
        <v>44</v>
      </c>
      <c r="E14" t="s">
        <v>3</v>
      </c>
      <c r="F14" t="s">
        <v>0</v>
      </c>
      <c r="G14">
        <v>12</v>
      </c>
      <c r="H14">
        <v>5.5</v>
      </c>
      <c r="I14">
        <v>12.6</v>
      </c>
      <c r="J14">
        <f t="shared" si="5"/>
        <v>41.789472358478037</v>
      </c>
      <c r="K14">
        <f t="shared" si="0"/>
        <v>0.13161209485537301</v>
      </c>
      <c r="L14">
        <f t="shared" si="6"/>
        <v>0.98203592814371254</v>
      </c>
      <c r="M14">
        <f t="shared" si="2"/>
        <v>0.12924780572623457</v>
      </c>
      <c r="N14">
        <f t="shared" si="4"/>
        <v>0.29609497311828281</v>
      </c>
    </row>
    <row r="15" spans="1:14" x14ac:dyDescent="0.25">
      <c r="A15" t="s">
        <v>13</v>
      </c>
      <c r="B15">
        <v>2005</v>
      </c>
      <c r="C15">
        <v>54.1</v>
      </c>
      <c r="D15">
        <v>201</v>
      </c>
      <c r="E15" t="s">
        <v>1</v>
      </c>
      <c r="F15" t="s">
        <v>0</v>
      </c>
      <c r="G15">
        <v>16</v>
      </c>
      <c r="H15">
        <v>4</v>
      </c>
      <c r="I15">
        <v>0.8</v>
      </c>
      <c r="J15">
        <f t="shared" si="5"/>
        <v>5.6709787515031307</v>
      </c>
      <c r="K15">
        <f t="shared" si="0"/>
        <v>0.70534561585859823</v>
      </c>
      <c r="L15">
        <f t="shared" si="6"/>
        <v>0.99622641509433962</v>
      </c>
      <c r="M15">
        <f t="shared" si="2"/>
        <v>0.70268393428932052</v>
      </c>
      <c r="N15">
        <f t="shared" si="4"/>
        <v>0.14053678685786411</v>
      </c>
    </row>
    <row r="16" spans="1:14" x14ac:dyDescent="0.25">
      <c r="A16" t="s">
        <v>21</v>
      </c>
      <c r="B16">
        <v>2009</v>
      </c>
      <c r="C16">
        <v>60</v>
      </c>
      <c r="D16">
        <v>35</v>
      </c>
      <c r="E16" t="s">
        <v>3</v>
      </c>
      <c r="F16" t="s">
        <v>0</v>
      </c>
      <c r="G16">
        <v>14</v>
      </c>
      <c r="H16">
        <v>5.5</v>
      </c>
      <c r="I16">
        <v>2.76</v>
      </c>
      <c r="J16">
        <f t="shared" si="5"/>
        <v>8.1641901006774695</v>
      </c>
      <c r="K16">
        <f t="shared" si="0"/>
        <v>0.67367368130533933</v>
      </c>
      <c r="L16">
        <f t="shared" si="6"/>
        <v>0.97709923664122134</v>
      </c>
      <c r="M16">
        <f t="shared" si="2"/>
        <v>0.65824603974872853</v>
      </c>
      <c r="N16">
        <f t="shared" si="4"/>
        <v>0.33031983085572553</v>
      </c>
    </row>
    <row r="17" spans="1:14" x14ac:dyDescent="0.25">
      <c r="A17" t="s">
        <v>22</v>
      </c>
      <c r="B17">
        <v>2009</v>
      </c>
      <c r="C17">
        <v>60</v>
      </c>
      <c r="D17">
        <v>60</v>
      </c>
      <c r="E17" t="s">
        <v>3</v>
      </c>
      <c r="F17" t="s">
        <v>0</v>
      </c>
      <c r="G17">
        <v>14</v>
      </c>
      <c r="H17">
        <v>1.1000000000000001</v>
      </c>
      <c r="I17">
        <v>1.98</v>
      </c>
      <c r="J17">
        <f t="shared" si="5"/>
        <v>7.668507025490686</v>
      </c>
      <c r="K17">
        <f t="shared" si="0"/>
        <v>0.14344382763731173</v>
      </c>
      <c r="L17">
        <f t="shared" si="6"/>
        <v>0.98701298701298701</v>
      </c>
      <c r="M17">
        <f t="shared" si="2"/>
        <v>0.14158092078487911</v>
      </c>
      <c r="N17">
        <f t="shared" si="4"/>
        <v>0.25484565741278237</v>
      </c>
    </row>
    <row r="18" spans="1:14" x14ac:dyDescent="0.25">
      <c r="A18" t="s">
        <v>14</v>
      </c>
      <c r="B18">
        <v>2009</v>
      </c>
      <c r="C18">
        <v>60.7</v>
      </c>
      <c r="D18">
        <v>264</v>
      </c>
      <c r="E18" t="s">
        <v>1</v>
      </c>
      <c r="F18" t="s">
        <v>0</v>
      </c>
      <c r="G18">
        <v>26</v>
      </c>
      <c r="H18">
        <v>3</v>
      </c>
      <c r="I18">
        <v>1.56</v>
      </c>
      <c r="J18">
        <f t="shared" si="5"/>
        <v>12.673499911232099</v>
      </c>
      <c r="K18">
        <f t="shared" si="0"/>
        <v>0.23671440572948602</v>
      </c>
      <c r="L18">
        <f t="shared" si="6"/>
        <v>0.99713467048710602</v>
      </c>
      <c r="M18">
        <f t="shared" si="2"/>
        <v>0.23603614095662215</v>
      </c>
      <c r="N18">
        <f t="shared" si="4"/>
        <v>0.12273879329744353</v>
      </c>
    </row>
    <row r="19" spans="1:14" x14ac:dyDescent="0.25">
      <c r="A19" t="s">
        <v>15</v>
      </c>
      <c r="B19">
        <v>2010</v>
      </c>
      <c r="C19">
        <v>51.8</v>
      </c>
      <c r="D19">
        <v>95</v>
      </c>
      <c r="E19" t="s">
        <v>1</v>
      </c>
      <c r="F19" t="s">
        <v>0</v>
      </c>
      <c r="G19">
        <v>16</v>
      </c>
      <c r="H19">
        <v>7.8</v>
      </c>
      <c r="I19">
        <v>2.21</v>
      </c>
      <c r="J19">
        <f t="shared" si="5"/>
        <v>10.770207751013904</v>
      </c>
      <c r="K19">
        <f t="shared" si="0"/>
        <v>0.72422001323657936</v>
      </c>
      <c r="L19">
        <f t="shared" si="6"/>
        <v>0.99191374663072773</v>
      </c>
      <c r="M19">
        <f t="shared" si="2"/>
        <v>0.71836378671445067</v>
      </c>
      <c r="N19">
        <f t="shared" si="4"/>
        <v>0.20353640623576102</v>
      </c>
    </row>
    <row r="20" spans="1:14" x14ac:dyDescent="0.25">
      <c r="A20" t="s">
        <v>15</v>
      </c>
      <c r="B20">
        <v>2010</v>
      </c>
      <c r="C20">
        <v>52.3</v>
      </c>
      <c r="D20">
        <v>95</v>
      </c>
      <c r="E20" t="s">
        <v>1</v>
      </c>
      <c r="F20" t="s">
        <v>0</v>
      </c>
      <c r="G20">
        <v>16</v>
      </c>
      <c r="H20">
        <v>12.7</v>
      </c>
      <c r="I20">
        <v>2.21</v>
      </c>
      <c r="J20">
        <f t="shared" si="5"/>
        <v>10.770207751013904</v>
      </c>
      <c r="K20">
        <f t="shared" si="0"/>
        <v>1.1791787395005844</v>
      </c>
      <c r="L20">
        <f t="shared" si="6"/>
        <v>0.99191374663072773</v>
      </c>
      <c r="M20">
        <f t="shared" si="2"/>
        <v>1.1696436014453235</v>
      </c>
      <c r="N20">
        <f t="shared" si="4"/>
        <v>0.20353640623576102</v>
      </c>
    </row>
    <row r="21" spans="1:14" x14ac:dyDescent="0.25">
      <c r="A21" t="s">
        <v>16</v>
      </c>
      <c r="B21">
        <v>2011</v>
      </c>
      <c r="C21">
        <v>48</v>
      </c>
      <c r="D21">
        <v>27</v>
      </c>
      <c r="E21" t="s">
        <v>1</v>
      </c>
      <c r="F21" t="s">
        <v>0</v>
      </c>
      <c r="G21">
        <v>12</v>
      </c>
      <c r="H21">
        <v>10.1</v>
      </c>
      <c r="I21">
        <v>2.71</v>
      </c>
      <c r="J21">
        <f t="shared" si="5"/>
        <v>7.0407865327674859</v>
      </c>
      <c r="K21">
        <f t="shared" si="0"/>
        <v>1.4344988238167824</v>
      </c>
      <c r="L21">
        <f t="shared" si="6"/>
        <v>0.96969696969696972</v>
      </c>
      <c r="M21">
        <f t="shared" si="2"/>
        <v>1.3910291624890012</v>
      </c>
      <c r="N21">
        <f t="shared" si="4"/>
        <v>0.3732365376579399</v>
      </c>
    </row>
    <row r="22" spans="1:14" x14ac:dyDescent="0.25">
      <c r="A22" t="s">
        <v>17</v>
      </c>
      <c r="B22">
        <v>2012</v>
      </c>
      <c r="C22">
        <v>44.3</v>
      </c>
      <c r="D22">
        <v>20</v>
      </c>
      <c r="E22" t="s">
        <v>1</v>
      </c>
      <c r="F22" t="s">
        <v>0</v>
      </c>
      <c r="G22">
        <v>2</v>
      </c>
      <c r="H22">
        <v>8.6999999999999993</v>
      </c>
      <c r="I22">
        <v>6.28</v>
      </c>
      <c r="J22">
        <f t="shared" si="5"/>
        <v>14.042506898698681</v>
      </c>
      <c r="K22">
        <f t="shared" si="0"/>
        <v>0.61954749695057854</v>
      </c>
      <c r="L22">
        <f t="shared" si="6"/>
        <v>0.95774647887323949</v>
      </c>
      <c r="M22">
        <f t="shared" si="2"/>
        <v>0.59336943369914563</v>
      </c>
      <c r="N22">
        <f t="shared" si="4"/>
        <v>0.42831724639432589</v>
      </c>
    </row>
    <row r="23" spans="1:14" x14ac:dyDescent="0.25">
      <c r="A23" t="s">
        <v>18</v>
      </c>
      <c r="B23">
        <v>2013</v>
      </c>
      <c r="C23">
        <v>51.4</v>
      </c>
      <c r="D23">
        <v>25</v>
      </c>
      <c r="E23" t="s">
        <v>1</v>
      </c>
      <c r="F23" t="s">
        <v>0</v>
      </c>
      <c r="G23">
        <v>12</v>
      </c>
      <c r="H23">
        <v>5.6</v>
      </c>
      <c r="I23">
        <v>7.04</v>
      </c>
      <c r="J23">
        <f t="shared" si="5"/>
        <v>17.600000000000001</v>
      </c>
      <c r="K23">
        <f t="shared" si="0"/>
        <v>0.31818181818181812</v>
      </c>
      <c r="L23">
        <f t="shared" si="6"/>
        <v>0.96703296703296704</v>
      </c>
      <c r="M23">
        <f t="shared" si="2"/>
        <v>0.30769230769230765</v>
      </c>
      <c r="N23">
        <f t="shared" si="4"/>
        <v>0.38681318681318683</v>
      </c>
    </row>
  </sheetData>
  <sortState xmlns:xlrd2="http://schemas.microsoft.com/office/spreadsheetml/2017/richdata2" ref="A2:M23">
    <sortCondition ref="F2:F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saneei_diet_sbp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2025-12-29T13:54:23Z</dcterms:modified>
</cp:coreProperties>
</file>