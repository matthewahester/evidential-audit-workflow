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saneei2014\"/>
    </mc:Choice>
  </mc:AlternateContent>
  <xr:revisionPtr revIDLastSave="0" documentId="13_ncr:1_{93A69E04-A470-4F25-9E0A-65CCC3CE97E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J6" i="1"/>
  <c r="K6" i="1" s="1"/>
  <c r="M6" i="1" s="1"/>
  <c r="J2" i="1"/>
  <c r="K2" i="1" s="1"/>
  <c r="J7" i="1"/>
  <c r="J8" i="1"/>
  <c r="K8" i="1" s="1"/>
  <c r="M8" i="1" s="1"/>
  <c r="J9" i="1"/>
  <c r="J10" i="1"/>
  <c r="J11" i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J19" i="1"/>
  <c r="K19" i="1" s="1"/>
  <c r="M19" i="1" s="1"/>
  <c r="J20" i="1"/>
  <c r="J21" i="1"/>
  <c r="J22" i="1"/>
  <c r="J23" i="1"/>
  <c r="J5" i="1"/>
  <c r="K5" i="1" s="1"/>
  <c r="M5" i="1" s="1"/>
  <c r="J3" i="1"/>
  <c r="J4" i="1"/>
  <c r="K4" i="1" s="1"/>
  <c r="M4" i="1" s="1"/>
  <c r="K10" i="1"/>
  <c r="M10" i="1" s="1"/>
  <c r="K11" i="1"/>
  <c r="K1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5" i="1"/>
  <c r="K20" i="1"/>
  <c r="M20" i="1" s="1"/>
  <c r="K7" i="1"/>
  <c r="M7" i="1" s="1"/>
  <c r="K9" i="1"/>
  <c r="M9" i="1" s="1"/>
  <c r="L2" i="1"/>
  <c r="K3" i="1"/>
  <c r="M3" i="1" s="1"/>
  <c r="L3" i="1"/>
  <c r="K18" i="1"/>
  <c r="M18" i="1" s="1"/>
  <c r="K21" i="1"/>
  <c r="M21" i="1" s="1"/>
  <c r="L4" i="1"/>
  <c r="K22" i="1"/>
  <c r="M22" i="1" s="1"/>
  <c r="K23" i="1"/>
  <c r="M16" i="1" l="1"/>
  <c r="M15" i="1"/>
  <c r="M11" i="1"/>
  <c r="M12" i="1"/>
  <c r="M23" i="1"/>
  <c r="M17" i="1"/>
  <c r="M13" i="1"/>
  <c r="M14" i="1"/>
  <c r="M2" i="1"/>
</calcChain>
</file>

<file path=xl/sharedStrings.xml><?xml version="1.0" encoding="utf-8"?>
<sst xmlns="http://schemas.openxmlformats.org/spreadsheetml/2006/main" count="80" uniqueCount="37">
  <si>
    <t>Author</t>
  </si>
  <si>
    <t>Year</t>
  </si>
  <si>
    <t>Age</t>
  </si>
  <si>
    <t>n</t>
  </si>
  <si>
    <t>sex</t>
  </si>
  <si>
    <t>design</t>
  </si>
  <si>
    <t>duration</t>
  </si>
  <si>
    <t>Applehy</t>
  </si>
  <si>
    <t>F/Ma</t>
  </si>
  <si>
    <t>Parallel</t>
  </si>
  <si>
    <t>Aplleho</t>
  </si>
  <si>
    <t>Sacks</t>
  </si>
  <si>
    <t>F/M</t>
  </si>
  <si>
    <t>Erlinger</t>
  </si>
  <si>
    <t>Miller</t>
  </si>
  <si>
    <t>Appel</t>
  </si>
  <si>
    <t>Lopes</t>
  </si>
  <si>
    <t>Cross-over</t>
  </si>
  <si>
    <t>Azadbakht</t>
  </si>
  <si>
    <t>F</t>
  </si>
  <si>
    <t>Burke</t>
  </si>
  <si>
    <t>Nowson</t>
  </si>
  <si>
    <t>Kirpizidis</t>
  </si>
  <si>
    <t>Nowsonhy</t>
  </si>
  <si>
    <t>Nowsonho</t>
  </si>
  <si>
    <t>Svetkey</t>
  </si>
  <si>
    <t>Blumenthal</t>
  </si>
  <si>
    <t>Edwards</t>
  </si>
  <si>
    <t>Lin</t>
  </si>
  <si>
    <t>Whitt-Glover</t>
  </si>
  <si>
    <t>md</t>
  </si>
  <si>
    <t>md_se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</si>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</sst>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3" sqref="N3"/>
    </sheetView>
  </sheetViews>
  <sheetFormatPr defaultRowHeight="15" x14ac:dyDescent="0.25"/>
  <cols>
    <col min="1" max="1" width="12.5703125" bestFit="1" customWidth="1"/>
    <col min="2" max="3" width="5" bestFit="1" customWidth="1"/>
    <col min="4" max="4" width="4" bestFit="1" customWidth="1"/>
    <col min="5" max="5" width="5.5703125" bestFit="1" customWidth="1"/>
    <col min="6" max="6" width="10.42578125" bestFit="1" customWidth="1"/>
    <col min="7" max="7" width="3" bestFit="1" customWidth="1"/>
    <col min="8" max="8" width="1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16</v>
      </c>
      <c r="B2">
        <v>2003</v>
      </c>
      <c r="C2">
        <v>35</v>
      </c>
      <c r="D2">
        <v>12</v>
      </c>
      <c r="E2" t="s">
        <v>12</v>
      </c>
      <c r="F2" t="s">
        <v>17</v>
      </c>
      <c r="G2">
        <v>4</v>
      </c>
      <c r="H2">
        <v>7.4</v>
      </c>
      <c r="I2">
        <v>1.6</v>
      </c>
      <c r="J2">
        <f>I2*SQRT(D2)</f>
        <v>5.5425625842204074</v>
      </c>
      <c r="K2">
        <f t="shared" ref="K2:K23" si="0">H2/J2</f>
        <v>1.3351224975010096</v>
      </c>
      <c r="L2">
        <f t="shared" ref="L2:L4" si="1">1-3/(4*(D2-1)-1)</f>
        <v>0.93023255813953487</v>
      </c>
      <c r="M2">
        <f>L2*K2</f>
        <v>1.241974416280009</v>
      </c>
      <c r="N2">
        <f>L2*I2/J2</f>
        <v>0.26853500892540733</v>
      </c>
    </row>
    <row r="3" spans="1:14" x14ac:dyDescent="0.25">
      <c r="A3" t="s">
        <v>16</v>
      </c>
      <c r="B3">
        <v>2003</v>
      </c>
      <c r="C3">
        <v>39</v>
      </c>
      <c r="D3">
        <v>12</v>
      </c>
      <c r="E3" t="s">
        <v>12</v>
      </c>
      <c r="F3" t="s">
        <v>17</v>
      </c>
      <c r="G3">
        <v>4</v>
      </c>
      <c r="H3">
        <v>1.78</v>
      </c>
      <c r="I3">
        <v>0.77</v>
      </c>
      <c r="J3">
        <f t="shared" ref="J3:J4" si="2">I3*SQRT(D3)</f>
        <v>2.667358243656071</v>
      </c>
      <c r="K3">
        <f t="shared" si="0"/>
        <v>0.66732693451787917</v>
      </c>
      <c r="L3">
        <f t="shared" si="1"/>
        <v>0.93023255813953487</v>
      </c>
      <c r="M3">
        <f t="shared" ref="M3:M23" si="3">L3*K3</f>
        <v>0.62076924141198064</v>
      </c>
      <c r="N3">
        <f>L3*I3/J3</f>
        <v>0.26853500892540733</v>
      </c>
    </row>
    <row r="4" spans="1:14" x14ac:dyDescent="0.25">
      <c r="A4" t="s">
        <v>18</v>
      </c>
      <c r="B4">
        <v>2011</v>
      </c>
      <c r="C4">
        <v>55</v>
      </c>
      <c r="D4">
        <v>31</v>
      </c>
      <c r="E4" t="s">
        <v>12</v>
      </c>
      <c r="F4" t="s">
        <v>17</v>
      </c>
      <c r="G4">
        <v>8</v>
      </c>
      <c r="H4">
        <v>8.8000000000000007</v>
      </c>
      <c r="I4">
        <v>1.98</v>
      </c>
      <c r="J4">
        <f t="shared" si="2"/>
        <v>11.024173438403443</v>
      </c>
      <c r="K4">
        <f t="shared" si="0"/>
        <v>0.79824578678566638</v>
      </c>
      <c r="L4">
        <f t="shared" si="1"/>
        <v>0.97478991596638653</v>
      </c>
      <c r="M4">
        <f t="shared" si="3"/>
        <v>0.77812194342132179</v>
      </c>
      <c r="N4">
        <f>L4*I4/J4</f>
        <v>0.17507743726979738</v>
      </c>
    </row>
    <row r="5" spans="1:14" x14ac:dyDescent="0.25">
      <c r="A5" t="s">
        <v>7</v>
      </c>
      <c r="B5">
        <v>1997</v>
      </c>
      <c r="C5">
        <v>44</v>
      </c>
      <c r="D5">
        <v>84</v>
      </c>
      <c r="E5" t="s">
        <v>8</v>
      </c>
      <c r="F5" t="s">
        <v>9</v>
      </c>
      <c r="G5">
        <v>8</v>
      </c>
      <c r="H5">
        <v>5.5</v>
      </c>
      <c r="I5">
        <v>1.4</v>
      </c>
      <c r="J5">
        <f>I5*SQRT(D5/4)</f>
        <v>6.4156059729381756</v>
      </c>
      <c r="K5">
        <f t="shared" si="0"/>
        <v>0.85728456878425585</v>
      </c>
      <c r="L5">
        <f>1-3/(4*(D5-2)-1)</f>
        <v>0.99082568807339455</v>
      </c>
      <c r="M5">
        <f t="shared" si="3"/>
        <v>0.84941957274036362</v>
      </c>
      <c r="N5">
        <f>L5*I5/J5</f>
        <v>0.21621589124300164</v>
      </c>
    </row>
    <row r="6" spans="1:14" x14ac:dyDescent="0.25">
      <c r="A6" t="s">
        <v>10</v>
      </c>
      <c r="B6">
        <v>1997</v>
      </c>
      <c r="C6">
        <v>44</v>
      </c>
      <c r="D6">
        <v>221</v>
      </c>
      <c r="E6" t="s">
        <v>8</v>
      </c>
      <c r="F6" t="s">
        <v>9</v>
      </c>
      <c r="G6">
        <v>8</v>
      </c>
      <c r="H6">
        <v>2.1</v>
      </c>
      <c r="I6">
        <v>0.79</v>
      </c>
      <c r="J6">
        <f>I6*SQRT(D6/4)</f>
        <v>5.8720971551908105</v>
      </c>
      <c r="K6">
        <f t="shared" si="0"/>
        <v>0.35762351073221671</v>
      </c>
      <c r="L6">
        <f t="shared" ref="L6:L23" si="4">1-3/(4*(D6-2)-1)</f>
        <v>0.99657142857142855</v>
      </c>
      <c r="M6">
        <f t="shared" si="3"/>
        <v>0.35639737298113483</v>
      </c>
      <c r="N6">
        <f>L6*I6/J6</f>
        <v>0.13407329745480787</v>
      </c>
    </row>
    <row r="7" spans="1:14" x14ac:dyDescent="0.25">
      <c r="A7" t="s">
        <v>11</v>
      </c>
      <c r="B7">
        <v>2001</v>
      </c>
      <c r="C7">
        <v>47</v>
      </c>
      <c r="D7">
        <v>412</v>
      </c>
      <c r="E7" t="s">
        <v>12</v>
      </c>
      <c r="F7" t="s">
        <v>9</v>
      </c>
      <c r="G7">
        <v>4</v>
      </c>
      <c r="H7">
        <v>4.5</v>
      </c>
      <c r="I7">
        <v>0.71</v>
      </c>
      <c r="J7">
        <f t="shared" ref="J7:J23" si="5">I7*SQRT(D7/4)</f>
        <v>7.205713011215475</v>
      </c>
      <c r="K7">
        <f t="shared" si="0"/>
        <v>0.62450447207596049</v>
      </c>
      <c r="L7">
        <f t="shared" si="4"/>
        <v>0.99816961561928008</v>
      </c>
      <c r="M7">
        <f t="shared" si="3"/>
        <v>0.62336138884458292</v>
      </c>
      <c r="N7">
        <f>L7*I7/J7</f>
        <v>9.8352574684367533E-2</v>
      </c>
    </row>
    <row r="8" spans="1:14" x14ac:dyDescent="0.25">
      <c r="A8" t="s">
        <v>13</v>
      </c>
      <c r="B8">
        <v>2002</v>
      </c>
      <c r="C8">
        <v>53.4</v>
      </c>
      <c r="D8">
        <v>55</v>
      </c>
      <c r="E8" t="s">
        <v>12</v>
      </c>
      <c r="F8" t="s">
        <v>9</v>
      </c>
      <c r="G8">
        <v>8</v>
      </c>
      <c r="H8">
        <v>3</v>
      </c>
      <c r="I8">
        <v>1.8</v>
      </c>
      <c r="J8">
        <f t="shared" si="5"/>
        <v>6.6745786383860972</v>
      </c>
      <c r="K8">
        <f t="shared" si="0"/>
        <v>0.44946657497549469</v>
      </c>
      <c r="L8">
        <f t="shared" si="4"/>
        <v>0.98578199052132698</v>
      </c>
      <c r="M8">
        <f t="shared" si="3"/>
        <v>0.44307605495214641</v>
      </c>
      <c r="N8">
        <f>L8*I8/J8</f>
        <v>0.26584563297128783</v>
      </c>
    </row>
    <row r="9" spans="1:14" x14ac:dyDescent="0.25">
      <c r="A9" t="s">
        <v>14</v>
      </c>
      <c r="B9">
        <v>2002</v>
      </c>
      <c r="C9">
        <v>53</v>
      </c>
      <c r="D9">
        <v>44</v>
      </c>
      <c r="E9" t="s">
        <v>12</v>
      </c>
      <c r="F9" t="s">
        <v>9</v>
      </c>
      <c r="G9">
        <v>9</v>
      </c>
      <c r="H9">
        <v>2.6</v>
      </c>
      <c r="I9">
        <v>0.56000000000000005</v>
      </c>
      <c r="J9">
        <f t="shared" si="5"/>
        <v>1.857309882599024</v>
      </c>
      <c r="K9">
        <f t="shared" si="0"/>
        <v>1.3998740998253312</v>
      </c>
      <c r="L9">
        <f t="shared" si="4"/>
        <v>0.98203592814371254</v>
      </c>
      <c r="M9">
        <f t="shared" si="3"/>
        <v>1.3747266609063131</v>
      </c>
      <c r="N9">
        <f>L9*I9/J9</f>
        <v>0.29609497311828287</v>
      </c>
    </row>
    <row r="10" spans="1:14" x14ac:dyDescent="0.25">
      <c r="A10" t="s">
        <v>15</v>
      </c>
      <c r="B10">
        <v>2003</v>
      </c>
      <c r="C10">
        <v>50.2</v>
      </c>
      <c r="D10">
        <v>542</v>
      </c>
      <c r="E10" t="s">
        <v>12</v>
      </c>
      <c r="F10" t="s">
        <v>9</v>
      </c>
      <c r="G10">
        <v>26</v>
      </c>
      <c r="H10">
        <v>2.6</v>
      </c>
      <c r="I10">
        <v>0.56000000000000005</v>
      </c>
      <c r="J10">
        <f t="shared" si="5"/>
        <v>6.5186501670207777</v>
      </c>
      <c r="K10">
        <f t="shared" si="0"/>
        <v>0.39885558104558932</v>
      </c>
      <c r="L10">
        <f t="shared" si="4"/>
        <v>0.99861046780917095</v>
      </c>
      <c r="M10">
        <f t="shared" si="3"/>
        <v>0.39830135837623465</v>
      </c>
      <c r="N10">
        <f>L10*I10/J10</f>
        <v>8.5787984881035159E-2</v>
      </c>
    </row>
    <row r="11" spans="1:14" x14ac:dyDescent="0.25">
      <c r="A11" t="s">
        <v>18</v>
      </c>
      <c r="B11">
        <v>2005</v>
      </c>
      <c r="C11">
        <v>41.2</v>
      </c>
      <c r="D11">
        <v>55</v>
      </c>
      <c r="E11" t="s">
        <v>19</v>
      </c>
      <c r="F11" t="s">
        <v>9</v>
      </c>
      <c r="G11">
        <v>26</v>
      </c>
      <c r="H11">
        <v>6</v>
      </c>
      <c r="I11">
        <v>2.23</v>
      </c>
      <c r="J11">
        <f t="shared" si="5"/>
        <v>8.2690613131116635</v>
      </c>
      <c r="K11">
        <f t="shared" si="0"/>
        <v>0.72559626453443105</v>
      </c>
      <c r="L11">
        <f t="shared" si="4"/>
        <v>0.98578199052132698</v>
      </c>
      <c r="M11">
        <f t="shared" si="3"/>
        <v>0.71527972996759082</v>
      </c>
      <c r="N11">
        <f>L11*I11/J11</f>
        <v>0.26584563297128788</v>
      </c>
    </row>
    <row r="12" spans="1:14" x14ac:dyDescent="0.25">
      <c r="A12" t="s">
        <v>18</v>
      </c>
      <c r="B12">
        <v>2005</v>
      </c>
      <c r="C12">
        <v>41.2</v>
      </c>
      <c r="D12">
        <v>23</v>
      </c>
      <c r="E12" t="s">
        <v>19</v>
      </c>
      <c r="F12" t="s">
        <v>9</v>
      </c>
      <c r="G12">
        <v>26</v>
      </c>
      <c r="H12">
        <v>5</v>
      </c>
      <c r="I12">
        <v>1.86</v>
      </c>
      <c r="J12">
        <f t="shared" si="5"/>
        <v>4.4601233166808294</v>
      </c>
      <c r="K12">
        <f t="shared" si="0"/>
        <v>1.1210452368659933</v>
      </c>
      <c r="L12">
        <f t="shared" si="4"/>
        <v>0.96385542168674698</v>
      </c>
      <c r="M12">
        <f t="shared" si="3"/>
        <v>1.0805255295093912</v>
      </c>
      <c r="N12">
        <f>L12*I12/J12</f>
        <v>0.4019554969774935</v>
      </c>
    </row>
    <row r="13" spans="1:14" x14ac:dyDescent="0.25">
      <c r="A13" t="s">
        <v>20</v>
      </c>
      <c r="B13">
        <v>2005</v>
      </c>
      <c r="C13">
        <v>57.1</v>
      </c>
      <c r="D13">
        <v>204</v>
      </c>
      <c r="E13" t="s">
        <v>12</v>
      </c>
      <c r="F13" t="s">
        <v>9</v>
      </c>
      <c r="G13">
        <v>16</v>
      </c>
      <c r="H13">
        <v>1.8</v>
      </c>
      <c r="I13">
        <v>0.6</v>
      </c>
      <c r="J13">
        <f t="shared" si="5"/>
        <v>4.2848570571257101</v>
      </c>
      <c r="K13">
        <f t="shared" si="0"/>
        <v>0.42008402520840293</v>
      </c>
      <c r="L13">
        <f t="shared" si="4"/>
        <v>0.99628252788104088</v>
      </c>
      <c r="M13">
        <f t="shared" si="3"/>
        <v>0.41852237455707059</v>
      </c>
      <c r="N13">
        <f>L13*I13/J13</f>
        <v>0.13950745818569019</v>
      </c>
    </row>
    <row r="14" spans="1:14" x14ac:dyDescent="0.25">
      <c r="A14" t="s">
        <v>21</v>
      </c>
      <c r="B14">
        <v>2005</v>
      </c>
      <c r="C14">
        <v>47.1</v>
      </c>
      <c r="D14">
        <v>44</v>
      </c>
      <c r="E14" t="s">
        <v>19</v>
      </c>
      <c r="F14" t="s">
        <v>9</v>
      </c>
      <c r="G14">
        <v>12</v>
      </c>
      <c r="H14">
        <v>4.4000000000000004</v>
      </c>
      <c r="I14">
        <v>7.96</v>
      </c>
      <c r="J14">
        <f t="shared" si="5"/>
        <v>26.400333331228982</v>
      </c>
      <c r="K14">
        <f t="shared" si="0"/>
        <v>0.16666456232941709</v>
      </c>
      <c r="L14">
        <f t="shared" si="4"/>
        <v>0.98203592814371254</v>
      </c>
      <c r="M14">
        <f t="shared" si="3"/>
        <v>0.16367058815583474</v>
      </c>
      <c r="N14">
        <f>L14*I14/J14</f>
        <v>0.29609497311828281</v>
      </c>
    </row>
    <row r="15" spans="1:14" x14ac:dyDescent="0.25">
      <c r="A15" t="s">
        <v>22</v>
      </c>
      <c r="B15">
        <v>2005</v>
      </c>
      <c r="C15">
        <v>54.1</v>
      </c>
      <c r="D15">
        <v>201</v>
      </c>
      <c r="E15" t="s">
        <v>12</v>
      </c>
      <c r="F15" t="s">
        <v>9</v>
      </c>
      <c r="G15">
        <v>16</v>
      </c>
      <c r="H15">
        <v>3.5</v>
      </c>
      <c r="I15">
        <v>0.49</v>
      </c>
      <c r="J15">
        <f t="shared" si="5"/>
        <v>3.4734744852956672</v>
      </c>
      <c r="K15">
        <f t="shared" si="0"/>
        <v>1.0076365940837118</v>
      </c>
      <c r="L15">
        <f t="shared" si="4"/>
        <v>0.99622641509433962</v>
      </c>
      <c r="M15">
        <f t="shared" si="3"/>
        <v>1.0038341918418865</v>
      </c>
      <c r="N15">
        <f>L15*I15/J15</f>
        <v>0.14053678685786411</v>
      </c>
    </row>
    <row r="16" spans="1:14" x14ac:dyDescent="0.25">
      <c r="A16" t="s">
        <v>23</v>
      </c>
      <c r="B16">
        <v>2009</v>
      </c>
      <c r="C16">
        <v>60</v>
      </c>
      <c r="D16">
        <v>35</v>
      </c>
      <c r="E16" t="s">
        <v>19</v>
      </c>
      <c r="F16" t="s">
        <v>9</v>
      </c>
      <c r="G16">
        <v>14</v>
      </c>
      <c r="H16">
        <v>3.6</v>
      </c>
      <c r="I16">
        <v>1.65</v>
      </c>
      <c r="J16">
        <f t="shared" si="5"/>
        <v>4.8807658210571834</v>
      </c>
      <c r="K16">
        <f t="shared" si="0"/>
        <v>0.73758916776306904</v>
      </c>
      <c r="L16">
        <f t="shared" si="4"/>
        <v>0.97709923664122134</v>
      </c>
      <c r="M16">
        <f t="shared" si="3"/>
        <v>0.72069781277612854</v>
      </c>
      <c r="N16">
        <f>L16*I16/J16</f>
        <v>0.33031983085572553</v>
      </c>
    </row>
    <row r="17" spans="1:14" x14ac:dyDescent="0.25">
      <c r="A17" t="s">
        <v>24</v>
      </c>
      <c r="B17">
        <v>2009</v>
      </c>
      <c r="C17">
        <v>60</v>
      </c>
      <c r="D17">
        <v>60</v>
      </c>
      <c r="E17" t="s">
        <v>19</v>
      </c>
      <c r="F17" t="s">
        <v>9</v>
      </c>
      <c r="G17">
        <v>14</v>
      </c>
      <c r="H17">
        <v>-0.3</v>
      </c>
      <c r="I17">
        <v>1.57</v>
      </c>
      <c r="J17">
        <f t="shared" si="5"/>
        <v>6.0805838535456447</v>
      </c>
      <c r="K17">
        <f t="shared" si="0"/>
        <v>-4.9337367467610402E-2</v>
      </c>
      <c r="L17">
        <f t="shared" si="4"/>
        <v>0.98701298701298701</v>
      </c>
      <c r="M17">
        <f t="shared" si="3"/>
        <v>-4.8696622435563511E-2</v>
      </c>
      <c r="N17">
        <f>L17*I17/J17</f>
        <v>0.25484565741278242</v>
      </c>
    </row>
    <row r="18" spans="1:14" x14ac:dyDescent="0.25">
      <c r="A18" t="s">
        <v>25</v>
      </c>
      <c r="B18">
        <v>2009</v>
      </c>
      <c r="C18">
        <v>60.7</v>
      </c>
      <c r="D18">
        <v>264</v>
      </c>
      <c r="E18" t="s">
        <v>12</v>
      </c>
      <c r="F18" t="s">
        <v>9</v>
      </c>
      <c r="G18">
        <v>26</v>
      </c>
      <c r="H18">
        <v>1.8</v>
      </c>
      <c r="I18">
        <v>28.6</v>
      </c>
      <c r="J18">
        <f t="shared" si="5"/>
        <v>232.34749837258849</v>
      </c>
      <c r="K18">
        <f t="shared" si="0"/>
        <v>7.7470169147831787E-3</v>
      </c>
      <c r="L18">
        <f t="shared" si="4"/>
        <v>0.99713467048710602</v>
      </c>
      <c r="M18">
        <f t="shared" si="3"/>
        <v>7.7248191585803615E-3</v>
      </c>
      <c r="N18">
        <f>L18*I18/J18</f>
        <v>0.12273879329744353</v>
      </c>
    </row>
    <row r="19" spans="1:14" x14ac:dyDescent="0.25">
      <c r="A19" t="s">
        <v>26</v>
      </c>
      <c r="B19">
        <v>2010</v>
      </c>
      <c r="C19">
        <v>51.8</v>
      </c>
      <c r="D19">
        <v>95</v>
      </c>
      <c r="E19" t="s">
        <v>12</v>
      </c>
      <c r="F19" t="s">
        <v>9</v>
      </c>
      <c r="G19">
        <v>16</v>
      </c>
      <c r="H19">
        <v>3.7</v>
      </c>
      <c r="I19">
        <v>1.22</v>
      </c>
      <c r="J19">
        <f t="shared" si="5"/>
        <v>5.9455445503334676</v>
      </c>
      <c r="K19">
        <f t="shared" si="0"/>
        <v>0.62231473815001159</v>
      </c>
      <c r="L19">
        <f t="shared" si="4"/>
        <v>0.99191374663072773</v>
      </c>
      <c r="M19">
        <f t="shared" si="3"/>
        <v>0.61728254350189826</v>
      </c>
      <c r="N19">
        <f>L19*I19/J19</f>
        <v>0.20353640623576102</v>
      </c>
    </row>
    <row r="20" spans="1:14" x14ac:dyDescent="0.25">
      <c r="A20" t="s">
        <v>26</v>
      </c>
      <c r="B20">
        <v>2010</v>
      </c>
      <c r="C20">
        <v>52.3</v>
      </c>
      <c r="D20">
        <v>95</v>
      </c>
      <c r="E20" t="s">
        <v>12</v>
      </c>
      <c r="F20" t="s">
        <v>9</v>
      </c>
      <c r="G20">
        <v>16</v>
      </c>
      <c r="H20">
        <v>6.1</v>
      </c>
      <c r="I20">
        <v>1.22</v>
      </c>
      <c r="J20">
        <f t="shared" si="5"/>
        <v>5.9455445503334676</v>
      </c>
      <c r="K20">
        <f t="shared" si="0"/>
        <v>1.0259783520851542</v>
      </c>
      <c r="L20">
        <f t="shared" si="4"/>
        <v>0.99191374663072773</v>
      </c>
      <c r="M20">
        <f t="shared" si="3"/>
        <v>1.0176820311788053</v>
      </c>
      <c r="N20">
        <f>L20*I20/J20</f>
        <v>0.20353640623576102</v>
      </c>
    </row>
    <row r="21" spans="1:14" x14ac:dyDescent="0.25">
      <c r="A21" t="s">
        <v>27</v>
      </c>
      <c r="B21">
        <v>2011</v>
      </c>
      <c r="C21">
        <v>48</v>
      </c>
      <c r="D21">
        <v>27</v>
      </c>
      <c r="E21" t="s">
        <v>12</v>
      </c>
      <c r="F21" t="s">
        <v>9</v>
      </c>
      <c r="G21">
        <v>12</v>
      </c>
      <c r="H21">
        <v>3.6</v>
      </c>
      <c r="I21">
        <v>2.35</v>
      </c>
      <c r="J21">
        <f t="shared" si="5"/>
        <v>6.105479096680293</v>
      </c>
      <c r="K21">
        <f t="shared" si="0"/>
        <v>0.58963431747025608</v>
      </c>
      <c r="L21">
        <f t="shared" si="4"/>
        <v>0.96969696969696972</v>
      </c>
      <c r="M21">
        <f t="shared" si="3"/>
        <v>0.57176661088024838</v>
      </c>
      <c r="N21">
        <f>L21*I21/J21</f>
        <v>0.37323653765793985</v>
      </c>
    </row>
    <row r="22" spans="1:14" x14ac:dyDescent="0.25">
      <c r="A22" t="s">
        <v>28</v>
      </c>
      <c r="B22">
        <v>2012</v>
      </c>
      <c r="C22">
        <v>44.3</v>
      </c>
      <c r="D22">
        <v>20</v>
      </c>
      <c r="E22" t="s">
        <v>12</v>
      </c>
      <c r="F22" t="s">
        <v>9</v>
      </c>
      <c r="G22">
        <v>2</v>
      </c>
      <c r="H22">
        <v>10.199999999999999</v>
      </c>
      <c r="I22">
        <v>4.66</v>
      </c>
      <c r="J22">
        <f t="shared" si="5"/>
        <v>10.42007677514902</v>
      </c>
      <c r="K22">
        <f t="shared" si="0"/>
        <v>0.97887954379819109</v>
      </c>
      <c r="L22">
        <f t="shared" si="4"/>
        <v>0.95774647887323949</v>
      </c>
      <c r="M22">
        <f t="shared" si="3"/>
        <v>0.93751843631376053</v>
      </c>
      <c r="N22">
        <f>L22*I22/J22</f>
        <v>0.42831724639432595</v>
      </c>
    </row>
    <row r="23" spans="1:14" x14ac:dyDescent="0.25">
      <c r="A23" t="s">
        <v>29</v>
      </c>
      <c r="B23">
        <v>2013</v>
      </c>
      <c r="C23">
        <v>51.4</v>
      </c>
      <c r="D23">
        <v>25</v>
      </c>
      <c r="E23" t="s">
        <v>12</v>
      </c>
      <c r="F23" t="s">
        <v>9</v>
      </c>
      <c r="G23">
        <v>12</v>
      </c>
      <c r="H23">
        <v>5.5</v>
      </c>
      <c r="I23">
        <v>4.26</v>
      </c>
      <c r="J23">
        <f t="shared" si="5"/>
        <v>10.649999999999999</v>
      </c>
      <c r="K23">
        <f t="shared" si="0"/>
        <v>0.51643192488262912</v>
      </c>
      <c r="L23">
        <f t="shared" si="4"/>
        <v>0.96703296703296704</v>
      </c>
      <c r="M23">
        <f t="shared" si="3"/>
        <v>0.4994066965897952</v>
      </c>
      <c r="N23">
        <f>L23*I23/J23</f>
        <v>0.38681318681318688</v>
      </c>
    </row>
  </sheetData>
  <sortState xmlns:xlrd2="http://schemas.microsoft.com/office/spreadsheetml/2017/richdata2" ref="A2:M23">
    <sortCondition ref="F2:F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2025-12-29T13:55:32Z</dcterms:modified>
</cp:coreProperties>
</file>