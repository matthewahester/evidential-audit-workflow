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Diet\ndanuko2016\"/>
    </mc:Choice>
  </mc:AlternateContent>
  <xr:revisionPtr revIDLastSave="0" documentId="13_ncr:1_{698097B5-2847-40A9-9877-A5CDB3D7D1F4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" i="1"/>
  <c r="L2" i="1"/>
  <c r="H2" i="1"/>
  <c r="I2" i="1"/>
  <c r="J2" i="1"/>
  <c r="K2" i="1" s="1"/>
  <c r="N2" i="1"/>
  <c r="K4" i="1"/>
  <c r="L4" i="1" s="1"/>
  <c r="N4" i="1"/>
  <c r="N5" i="1"/>
  <c r="N6" i="1"/>
  <c r="N7" i="1"/>
  <c r="N8" i="1"/>
  <c r="N9" i="1"/>
  <c r="N10" i="1"/>
  <c r="N11" i="1"/>
  <c r="O11" i="1" s="1"/>
  <c r="N12" i="1"/>
  <c r="N13" i="1"/>
  <c r="N14" i="1"/>
  <c r="N15" i="1"/>
  <c r="K16" i="1"/>
  <c r="L16" i="1"/>
  <c r="N16" i="1"/>
  <c r="N17" i="1"/>
  <c r="N18" i="1"/>
  <c r="N19" i="1"/>
  <c r="N3" i="1"/>
  <c r="K3" i="1"/>
  <c r="L3" i="1" s="1"/>
  <c r="M3" i="1" s="1"/>
  <c r="O3" i="1" s="1"/>
  <c r="J4" i="1"/>
  <c r="J5" i="1"/>
  <c r="K5" i="1" s="1"/>
  <c r="L5" i="1" s="1"/>
  <c r="J6" i="1"/>
  <c r="K6" i="1" s="1"/>
  <c r="L6" i="1" s="1"/>
  <c r="M6" i="1" s="1"/>
  <c r="O6" i="1" s="1"/>
  <c r="J7" i="1"/>
  <c r="K7" i="1" s="1"/>
  <c r="L7" i="1" s="1"/>
  <c r="J8" i="1"/>
  <c r="K8" i="1" s="1"/>
  <c r="L8" i="1" s="1"/>
  <c r="J9" i="1"/>
  <c r="J10" i="1"/>
  <c r="J11" i="1"/>
  <c r="K11" i="1" s="1"/>
  <c r="L11" i="1" s="1"/>
  <c r="M11" i="1" s="1"/>
  <c r="J12" i="1"/>
  <c r="K12" i="1" s="1"/>
  <c r="L12" i="1" s="1"/>
  <c r="M12" i="1" s="1"/>
  <c r="O12" i="1" s="1"/>
  <c r="J13" i="1"/>
  <c r="K13" i="1" s="1"/>
  <c r="L13" i="1" s="1"/>
  <c r="J14" i="1"/>
  <c r="K14" i="1" s="1"/>
  <c r="L14" i="1" s="1"/>
  <c r="J15" i="1"/>
  <c r="K15" i="1" s="1"/>
  <c r="L15" i="1" s="1"/>
  <c r="J16" i="1"/>
  <c r="J17" i="1"/>
  <c r="K17" i="1" s="1"/>
  <c r="L17" i="1" s="1"/>
  <c r="J18" i="1"/>
  <c r="J19" i="1"/>
  <c r="K19" i="1" s="1"/>
  <c r="L19" i="1" s="1"/>
  <c r="J3" i="1"/>
  <c r="I4" i="1"/>
  <c r="I5" i="1"/>
  <c r="I6" i="1"/>
  <c r="I7" i="1"/>
  <c r="I8" i="1"/>
  <c r="I9" i="1"/>
  <c r="K9" i="1" s="1"/>
  <c r="L9" i="1" s="1"/>
  <c r="I10" i="1"/>
  <c r="K10" i="1" s="1"/>
  <c r="L10" i="1" s="1"/>
  <c r="I11" i="1"/>
  <c r="I12" i="1"/>
  <c r="I13" i="1"/>
  <c r="I14" i="1"/>
  <c r="I15" i="1"/>
  <c r="I16" i="1"/>
  <c r="I17" i="1"/>
  <c r="I18" i="1"/>
  <c r="K18" i="1" s="1"/>
  <c r="L18" i="1" s="1"/>
  <c r="M18" i="1" s="1"/>
  <c r="O18" i="1" s="1"/>
  <c r="I19" i="1"/>
  <c r="I3" i="1"/>
  <c r="H4" i="1"/>
  <c r="M4" i="1" s="1"/>
  <c r="O4" i="1" s="1"/>
  <c r="H5" i="1"/>
  <c r="M5" i="1" s="1"/>
  <c r="H6" i="1"/>
  <c r="H7" i="1"/>
  <c r="M7" i="1" s="1"/>
  <c r="O7" i="1" s="1"/>
  <c r="H8" i="1"/>
  <c r="M8" i="1" s="1"/>
  <c r="O8" i="1" s="1"/>
  <c r="H9" i="1"/>
  <c r="M9" i="1" s="1"/>
  <c r="H10" i="1"/>
  <c r="H11" i="1"/>
  <c r="H12" i="1"/>
  <c r="H13" i="1"/>
  <c r="H14" i="1"/>
  <c r="H15" i="1"/>
  <c r="H16" i="1"/>
  <c r="M16" i="1" s="1"/>
  <c r="O16" i="1" s="1"/>
  <c r="H17" i="1"/>
  <c r="M17" i="1" s="1"/>
  <c r="H18" i="1"/>
  <c r="H19" i="1"/>
  <c r="M19" i="1" s="1"/>
  <c r="O19" i="1" s="1"/>
  <c r="H3" i="1"/>
  <c r="M2" i="1" l="1"/>
  <c r="O2" i="1" s="1"/>
  <c r="O9" i="1"/>
  <c r="O17" i="1"/>
  <c r="O5" i="1"/>
  <c r="M15" i="1"/>
  <c r="M14" i="1"/>
  <c r="O14" i="1" s="1"/>
  <c r="M13" i="1"/>
  <c r="O13" i="1" s="1"/>
  <c r="M10" i="1"/>
  <c r="O10" i="1" s="1"/>
  <c r="O15" i="1"/>
</calcChain>
</file>

<file path=xl/sharedStrings.xml><?xml version="1.0" encoding="utf-8"?>
<sst xmlns="http://schemas.openxmlformats.org/spreadsheetml/2006/main" count="52" uniqueCount="35">
  <si>
    <t>diet</t>
  </si>
  <si>
    <t>DASH</t>
  </si>
  <si>
    <t>nordic</t>
  </si>
  <si>
    <t>med</t>
  </si>
  <si>
    <t>tibetan</t>
  </si>
  <si>
    <t>Azadbakht</t>
  </si>
  <si>
    <t>Blumenthal</t>
  </si>
  <si>
    <t>Burke</t>
  </si>
  <si>
    <t>Miller</t>
  </si>
  <si>
    <t>Moore</t>
  </si>
  <si>
    <t>Nowson</t>
  </si>
  <si>
    <t>Sacks</t>
  </si>
  <si>
    <t>Svetkey</t>
  </si>
  <si>
    <t>Domenech</t>
  </si>
  <si>
    <t>Esposito</t>
  </si>
  <si>
    <t>Adamsson</t>
  </si>
  <si>
    <t>Brader</t>
  </si>
  <si>
    <t>Poulsen</t>
  </si>
  <si>
    <t>VonHaehling</t>
  </si>
  <si>
    <t>Author</t>
  </si>
  <si>
    <t>weihgt</t>
  </si>
  <si>
    <t>n</t>
  </si>
  <si>
    <t>es</t>
  </si>
  <si>
    <t>es_neg</t>
  </si>
  <si>
    <t>lCI_neg</t>
  </si>
  <si>
    <t>uCI_neg</t>
  </si>
  <si>
    <t>lCI</t>
  </si>
  <si>
    <t>uCI</t>
  </si>
  <si>
    <t>SE</t>
  </si>
  <si>
    <t>pooled_sd</t>
  </si>
  <si>
    <t>d</t>
  </si>
  <si>
    <t>J</t>
  </si>
  <si>
    <t>g</t>
  </si>
  <si>
    <t>se_g</t>
  </si>
  <si>
    <t>Appel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</si>
</sst>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1" workbookViewId="0">
      <selection activeCell="L3" sqref="L3"/>
    </sheetView>
  </sheetViews>
  <sheetFormatPr defaultRowHeight="15" x14ac:dyDescent="0.25"/>
  <cols>
    <col min="1" max="1" width="12.42578125" bestFit="1" customWidth="1"/>
    <col min="2" max="2" width="4" bestFit="1" customWidth="1"/>
    <col min="3" max="3" width="7.42578125" bestFit="1" customWidth="1"/>
    <col min="4" max="4" width="7.140625" bestFit="1" customWidth="1"/>
    <col min="5" max="5" width="7.28515625" bestFit="1" customWidth="1"/>
    <col min="6" max="6" width="7.5703125" bestFit="1" customWidth="1"/>
    <col min="7" max="7" width="8.140625" bestFit="1" customWidth="1"/>
    <col min="8" max="8" width="5" bestFit="1" customWidth="1"/>
    <col min="9" max="9" width="5.7109375" bestFit="1" customWidth="1"/>
    <col min="10" max="10" width="6" bestFit="1" customWidth="1"/>
    <col min="11" max="16" width="12" bestFit="1" customWidth="1"/>
  </cols>
  <sheetData>
    <row r="1" spans="1:16" ht="30" x14ac:dyDescent="0.25">
      <c r="A1" t="s">
        <v>19</v>
      </c>
      <c r="B1" t="s">
        <v>21</v>
      </c>
      <c r="C1" t="s">
        <v>0</v>
      </c>
      <c r="D1" t="s">
        <v>20</v>
      </c>
      <c r="E1" t="s">
        <v>23</v>
      </c>
      <c r="F1" t="s">
        <v>24</v>
      </c>
      <c r="G1" t="s">
        <v>25</v>
      </c>
      <c r="H1" t="s">
        <v>22</v>
      </c>
      <c r="I1" t="s">
        <v>26</v>
      </c>
      <c r="J1" t="s">
        <v>27</v>
      </c>
      <c r="K1" s="1" t="s">
        <v>28</v>
      </c>
      <c r="L1" s="1" t="s">
        <v>29</v>
      </c>
      <c r="M1" t="s">
        <v>30</v>
      </c>
      <c r="N1" t="s">
        <v>31</v>
      </c>
      <c r="O1" t="s">
        <v>32</v>
      </c>
      <c r="P1" t="s">
        <v>33</v>
      </c>
    </row>
    <row r="2" spans="1:16" x14ac:dyDescent="0.25">
      <c r="A2" t="s">
        <v>34</v>
      </c>
      <c r="B2">
        <v>810</v>
      </c>
      <c r="C2" t="s">
        <v>1</v>
      </c>
      <c r="D2">
        <v>8.5999999999999993E-2</v>
      </c>
      <c r="E2">
        <v>-4.2</v>
      </c>
      <c r="F2">
        <v>-5.58</v>
      </c>
      <c r="G2">
        <v>-2.82</v>
      </c>
      <c r="H2">
        <f>-E2</f>
        <v>4.2</v>
      </c>
      <c r="I2">
        <f>-G2</f>
        <v>2.82</v>
      </c>
      <c r="J2">
        <f>-F2</f>
        <v>5.58</v>
      </c>
      <c r="K2">
        <f>(J2-I2)/1.96/2</f>
        <v>0.70408163265306134</v>
      </c>
      <c r="L2">
        <f>K2*SQRT(B2)</f>
        <v>20.038514560862897</v>
      </c>
      <c r="M2">
        <f>H2/L2</f>
        <v>0.20959637438410705</v>
      </c>
      <c r="N2">
        <f>1-3/(4*(B2-1)-1)</f>
        <v>0.9990726429675425</v>
      </c>
      <c r="O2">
        <f>N2*M2</f>
        <v>0.20940200371234435</v>
      </c>
      <c r="P2">
        <f>N2*K2/L2</f>
        <v>3.5103834441573764E-2</v>
      </c>
    </row>
    <row r="3" spans="1:16" x14ac:dyDescent="0.25">
      <c r="A3" t="s">
        <v>5</v>
      </c>
      <c r="B3">
        <v>44</v>
      </c>
      <c r="C3" t="s">
        <v>1</v>
      </c>
      <c r="D3">
        <v>0.01</v>
      </c>
      <c r="E3">
        <v>-10.5</v>
      </c>
      <c r="F3">
        <v>-19.239999999999998</v>
      </c>
      <c r="G3">
        <v>-1.76</v>
      </c>
      <c r="H3">
        <f>-E3</f>
        <v>10.5</v>
      </c>
      <c r="I3">
        <f>-G3</f>
        <v>1.76</v>
      </c>
      <c r="J3">
        <f>-F3</f>
        <v>19.239999999999998</v>
      </c>
      <c r="K3">
        <f>(J3-I3)/1.96/2</f>
        <v>4.4591836734693873</v>
      </c>
      <c r="L3">
        <f>K3*SQRT(B3)</f>
        <v>29.578878232353258</v>
      </c>
      <c r="M3">
        <f>H3/L3</f>
        <v>0.35498303612187504</v>
      </c>
      <c r="N3">
        <f>1-3/(4*(B3-1)-1)</f>
        <v>0.98245614035087714</v>
      </c>
      <c r="O3">
        <f>N3*M3</f>
        <v>0.34875526355833336</v>
      </c>
      <c r="P3">
        <f>N3*K3/L3</f>
        <v>0.1481108359329365</v>
      </c>
    </row>
    <row r="4" spans="1:16" x14ac:dyDescent="0.25">
      <c r="A4" t="s">
        <v>6</v>
      </c>
      <c r="B4">
        <v>144</v>
      </c>
      <c r="C4" t="s">
        <v>1</v>
      </c>
      <c r="D4">
        <v>3.5000000000000003E-2</v>
      </c>
      <c r="E4">
        <v>-10.3</v>
      </c>
      <c r="F4">
        <v>-14.37</v>
      </c>
      <c r="G4">
        <v>-6.23</v>
      </c>
      <c r="H4">
        <f t="shared" ref="H4:H19" si="0">-E4</f>
        <v>10.3</v>
      </c>
      <c r="I4">
        <f t="shared" ref="I4:I19" si="1">-G4</f>
        <v>6.23</v>
      </c>
      <c r="J4">
        <f t="shared" ref="J4:J19" si="2">-F4</f>
        <v>14.37</v>
      </c>
      <c r="K4">
        <f t="shared" ref="K4:K19" si="3">(J4-I4)/1.96/2</f>
        <v>2.0765306122448979</v>
      </c>
      <c r="L4">
        <f t="shared" ref="L4:L19" si="4">K4*SQRT(B4)</f>
        <v>24.918367346938773</v>
      </c>
      <c r="M4">
        <f t="shared" ref="M4:M19" si="5">H4/L4</f>
        <v>0.41334971334971343</v>
      </c>
      <c r="N4">
        <f t="shared" ref="N4:N19" si="6">1-3/(4*(B4-1)-1)</f>
        <v>0.99474605954465845</v>
      </c>
      <c r="O4">
        <f t="shared" ref="O4:O19" si="7">N4*M4</f>
        <v>0.41117799856854154</v>
      </c>
      <c r="P4">
        <f>N4*K4/L4</f>
        <v>8.2895504962054875E-2</v>
      </c>
    </row>
    <row r="5" spans="1:16" x14ac:dyDescent="0.25">
      <c r="A5" t="s">
        <v>7</v>
      </c>
      <c r="B5">
        <v>241</v>
      </c>
      <c r="C5" t="s">
        <v>1</v>
      </c>
      <c r="D5">
        <v>4.7E-2</v>
      </c>
      <c r="E5">
        <v>-3.1</v>
      </c>
      <c r="F5">
        <v>-6.26</v>
      </c>
      <c r="G5">
        <v>0.06</v>
      </c>
      <c r="H5">
        <f t="shared" si="0"/>
        <v>3.1</v>
      </c>
      <c r="I5">
        <f t="shared" si="1"/>
        <v>-0.06</v>
      </c>
      <c r="J5">
        <f t="shared" si="2"/>
        <v>6.26</v>
      </c>
      <c r="K5">
        <f t="shared" si="3"/>
        <v>1.6122448979591835</v>
      </c>
      <c r="L5">
        <f t="shared" si="4"/>
        <v>25.028771449072281</v>
      </c>
      <c r="M5">
        <f t="shared" si="5"/>
        <v>0.12385745765859016</v>
      </c>
      <c r="N5">
        <f t="shared" si="6"/>
        <v>0.99687174139728885</v>
      </c>
      <c r="O5">
        <f t="shared" si="7"/>
        <v>0.12346999950115974</v>
      </c>
      <c r="P5">
        <f>N5*K5/L5</f>
        <v>6.4214153789279901E-2</v>
      </c>
    </row>
    <row r="6" spans="1:16" x14ac:dyDescent="0.25">
      <c r="A6" t="s">
        <v>8</v>
      </c>
      <c r="B6">
        <v>45</v>
      </c>
      <c r="C6" t="s">
        <v>1</v>
      </c>
      <c r="D6">
        <v>2.8000000000000001E-2</v>
      </c>
      <c r="E6">
        <v>-9.4</v>
      </c>
      <c r="F6">
        <v>-14.08</v>
      </c>
      <c r="G6">
        <v>-4.72</v>
      </c>
      <c r="H6">
        <f t="shared" si="0"/>
        <v>9.4</v>
      </c>
      <c r="I6">
        <f t="shared" si="1"/>
        <v>4.72</v>
      </c>
      <c r="J6">
        <f t="shared" si="2"/>
        <v>14.08</v>
      </c>
      <c r="K6">
        <f t="shared" si="3"/>
        <v>2.3877551020408161</v>
      </c>
      <c r="L6">
        <f t="shared" si="4"/>
        <v>16.017548165355635</v>
      </c>
      <c r="M6">
        <f t="shared" si="5"/>
        <v>0.58685635922302182</v>
      </c>
      <c r="N6">
        <f t="shared" si="6"/>
        <v>0.98285714285714287</v>
      </c>
      <c r="O6">
        <f t="shared" si="7"/>
        <v>0.57679596449348436</v>
      </c>
      <c r="P6">
        <f>N6*K6/L6</f>
        <v>0.1465156922399862</v>
      </c>
    </row>
    <row r="7" spans="1:16" x14ac:dyDescent="0.25">
      <c r="A7" t="s">
        <v>9</v>
      </c>
      <c r="B7">
        <v>354</v>
      </c>
      <c r="C7" t="s">
        <v>1</v>
      </c>
      <c r="D7">
        <v>8.1000000000000003E-2</v>
      </c>
      <c r="E7">
        <v>-3.7</v>
      </c>
      <c r="F7">
        <v>-5.27</v>
      </c>
      <c r="G7">
        <v>-2.13</v>
      </c>
      <c r="H7">
        <f t="shared" si="0"/>
        <v>3.7</v>
      </c>
      <c r="I7">
        <f t="shared" si="1"/>
        <v>2.13</v>
      </c>
      <c r="J7">
        <f t="shared" si="2"/>
        <v>5.27</v>
      </c>
      <c r="K7">
        <f t="shared" si="3"/>
        <v>0.80102040816326525</v>
      </c>
      <c r="L7">
        <f t="shared" si="4"/>
        <v>15.071109042804101</v>
      </c>
      <c r="M7">
        <f t="shared" si="5"/>
        <v>0.24550283522542846</v>
      </c>
      <c r="N7">
        <f t="shared" si="6"/>
        <v>0.99787384833451453</v>
      </c>
      <c r="O7">
        <f t="shared" si="7"/>
        <v>0.2449808589634325</v>
      </c>
      <c r="P7">
        <f>N7*K7/L7</f>
        <v>5.3036396659209735E-2</v>
      </c>
    </row>
    <row r="8" spans="1:16" x14ac:dyDescent="0.25">
      <c r="A8" t="s">
        <v>10</v>
      </c>
      <c r="B8">
        <v>63</v>
      </c>
      <c r="C8" t="s">
        <v>1</v>
      </c>
      <c r="D8">
        <v>4.1000000000000002E-2</v>
      </c>
      <c r="E8">
        <v>-5.5</v>
      </c>
      <c r="F8">
        <v>-9.0299999999999994</v>
      </c>
      <c r="G8">
        <v>-1.97</v>
      </c>
      <c r="H8">
        <f t="shared" si="0"/>
        <v>5.5</v>
      </c>
      <c r="I8">
        <f t="shared" si="1"/>
        <v>1.97</v>
      </c>
      <c r="J8">
        <f t="shared" si="2"/>
        <v>9.0299999999999994</v>
      </c>
      <c r="K8">
        <f t="shared" si="3"/>
        <v>1.8010204081632653</v>
      </c>
      <c r="L8">
        <f t="shared" si="4"/>
        <v>14.295156318456129</v>
      </c>
      <c r="M8">
        <f t="shared" si="5"/>
        <v>0.38474570529173463</v>
      </c>
      <c r="N8">
        <f t="shared" si="6"/>
        <v>0.98785425101214575</v>
      </c>
      <c r="O8">
        <f t="shared" si="7"/>
        <v>0.38007268053110627</v>
      </c>
      <c r="P8">
        <f>N8*K8/L8</f>
        <v>0.12445793713124352</v>
      </c>
    </row>
    <row r="9" spans="1:16" x14ac:dyDescent="0.25">
      <c r="A9" t="s">
        <v>10</v>
      </c>
      <c r="B9">
        <v>111</v>
      </c>
      <c r="C9" t="s">
        <v>1</v>
      </c>
      <c r="D9">
        <v>4.5999999999999999E-2</v>
      </c>
      <c r="E9">
        <v>-2.9</v>
      </c>
      <c r="F9">
        <v>-6.11</v>
      </c>
      <c r="G9">
        <v>0.31</v>
      </c>
      <c r="H9">
        <f t="shared" si="0"/>
        <v>2.9</v>
      </c>
      <c r="I9">
        <f t="shared" si="1"/>
        <v>-0.31</v>
      </c>
      <c r="J9">
        <f t="shared" si="2"/>
        <v>6.11</v>
      </c>
      <c r="K9">
        <f t="shared" si="3"/>
        <v>1.6377551020408163</v>
      </c>
      <c r="L9">
        <f t="shared" si="4"/>
        <v>17.254820687070044</v>
      </c>
      <c r="M9">
        <f t="shared" si="5"/>
        <v>0.16806897345349547</v>
      </c>
      <c r="N9">
        <f t="shared" si="6"/>
        <v>0.99316628701594534</v>
      </c>
      <c r="O9">
        <f t="shared" si="7"/>
        <v>0.16692043832738959</v>
      </c>
      <c r="P9">
        <f>N9*K9/L9</f>
        <v>9.4267172243300598E-2</v>
      </c>
    </row>
    <row r="10" spans="1:16" x14ac:dyDescent="0.25">
      <c r="A10" t="s">
        <v>11</v>
      </c>
      <c r="B10">
        <v>206</v>
      </c>
      <c r="C10" t="s">
        <v>1</v>
      </c>
      <c r="D10">
        <v>8.6999999999999994E-2</v>
      </c>
      <c r="E10">
        <v>-6.7</v>
      </c>
      <c r="F10">
        <v>-8.0299999999999994</v>
      </c>
      <c r="G10">
        <v>-5.37</v>
      </c>
      <c r="H10">
        <f t="shared" si="0"/>
        <v>6.7</v>
      </c>
      <c r="I10">
        <f t="shared" si="1"/>
        <v>5.37</v>
      </c>
      <c r="J10">
        <f t="shared" si="2"/>
        <v>8.0299999999999994</v>
      </c>
      <c r="K10">
        <f t="shared" si="3"/>
        <v>0.67857142857142838</v>
      </c>
      <c r="L10">
        <f t="shared" si="4"/>
        <v>9.7393322069192525</v>
      </c>
      <c r="M10">
        <f t="shared" si="5"/>
        <v>0.68793217621635538</v>
      </c>
      <c r="N10">
        <f t="shared" si="6"/>
        <v>0.99633699633699635</v>
      </c>
      <c r="O10">
        <f t="shared" si="7"/>
        <v>0.68541227813497685</v>
      </c>
      <c r="P10">
        <f>N10*K10/L10</f>
        <v>6.9418087870813189E-2</v>
      </c>
    </row>
    <row r="11" spans="1:16" x14ac:dyDescent="0.25">
      <c r="A11" t="s">
        <v>11</v>
      </c>
      <c r="B11">
        <v>206</v>
      </c>
      <c r="C11" t="s">
        <v>1</v>
      </c>
      <c r="D11">
        <v>8.7999999999999995E-2</v>
      </c>
      <c r="E11">
        <v>-3</v>
      </c>
      <c r="F11">
        <v>-4.3</v>
      </c>
      <c r="G11">
        <v>-1.7</v>
      </c>
      <c r="H11">
        <f t="shared" si="0"/>
        <v>3</v>
      </c>
      <c r="I11">
        <f t="shared" si="1"/>
        <v>1.7</v>
      </c>
      <c r="J11">
        <f t="shared" si="2"/>
        <v>4.3</v>
      </c>
      <c r="K11">
        <f t="shared" si="3"/>
        <v>0.66326530612244894</v>
      </c>
      <c r="L11">
        <f t="shared" si="4"/>
        <v>9.5196480218007746</v>
      </c>
      <c r="M11">
        <f t="shared" si="5"/>
        <v>0.315137701848824</v>
      </c>
      <c r="N11">
        <f t="shared" si="6"/>
        <v>0.99633699633699635</v>
      </c>
      <c r="O11">
        <f t="shared" si="7"/>
        <v>0.31398335129260119</v>
      </c>
      <c r="P11">
        <f>N11*K11/L11</f>
        <v>6.9418087870813203E-2</v>
      </c>
    </row>
    <row r="12" spans="1:16" x14ac:dyDescent="0.25">
      <c r="A12" t="s">
        <v>12</v>
      </c>
      <c r="B12">
        <v>574</v>
      </c>
      <c r="C12" t="s">
        <v>1</v>
      </c>
      <c r="D12">
        <v>4.9000000000000002E-2</v>
      </c>
      <c r="E12">
        <v>-3</v>
      </c>
      <c r="F12">
        <v>-6.08</v>
      </c>
      <c r="G12">
        <v>0.08</v>
      </c>
      <c r="H12">
        <f t="shared" si="0"/>
        <v>3</v>
      </c>
      <c r="I12">
        <f t="shared" si="1"/>
        <v>-0.08</v>
      </c>
      <c r="J12">
        <f t="shared" si="2"/>
        <v>6.08</v>
      </c>
      <c r="K12">
        <f t="shared" si="3"/>
        <v>1.5714285714285714</v>
      </c>
      <c r="L12">
        <f t="shared" si="4"/>
        <v>37.648752587948664</v>
      </c>
      <c r="M12">
        <f t="shared" si="5"/>
        <v>7.9683914971469663E-2</v>
      </c>
      <c r="N12">
        <f t="shared" si="6"/>
        <v>0.99869052815364467</v>
      </c>
      <c r="O12">
        <f t="shared" si="7"/>
        <v>7.9579571128207155E-2</v>
      </c>
      <c r="P12">
        <f>N12*K12/L12</f>
        <v>4.1684537257632326E-2</v>
      </c>
    </row>
    <row r="13" spans="1:16" x14ac:dyDescent="0.25">
      <c r="A13" t="s">
        <v>13</v>
      </c>
      <c r="B13">
        <v>284</v>
      </c>
      <c r="C13" t="s">
        <v>3</v>
      </c>
      <c r="D13">
        <v>6.8000000000000005E-2</v>
      </c>
      <c r="E13">
        <v>-4.2</v>
      </c>
      <c r="F13">
        <v>-6.32</v>
      </c>
      <c r="G13">
        <v>-2.08</v>
      </c>
      <c r="H13">
        <f t="shared" si="0"/>
        <v>4.2</v>
      </c>
      <c r="I13">
        <f t="shared" si="1"/>
        <v>2.08</v>
      </c>
      <c r="J13">
        <f t="shared" si="2"/>
        <v>6.32</v>
      </c>
      <c r="K13">
        <f t="shared" si="3"/>
        <v>1.0816326530612246</v>
      </c>
      <c r="L13">
        <f t="shared" si="4"/>
        <v>18.227997468503961</v>
      </c>
      <c r="M13">
        <f t="shared" si="5"/>
        <v>0.23041477854367454</v>
      </c>
      <c r="N13">
        <f t="shared" si="6"/>
        <v>0.99734748010610075</v>
      </c>
      <c r="O13">
        <f t="shared" si="7"/>
        <v>0.22980359875973905</v>
      </c>
      <c r="P13">
        <f>N13*K13/L13</f>
        <v>5.9181684811788968E-2</v>
      </c>
    </row>
    <row r="14" spans="1:16" x14ac:dyDescent="0.25">
      <c r="A14" t="s">
        <v>14</v>
      </c>
      <c r="B14">
        <v>180</v>
      </c>
      <c r="C14" t="s">
        <v>3</v>
      </c>
      <c r="D14">
        <v>5.8000000000000003E-2</v>
      </c>
      <c r="E14">
        <v>-2</v>
      </c>
      <c r="F14">
        <v>-4.58</v>
      </c>
      <c r="G14">
        <v>0.57999999999999996</v>
      </c>
      <c r="H14">
        <f t="shared" si="0"/>
        <v>2</v>
      </c>
      <c r="I14">
        <f t="shared" si="1"/>
        <v>-0.57999999999999996</v>
      </c>
      <c r="J14">
        <f t="shared" si="2"/>
        <v>4.58</v>
      </c>
      <c r="K14">
        <f t="shared" si="3"/>
        <v>1.3163265306122449</v>
      </c>
      <c r="L14">
        <f t="shared" si="4"/>
        <v>17.660373618212624</v>
      </c>
      <c r="M14">
        <f t="shared" si="5"/>
        <v>0.11324788723254749</v>
      </c>
      <c r="N14">
        <f t="shared" si="6"/>
        <v>0.99580419580419577</v>
      </c>
      <c r="O14">
        <f t="shared" si="7"/>
        <v>0.1127727212721312</v>
      </c>
      <c r="P14">
        <f>N14*K14/L14</f>
        <v>7.4222862469923087E-2</v>
      </c>
    </row>
    <row r="15" spans="1:16" x14ac:dyDescent="0.25">
      <c r="A15" t="s">
        <v>14</v>
      </c>
      <c r="B15">
        <v>120</v>
      </c>
      <c r="C15" t="s">
        <v>3</v>
      </c>
      <c r="D15">
        <v>0.10299999999999999</v>
      </c>
      <c r="E15">
        <v>-3</v>
      </c>
      <c r="F15">
        <v>-3.46</v>
      </c>
      <c r="G15">
        <v>-2.54</v>
      </c>
      <c r="H15">
        <f t="shared" si="0"/>
        <v>3</v>
      </c>
      <c r="I15">
        <f t="shared" si="1"/>
        <v>2.54</v>
      </c>
      <c r="J15">
        <f t="shared" si="2"/>
        <v>3.46</v>
      </c>
      <c r="K15">
        <f t="shared" si="3"/>
        <v>0.23469387755102039</v>
      </c>
      <c r="L15">
        <f t="shared" si="4"/>
        <v>2.5709426168609837</v>
      </c>
      <c r="M15">
        <f t="shared" si="5"/>
        <v>1.1668871877283975</v>
      </c>
      <c r="N15">
        <f t="shared" si="6"/>
        <v>0.99368421052631584</v>
      </c>
      <c r="O15">
        <f t="shared" si="7"/>
        <v>1.1595173739111655</v>
      </c>
      <c r="P15">
        <f>N15*K15/L15</f>
        <v>9.0710542856995938E-2</v>
      </c>
    </row>
    <row r="16" spans="1:16" x14ac:dyDescent="0.25">
      <c r="A16" t="s">
        <v>15</v>
      </c>
      <c r="B16">
        <v>88</v>
      </c>
      <c r="C16" t="s">
        <v>2</v>
      </c>
      <c r="D16">
        <v>2.4E-2</v>
      </c>
      <c r="E16">
        <v>-7.15</v>
      </c>
      <c r="F16">
        <v>-12.32</v>
      </c>
      <c r="G16">
        <v>-1.98</v>
      </c>
      <c r="H16">
        <f t="shared" si="0"/>
        <v>7.15</v>
      </c>
      <c r="I16">
        <f t="shared" si="1"/>
        <v>1.98</v>
      </c>
      <c r="J16">
        <f t="shared" si="2"/>
        <v>12.32</v>
      </c>
      <c r="K16">
        <f t="shared" si="3"/>
        <v>2.6377551020408165</v>
      </c>
      <c r="L16">
        <f t="shared" si="4"/>
        <v>24.744336202333809</v>
      </c>
      <c r="M16">
        <f t="shared" si="5"/>
        <v>0.28895501344366775</v>
      </c>
      <c r="N16">
        <f t="shared" si="6"/>
        <v>0.99135446685878958</v>
      </c>
      <c r="O16">
        <f t="shared" si="7"/>
        <v>0.28645684329862164</v>
      </c>
      <c r="P16">
        <f>N16*K16/L16</f>
        <v>0.10567874124831411</v>
      </c>
    </row>
    <row r="17" spans="1:16" x14ac:dyDescent="0.25">
      <c r="A17" t="s">
        <v>16</v>
      </c>
      <c r="B17">
        <v>206</v>
      </c>
      <c r="C17" t="s">
        <v>2</v>
      </c>
      <c r="D17">
        <v>3.4000000000000002E-2</v>
      </c>
      <c r="E17">
        <v>-4</v>
      </c>
      <c r="F17">
        <v>-8.08</v>
      </c>
      <c r="G17">
        <v>0.08</v>
      </c>
      <c r="H17">
        <f t="shared" si="0"/>
        <v>4</v>
      </c>
      <c r="I17">
        <f t="shared" si="1"/>
        <v>-0.08</v>
      </c>
      <c r="J17">
        <f t="shared" si="2"/>
        <v>8.08</v>
      </c>
      <c r="K17">
        <f t="shared" si="3"/>
        <v>2.0816326530612246</v>
      </c>
      <c r="L17">
        <f t="shared" si="4"/>
        <v>29.877049176113204</v>
      </c>
      <c r="M17">
        <f t="shared" si="5"/>
        <v>0.13388203019721281</v>
      </c>
      <c r="N17">
        <f t="shared" si="6"/>
        <v>0.99633699633699635</v>
      </c>
      <c r="O17">
        <f t="shared" si="7"/>
        <v>0.13339161983019007</v>
      </c>
      <c r="P17">
        <f>N17*K17/L17</f>
        <v>6.9418087870813189E-2</v>
      </c>
    </row>
    <row r="18" spans="1:16" x14ac:dyDescent="0.25">
      <c r="A18" t="s">
        <v>17</v>
      </c>
      <c r="B18">
        <v>181</v>
      </c>
      <c r="C18" t="s">
        <v>2</v>
      </c>
      <c r="D18">
        <v>5.3999999999999999E-2</v>
      </c>
      <c r="E18">
        <v>-5.2</v>
      </c>
      <c r="F18">
        <v>-7.97</v>
      </c>
      <c r="G18">
        <v>-2.4300000000000002</v>
      </c>
      <c r="H18">
        <f t="shared" si="0"/>
        <v>5.2</v>
      </c>
      <c r="I18">
        <f t="shared" si="1"/>
        <v>2.4300000000000002</v>
      </c>
      <c r="J18">
        <f t="shared" si="2"/>
        <v>7.97</v>
      </c>
      <c r="K18">
        <f t="shared" si="3"/>
        <v>1.4132653061224487</v>
      </c>
      <c r="L18">
        <f t="shared" si="4"/>
        <v>19.013540107343964</v>
      </c>
      <c r="M18">
        <f t="shared" si="5"/>
        <v>0.2734893118610513</v>
      </c>
      <c r="N18">
        <f t="shared" si="6"/>
        <v>0.99582753824756609</v>
      </c>
      <c r="O18">
        <f t="shared" si="7"/>
        <v>0.27234818816761158</v>
      </c>
      <c r="P18">
        <f>N18*K18/L18</f>
        <v>7.4019277985114207E-2</v>
      </c>
    </row>
    <row r="19" spans="1:16" x14ac:dyDescent="0.25">
      <c r="A19" t="s">
        <v>18</v>
      </c>
      <c r="B19">
        <v>524</v>
      </c>
      <c r="C19" t="s">
        <v>4</v>
      </c>
      <c r="D19">
        <v>0.06</v>
      </c>
      <c r="E19">
        <v>-1.1000000000000001</v>
      </c>
      <c r="F19">
        <v>-3.58</v>
      </c>
      <c r="G19">
        <v>1.38</v>
      </c>
      <c r="H19">
        <f t="shared" si="0"/>
        <v>1.1000000000000001</v>
      </c>
      <c r="I19">
        <f t="shared" si="1"/>
        <v>-1.38</v>
      </c>
      <c r="J19">
        <f t="shared" si="2"/>
        <v>3.58</v>
      </c>
      <c r="K19">
        <f t="shared" si="3"/>
        <v>1.2653061224489797</v>
      </c>
      <c r="L19">
        <f t="shared" si="4"/>
        <v>28.964181013065105</v>
      </c>
      <c r="M19">
        <f t="shared" si="5"/>
        <v>3.7977942462927378E-2</v>
      </c>
      <c r="N19">
        <f t="shared" si="6"/>
        <v>0.99856527977044474</v>
      </c>
      <c r="O19">
        <f t="shared" si="7"/>
        <v>3.7923454740598932E-2</v>
      </c>
      <c r="P19">
        <f>N19*K19/L19</f>
        <v>4.3622526788815098E-2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2025-12-29T13:43:08Z</dcterms:modified>
</cp:coreProperties>
</file>