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Diet\ndanuko2016\"/>
    </mc:Choice>
  </mc:AlternateContent>
  <xr:revisionPtr revIDLastSave="0" documentId="13_ncr:1_{28EA0E95-08B4-47C2-84D1-6D2531D97CB4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" i="1"/>
  <c r="H3" i="1"/>
  <c r="I3" i="1"/>
  <c r="J3" i="1"/>
  <c r="K3" i="1" s="1"/>
  <c r="L3" i="1" s="1"/>
  <c r="M3" i="1" s="1"/>
  <c r="N3" i="1"/>
  <c r="H4" i="1"/>
  <c r="I4" i="1"/>
  <c r="J4" i="1"/>
  <c r="K4" i="1" s="1"/>
  <c r="L4" i="1" s="1"/>
  <c r="N4" i="1"/>
  <c r="H5" i="1"/>
  <c r="I5" i="1"/>
  <c r="J5" i="1"/>
  <c r="K5" i="1"/>
  <c r="L5" i="1"/>
  <c r="M5" i="1"/>
  <c r="N5" i="1"/>
  <c r="O5" i="1" s="1"/>
  <c r="H6" i="1"/>
  <c r="I6" i="1"/>
  <c r="J6" i="1"/>
  <c r="K6" i="1" s="1"/>
  <c r="L6" i="1" s="1"/>
  <c r="M6" i="1" s="1"/>
  <c r="O6" i="1" s="1"/>
  <c r="N6" i="1"/>
  <c r="H7" i="1"/>
  <c r="I7" i="1"/>
  <c r="J7" i="1"/>
  <c r="K7" i="1" s="1"/>
  <c r="L7" i="1" s="1"/>
  <c r="M7" i="1" s="1"/>
  <c r="N7" i="1"/>
  <c r="H8" i="1"/>
  <c r="M8" i="1" s="1"/>
  <c r="O8" i="1" s="1"/>
  <c r="I8" i="1"/>
  <c r="J8" i="1"/>
  <c r="K8" i="1" s="1"/>
  <c r="L8" i="1" s="1"/>
  <c r="N8" i="1"/>
  <c r="H9" i="1"/>
  <c r="I9" i="1"/>
  <c r="J9" i="1"/>
  <c r="K9" i="1"/>
  <c r="L9" i="1"/>
  <c r="M9" i="1"/>
  <c r="N9" i="1"/>
  <c r="O9" i="1" s="1"/>
  <c r="H10" i="1"/>
  <c r="I10" i="1"/>
  <c r="J10" i="1"/>
  <c r="K10" i="1"/>
  <c r="L10" i="1" s="1"/>
  <c r="M10" i="1" s="1"/>
  <c r="O10" i="1" s="1"/>
  <c r="N10" i="1"/>
  <c r="H11" i="1"/>
  <c r="I11" i="1"/>
  <c r="J11" i="1"/>
  <c r="K11" i="1" s="1"/>
  <c r="L11" i="1" s="1"/>
  <c r="M11" i="1" s="1"/>
  <c r="N11" i="1"/>
  <c r="O11" i="1" s="1"/>
  <c r="H12" i="1"/>
  <c r="I12" i="1"/>
  <c r="J12" i="1"/>
  <c r="K12" i="1" s="1"/>
  <c r="L12" i="1" s="1"/>
  <c r="N12" i="1"/>
  <c r="H13" i="1"/>
  <c r="I13" i="1"/>
  <c r="J13" i="1"/>
  <c r="K13" i="1"/>
  <c r="L13" i="1"/>
  <c r="M13" i="1"/>
  <c r="N13" i="1"/>
  <c r="O13" i="1" s="1"/>
  <c r="H14" i="1"/>
  <c r="I14" i="1"/>
  <c r="J14" i="1"/>
  <c r="K14" i="1"/>
  <c r="L14" i="1" s="1"/>
  <c r="M14" i="1" s="1"/>
  <c r="O14" i="1" s="1"/>
  <c r="N14" i="1"/>
  <c r="H15" i="1"/>
  <c r="I15" i="1"/>
  <c r="J15" i="1"/>
  <c r="K15" i="1" s="1"/>
  <c r="L15" i="1" s="1"/>
  <c r="M15" i="1" s="1"/>
  <c r="N15" i="1"/>
  <c r="O15" i="1" s="1"/>
  <c r="H16" i="1"/>
  <c r="I16" i="1"/>
  <c r="J16" i="1"/>
  <c r="K16" i="1" s="1"/>
  <c r="L16" i="1" s="1"/>
  <c r="N16" i="1"/>
  <c r="H17" i="1"/>
  <c r="I17" i="1"/>
  <c r="J17" i="1"/>
  <c r="K17" i="1"/>
  <c r="L17" i="1"/>
  <c r="M17" i="1"/>
  <c r="N17" i="1"/>
  <c r="O17" i="1" s="1"/>
  <c r="H18" i="1"/>
  <c r="I18" i="1"/>
  <c r="J18" i="1"/>
  <c r="K18" i="1"/>
  <c r="L18" i="1" s="1"/>
  <c r="M18" i="1" s="1"/>
  <c r="O18" i="1" s="1"/>
  <c r="N18" i="1"/>
  <c r="H19" i="1"/>
  <c r="I19" i="1"/>
  <c r="J19" i="1"/>
  <c r="K19" i="1" s="1"/>
  <c r="L19" i="1" s="1"/>
  <c r="M19" i="1" s="1"/>
  <c r="N19" i="1"/>
  <c r="N2" i="1"/>
  <c r="J2" i="1"/>
  <c r="K2" i="1" s="1"/>
  <c r="L2" i="1" s="1"/>
  <c r="I2" i="1"/>
  <c r="H2" i="1"/>
  <c r="O19" i="1" l="1"/>
  <c r="M12" i="1"/>
  <c r="O12" i="1" s="1"/>
  <c r="M4" i="1"/>
  <c r="O4" i="1" s="1"/>
  <c r="M16" i="1"/>
  <c r="O16" i="1" s="1"/>
  <c r="O3" i="1"/>
  <c r="O7" i="1"/>
  <c r="M2" i="1"/>
  <c r="O2" i="1" s="1"/>
</calcChain>
</file>

<file path=xl/sharedStrings.xml><?xml version="1.0" encoding="utf-8"?>
<sst xmlns="http://schemas.openxmlformats.org/spreadsheetml/2006/main" count="52" uniqueCount="35">
  <si>
    <t>Author</t>
  </si>
  <si>
    <t>n</t>
  </si>
  <si>
    <t>diet</t>
  </si>
  <si>
    <t>Appel</t>
  </si>
  <si>
    <t>DASH</t>
  </si>
  <si>
    <t>Azadbakht</t>
  </si>
  <si>
    <t>Blumenthal</t>
  </si>
  <si>
    <t>Burke</t>
  </si>
  <si>
    <t>Miller</t>
  </si>
  <si>
    <t>Moore</t>
  </si>
  <si>
    <t>Nowson</t>
  </si>
  <si>
    <t>Sacks</t>
  </si>
  <si>
    <t>Svetkey</t>
  </si>
  <si>
    <t>Domenech</t>
  </si>
  <si>
    <t>med</t>
  </si>
  <si>
    <t>Esposito</t>
  </si>
  <si>
    <t>Adamsson</t>
  </si>
  <si>
    <t>nordic</t>
  </si>
  <si>
    <t>Brader</t>
  </si>
  <si>
    <t>Poulsen</t>
  </si>
  <si>
    <t>VonHaehling</t>
  </si>
  <si>
    <t>tibetan</t>
  </si>
  <si>
    <t>weihgt</t>
  </si>
  <si>
    <t>es_neg</t>
  </si>
  <si>
    <t>lCI_neg</t>
  </si>
  <si>
    <t>uCI_neg</t>
  </si>
  <si>
    <t>es</t>
  </si>
  <si>
    <t>lCI</t>
  </si>
  <si>
    <t>uCI</t>
  </si>
  <si>
    <t>SE</t>
  </si>
  <si>
    <t>pooled_sd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</si>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</sst>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"/>
  <sheetViews>
    <sheetView tabSelected="1" workbookViewId="0">
      <selection activeCell="P3" sqref="P3"/>
    </sheetView>
  </sheetViews>
  <sheetFormatPr defaultRowHeight="15" x14ac:dyDescent="0.25"/>
  <cols>
    <col min="1" max="1" width="12.42578125" bestFit="1" customWidth="1"/>
    <col min="2" max="2" width="4" bestFit="1" customWidth="1"/>
    <col min="3" max="3" width="7.42578125" bestFit="1" customWidth="1"/>
    <col min="4" max="4" width="6" bestFit="1" customWidth="1"/>
    <col min="5" max="5" width="18" bestFit="1" customWidth="1"/>
  </cols>
  <sheetData>
    <row r="1" spans="1:16" ht="30" x14ac:dyDescent="0.25">
      <c r="A1" t="s">
        <v>0</v>
      </c>
      <c r="B1" t="s">
        <v>1</v>
      </c>
      <c r="C1" t="s">
        <v>2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s="1" t="s">
        <v>29</v>
      </c>
      <c r="L1" s="1" t="s">
        <v>30</v>
      </c>
      <c r="M1" t="s">
        <v>31</v>
      </c>
      <c r="N1" t="s">
        <v>32</v>
      </c>
      <c r="O1" t="s">
        <v>33</v>
      </c>
      <c r="P1" t="s">
        <v>34</v>
      </c>
    </row>
    <row r="2" spans="1:16" x14ac:dyDescent="0.25">
      <c r="A2" t="s">
        <v>3</v>
      </c>
      <c r="B2">
        <v>810</v>
      </c>
      <c r="C2" t="s">
        <v>4</v>
      </c>
      <c r="D2">
        <v>9.2999999999999999E-2</v>
      </c>
      <c r="E2">
        <v>-2.2000000000000002</v>
      </c>
      <c r="F2">
        <v>-3.14</v>
      </c>
      <c r="G2">
        <v>-1.26</v>
      </c>
      <c r="H2">
        <f>-E2</f>
        <v>2.2000000000000002</v>
      </c>
      <c r="I2">
        <f>-G2</f>
        <v>1.26</v>
      </c>
      <c r="J2">
        <f>-F2</f>
        <v>3.14</v>
      </c>
      <c r="K2">
        <f>(J2-I2)/1.96/2</f>
        <v>0.47959183673469391</v>
      </c>
      <c r="L2">
        <f>K2*SQRT(B2)</f>
        <v>13.64942296174719</v>
      </c>
      <c r="M2">
        <f>H2/L2</f>
        <v>0.16117897483033158</v>
      </c>
      <c r="N2">
        <f>1-3/(4*(B2-1)-1)</f>
        <v>0.9990726429675425</v>
      </c>
      <c r="O2">
        <f>N2*M2</f>
        <v>0.16102950437453839</v>
      </c>
      <c r="P2">
        <f>N2*K2/L2</f>
        <v>3.5103834441573764E-2</v>
      </c>
    </row>
    <row r="3" spans="1:16" x14ac:dyDescent="0.25">
      <c r="A3" t="s">
        <v>5</v>
      </c>
      <c r="B3">
        <v>44</v>
      </c>
      <c r="C3" t="s">
        <v>4</v>
      </c>
      <c r="D3">
        <v>4.0000000000000001E-3</v>
      </c>
      <c r="E3">
        <v>-8.8000000000000007</v>
      </c>
      <c r="F3">
        <v>-17.05</v>
      </c>
      <c r="G3">
        <v>-0.55000000000000004</v>
      </c>
      <c r="H3">
        <f t="shared" ref="H3:H19" si="0">-E3</f>
        <v>8.8000000000000007</v>
      </c>
      <c r="I3">
        <f t="shared" ref="I3:I19" si="1">-G3</f>
        <v>0.55000000000000004</v>
      </c>
      <c r="J3">
        <f t="shared" ref="J3:J19" si="2">-F3</f>
        <v>17.05</v>
      </c>
      <c r="K3">
        <f t="shared" ref="K3:K19" si="3">(J3-I3)/1.96/2</f>
        <v>4.2091836734693882</v>
      </c>
      <c r="L3">
        <f t="shared" ref="L3:L19" si="4">K3*SQRT(B3)</f>
        <v>27.920565837175563</v>
      </c>
      <c r="M3">
        <f t="shared" ref="M3:M19" si="5">H3/L3</f>
        <v>0.31517985886528893</v>
      </c>
      <c r="N3">
        <f t="shared" ref="N3:N19" si="6">1-3/(4*(B3-1)-1)</f>
        <v>0.98245614035087714</v>
      </c>
      <c r="O3">
        <f t="shared" ref="O3:O19" si="7">N3*M3</f>
        <v>0.30965038765712594</v>
      </c>
      <c r="P3">
        <f>N3*K3/L3</f>
        <v>0.14811083593293653</v>
      </c>
    </row>
    <row r="4" spans="1:16" x14ac:dyDescent="0.25">
      <c r="A4" t="s">
        <v>6</v>
      </c>
      <c r="B4">
        <v>144</v>
      </c>
      <c r="C4" t="s">
        <v>4</v>
      </c>
      <c r="D4">
        <v>4.2999999999999997E-2</v>
      </c>
      <c r="E4">
        <v>-4.9000000000000004</v>
      </c>
      <c r="F4">
        <v>-6.95</v>
      </c>
      <c r="G4">
        <v>-2.85</v>
      </c>
      <c r="H4">
        <f t="shared" si="0"/>
        <v>4.9000000000000004</v>
      </c>
      <c r="I4">
        <f t="shared" si="1"/>
        <v>2.85</v>
      </c>
      <c r="J4">
        <f t="shared" si="2"/>
        <v>6.95</v>
      </c>
      <c r="K4">
        <f t="shared" si="3"/>
        <v>1.0459183673469388</v>
      </c>
      <c r="L4">
        <f t="shared" si="4"/>
        <v>12.551020408163264</v>
      </c>
      <c r="M4">
        <f t="shared" si="5"/>
        <v>0.39040650406504068</v>
      </c>
      <c r="N4">
        <f t="shared" si="6"/>
        <v>0.99474605954465845</v>
      </c>
      <c r="O4">
        <f t="shared" si="7"/>
        <v>0.3883553315393049</v>
      </c>
      <c r="P4">
        <f>N4*K4/L4</f>
        <v>8.2895504962054889E-2</v>
      </c>
    </row>
    <row r="5" spans="1:16" x14ac:dyDescent="0.25">
      <c r="A5" t="s">
        <v>7</v>
      </c>
      <c r="B5">
        <v>241</v>
      </c>
      <c r="C5" t="s">
        <v>4</v>
      </c>
      <c r="D5">
        <v>5.8999999999999997E-2</v>
      </c>
      <c r="E5">
        <v>-1.8</v>
      </c>
      <c r="F5">
        <v>-3.38</v>
      </c>
      <c r="G5">
        <v>-0.22</v>
      </c>
      <c r="H5">
        <f t="shared" si="0"/>
        <v>1.8</v>
      </c>
      <c r="I5">
        <f t="shared" si="1"/>
        <v>0.22</v>
      </c>
      <c r="J5">
        <f t="shared" si="2"/>
        <v>3.38</v>
      </c>
      <c r="K5">
        <f t="shared" si="3"/>
        <v>0.80612244897959173</v>
      </c>
      <c r="L5">
        <f t="shared" si="4"/>
        <v>12.51438572453614</v>
      </c>
      <c r="M5">
        <f t="shared" si="5"/>
        <v>0.14383446695836274</v>
      </c>
      <c r="N5">
        <f t="shared" si="6"/>
        <v>0.99687174139728885</v>
      </c>
      <c r="O5">
        <f t="shared" si="7"/>
        <v>0.14338451554973386</v>
      </c>
      <c r="P5">
        <f>N5*K5/L5</f>
        <v>6.4214153789279901E-2</v>
      </c>
    </row>
    <row r="6" spans="1:16" x14ac:dyDescent="0.25">
      <c r="A6" t="s">
        <v>8</v>
      </c>
      <c r="B6">
        <v>45</v>
      </c>
      <c r="C6" t="s">
        <v>4</v>
      </c>
      <c r="D6">
        <v>2.1000000000000001E-2</v>
      </c>
      <c r="E6">
        <v>-5.3</v>
      </c>
      <c r="F6">
        <v>-8.5</v>
      </c>
      <c r="G6">
        <v>-2.1</v>
      </c>
      <c r="H6">
        <f t="shared" si="0"/>
        <v>5.3</v>
      </c>
      <c r="I6">
        <f t="shared" si="1"/>
        <v>2.1</v>
      </c>
      <c r="J6">
        <f t="shared" si="2"/>
        <v>8.5</v>
      </c>
      <c r="K6">
        <f t="shared" si="3"/>
        <v>1.6326530612244898</v>
      </c>
      <c r="L6">
        <f t="shared" si="4"/>
        <v>10.952169685713256</v>
      </c>
      <c r="M6">
        <f t="shared" si="5"/>
        <v>0.48392237813057942</v>
      </c>
      <c r="N6">
        <f t="shared" si="6"/>
        <v>0.98285714285714287</v>
      </c>
      <c r="O6">
        <f t="shared" si="7"/>
        <v>0.47562656593405522</v>
      </c>
      <c r="P6">
        <f>N6*K6/L6</f>
        <v>0.14651569223998623</v>
      </c>
    </row>
    <row r="7" spans="1:16" x14ac:dyDescent="0.25">
      <c r="A7" t="s">
        <v>9</v>
      </c>
      <c r="B7">
        <v>354</v>
      </c>
      <c r="C7" t="s">
        <v>4</v>
      </c>
      <c r="D7">
        <v>8.2000000000000003E-2</v>
      </c>
      <c r="E7">
        <v>-2.2999999999999998</v>
      </c>
      <c r="F7">
        <v>-3.43</v>
      </c>
      <c r="G7">
        <v>-1.17</v>
      </c>
      <c r="H7">
        <f t="shared" si="0"/>
        <v>2.2999999999999998</v>
      </c>
      <c r="I7">
        <f t="shared" si="1"/>
        <v>1.17</v>
      </c>
      <c r="J7">
        <f t="shared" si="2"/>
        <v>3.43</v>
      </c>
      <c r="K7">
        <f t="shared" si="3"/>
        <v>0.57653061224489799</v>
      </c>
      <c r="L7">
        <f t="shared" si="4"/>
        <v>10.847358737814419</v>
      </c>
      <c r="M7">
        <f t="shared" si="5"/>
        <v>0.21203318297034726</v>
      </c>
      <c r="N7">
        <f t="shared" si="6"/>
        <v>0.99787384833451453</v>
      </c>
      <c r="O7">
        <f t="shared" si="7"/>
        <v>0.21158236826523669</v>
      </c>
      <c r="P7">
        <f>N7*K7/L7</f>
        <v>5.3036396659209728E-2</v>
      </c>
    </row>
    <row r="8" spans="1:16" x14ac:dyDescent="0.25">
      <c r="A8" t="s">
        <v>10</v>
      </c>
      <c r="B8">
        <v>63</v>
      </c>
      <c r="C8" t="s">
        <v>4</v>
      </c>
      <c r="D8">
        <v>2.7E-2</v>
      </c>
      <c r="E8">
        <v>-4.4000000000000004</v>
      </c>
      <c r="F8">
        <v>-7.17</v>
      </c>
      <c r="G8">
        <v>-1.63</v>
      </c>
      <c r="H8">
        <f t="shared" si="0"/>
        <v>4.4000000000000004</v>
      </c>
      <c r="I8">
        <f t="shared" si="1"/>
        <v>1.63</v>
      </c>
      <c r="J8">
        <f t="shared" si="2"/>
        <v>7.17</v>
      </c>
      <c r="K8">
        <f t="shared" si="3"/>
        <v>1.4132653061224489</v>
      </c>
      <c r="L8">
        <f t="shared" si="4"/>
        <v>11.217445609666708</v>
      </c>
      <c r="M8">
        <f t="shared" si="5"/>
        <v>0.3922461630844255</v>
      </c>
      <c r="N8">
        <f t="shared" si="6"/>
        <v>0.98785425101214575</v>
      </c>
      <c r="O8">
        <f t="shared" si="7"/>
        <v>0.38748203964615313</v>
      </c>
      <c r="P8">
        <f>N8*K8/L8</f>
        <v>0.12445793713124351</v>
      </c>
    </row>
    <row r="9" spans="1:16" x14ac:dyDescent="0.25">
      <c r="A9" t="s">
        <v>10</v>
      </c>
      <c r="B9">
        <v>111</v>
      </c>
      <c r="C9" t="s">
        <v>4</v>
      </c>
      <c r="D9">
        <v>3.7999999999999999E-2</v>
      </c>
      <c r="E9">
        <v>-1.2</v>
      </c>
      <c r="F9">
        <v>-3.43</v>
      </c>
      <c r="G9">
        <v>1.03</v>
      </c>
      <c r="H9">
        <f t="shared" si="0"/>
        <v>1.2</v>
      </c>
      <c r="I9">
        <f t="shared" si="1"/>
        <v>-1.03</v>
      </c>
      <c r="J9">
        <f t="shared" si="2"/>
        <v>3.43</v>
      </c>
      <c r="K9">
        <f t="shared" si="3"/>
        <v>1.1377551020408163</v>
      </c>
      <c r="L9">
        <f t="shared" si="4"/>
        <v>11.986993810643677</v>
      </c>
      <c r="M9">
        <f t="shared" si="5"/>
        <v>0.10010850251165371</v>
      </c>
      <c r="N9">
        <f t="shared" si="6"/>
        <v>0.99316628701594534</v>
      </c>
      <c r="O9">
        <f t="shared" si="7"/>
        <v>9.9424389738225552E-2</v>
      </c>
      <c r="P9">
        <f>N9*K9/L9</f>
        <v>9.4267172243300598E-2</v>
      </c>
    </row>
    <row r="10" spans="1:16" x14ac:dyDescent="0.25">
      <c r="A10" t="s">
        <v>11</v>
      </c>
      <c r="B10">
        <v>206</v>
      </c>
      <c r="C10" t="s">
        <v>4</v>
      </c>
      <c r="D10">
        <v>9.7000000000000003E-2</v>
      </c>
      <c r="E10">
        <v>-1.6</v>
      </c>
      <c r="F10">
        <v>-2.4700000000000002</v>
      </c>
      <c r="G10">
        <v>-0.73</v>
      </c>
      <c r="H10">
        <f t="shared" si="0"/>
        <v>1.6</v>
      </c>
      <c r="I10">
        <f t="shared" si="1"/>
        <v>0.73</v>
      </c>
      <c r="J10">
        <f t="shared" si="2"/>
        <v>2.4700000000000002</v>
      </c>
      <c r="K10">
        <f t="shared" si="3"/>
        <v>0.44387755102040821</v>
      </c>
      <c r="L10">
        <f t="shared" si="4"/>
        <v>6.3708413684359044</v>
      </c>
      <c r="M10">
        <f t="shared" si="5"/>
        <v>0.25114422216304744</v>
      </c>
      <c r="N10">
        <f t="shared" si="6"/>
        <v>0.99633699633699635</v>
      </c>
      <c r="O10">
        <f t="shared" si="7"/>
        <v>0.25022427995732199</v>
      </c>
      <c r="P10">
        <f>N10*K10/L10</f>
        <v>6.9418087870813189E-2</v>
      </c>
    </row>
    <row r="11" spans="1:16" x14ac:dyDescent="0.25">
      <c r="A11" t="s">
        <v>11</v>
      </c>
      <c r="B11">
        <v>206</v>
      </c>
      <c r="C11" t="s">
        <v>4</v>
      </c>
      <c r="D11">
        <v>9.7000000000000003E-2</v>
      </c>
      <c r="E11">
        <v>-3.5</v>
      </c>
      <c r="F11">
        <v>-4.38</v>
      </c>
      <c r="G11">
        <v>-2.62</v>
      </c>
      <c r="H11">
        <f t="shared" si="0"/>
        <v>3.5</v>
      </c>
      <c r="I11">
        <f t="shared" si="1"/>
        <v>2.62</v>
      </c>
      <c r="J11">
        <f t="shared" si="2"/>
        <v>4.38</v>
      </c>
      <c r="K11">
        <f t="shared" si="3"/>
        <v>0.44897959183673464</v>
      </c>
      <c r="L11">
        <f t="shared" si="4"/>
        <v>6.4440694301420631</v>
      </c>
      <c r="M11">
        <f t="shared" si="5"/>
        <v>0.54313505432278386</v>
      </c>
      <c r="N11">
        <f t="shared" si="6"/>
        <v>0.99633699633699635</v>
      </c>
      <c r="O11">
        <f t="shared" si="7"/>
        <v>0.54114554862929387</v>
      </c>
      <c r="P11">
        <f>N11*K11/L11</f>
        <v>6.9418087870813189E-2</v>
      </c>
    </row>
    <row r="12" spans="1:16" x14ac:dyDescent="0.25">
      <c r="A12" t="s">
        <v>12</v>
      </c>
      <c r="B12">
        <v>574</v>
      </c>
      <c r="C12" t="s">
        <v>4</v>
      </c>
      <c r="D12">
        <v>8.3000000000000004E-2</v>
      </c>
      <c r="E12">
        <v>-1.8</v>
      </c>
      <c r="F12">
        <v>-2.91</v>
      </c>
      <c r="G12">
        <v>-0.69</v>
      </c>
      <c r="H12">
        <f t="shared" si="0"/>
        <v>1.8</v>
      </c>
      <c r="I12">
        <f t="shared" si="1"/>
        <v>0.69</v>
      </c>
      <c r="J12">
        <f t="shared" si="2"/>
        <v>2.91</v>
      </c>
      <c r="K12">
        <f t="shared" si="3"/>
        <v>0.56632653061224492</v>
      </c>
      <c r="L12">
        <f t="shared" si="4"/>
        <v>13.568219276825655</v>
      </c>
      <c r="M12">
        <f t="shared" si="5"/>
        <v>0.13266295033087924</v>
      </c>
      <c r="N12">
        <f t="shared" si="6"/>
        <v>0.99869052815364467</v>
      </c>
      <c r="O12">
        <f t="shared" si="7"/>
        <v>0.13248923193236653</v>
      </c>
      <c r="P12">
        <f>N12*K12/L12</f>
        <v>4.1684537257632326E-2</v>
      </c>
    </row>
    <row r="13" spans="1:16" x14ac:dyDescent="0.25">
      <c r="A13" t="s">
        <v>13</v>
      </c>
      <c r="B13">
        <v>284</v>
      </c>
      <c r="C13" t="s">
        <v>14</v>
      </c>
      <c r="D13">
        <v>7.2999999999999995E-2</v>
      </c>
      <c r="E13">
        <v>-1.9</v>
      </c>
      <c r="F13">
        <v>-3.19</v>
      </c>
      <c r="G13">
        <v>-0.61</v>
      </c>
      <c r="H13">
        <f t="shared" si="0"/>
        <v>1.9</v>
      </c>
      <c r="I13">
        <f t="shared" si="1"/>
        <v>0.61</v>
      </c>
      <c r="J13">
        <f t="shared" si="2"/>
        <v>3.19</v>
      </c>
      <c r="K13">
        <f t="shared" si="3"/>
        <v>0.65816326530612246</v>
      </c>
      <c r="L13">
        <f t="shared" si="4"/>
        <v>11.091564497344391</v>
      </c>
      <c r="M13">
        <f t="shared" si="5"/>
        <v>0.17130135252379494</v>
      </c>
      <c r="N13">
        <f t="shared" si="6"/>
        <v>0.99734748010610075</v>
      </c>
      <c r="O13">
        <f t="shared" si="7"/>
        <v>0.17084697227837373</v>
      </c>
      <c r="P13">
        <f>N13*K13/L13</f>
        <v>5.9181684811788961E-2</v>
      </c>
    </row>
    <row r="14" spans="1:16" x14ac:dyDescent="0.25">
      <c r="A14" t="s">
        <v>15</v>
      </c>
      <c r="B14">
        <v>180</v>
      </c>
      <c r="C14" t="s">
        <v>14</v>
      </c>
      <c r="D14">
        <v>2.5000000000000001E-2</v>
      </c>
      <c r="E14">
        <v>-1.7</v>
      </c>
      <c r="F14">
        <v>-4.5999999999999996</v>
      </c>
      <c r="G14">
        <v>1.2</v>
      </c>
      <c r="H14">
        <f t="shared" si="0"/>
        <v>1.7</v>
      </c>
      <c r="I14">
        <f t="shared" si="1"/>
        <v>-1.2</v>
      </c>
      <c r="J14">
        <f t="shared" si="2"/>
        <v>4.5999999999999996</v>
      </c>
      <c r="K14">
        <f t="shared" si="3"/>
        <v>1.4795918367346939</v>
      </c>
      <c r="L14">
        <f t="shared" si="4"/>
        <v>19.850807555355278</v>
      </c>
      <c r="M14">
        <f t="shared" si="5"/>
        <v>8.5638833345164353E-2</v>
      </c>
      <c r="N14">
        <f t="shared" si="6"/>
        <v>0.99580419580419577</v>
      </c>
      <c r="O14">
        <f t="shared" si="7"/>
        <v>8.5279509568890938E-2</v>
      </c>
      <c r="P14">
        <f>N14*K14/L14</f>
        <v>7.4222862469923073E-2</v>
      </c>
    </row>
    <row r="15" spans="1:16" x14ac:dyDescent="0.25">
      <c r="A15" t="s">
        <v>15</v>
      </c>
      <c r="B15">
        <v>120</v>
      </c>
      <c r="C15" t="s">
        <v>14</v>
      </c>
      <c r="D15">
        <v>0.13</v>
      </c>
      <c r="E15">
        <v>-2</v>
      </c>
      <c r="F15">
        <v>-2.29</v>
      </c>
      <c r="G15">
        <v>-1.71</v>
      </c>
      <c r="H15">
        <f t="shared" si="0"/>
        <v>2</v>
      </c>
      <c r="I15">
        <f t="shared" si="1"/>
        <v>1.71</v>
      </c>
      <c r="J15">
        <f t="shared" si="2"/>
        <v>2.29</v>
      </c>
      <c r="K15">
        <f t="shared" si="3"/>
        <v>0.14795918367346941</v>
      </c>
      <c r="L15">
        <f t="shared" si="4"/>
        <v>1.6208116497601857</v>
      </c>
      <c r="M15">
        <f t="shared" si="5"/>
        <v>1.2339496697817534</v>
      </c>
      <c r="N15">
        <f t="shared" si="6"/>
        <v>0.99368421052631584</v>
      </c>
      <c r="O15">
        <f t="shared" si="7"/>
        <v>1.2261563034462897</v>
      </c>
      <c r="P15">
        <f>N15*K15/L15</f>
        <v>9.0710542856995938E-2</v>
      </c>
    </row>
    <row r="16" spans="1:16" x14ac:dyDescent="0.25">
      <c r="A16" t="s">
        <v>16</v>
      </c>
      <c r="B16">
        <v>88</v>
      </c>
      <c r="C16" t="s">
        <v>17</v>
      </c>
      <c r="D16">
        <v>1.4999999999999999E-2</v>
      </c>
      <c r="E16">
        <v>-3.47</v>
      </c>
      <c r="F16">
        <v>-7.36</v>
      </c>
      <c r="G16">
        <v>0.42</v>
      </c>
      <c r="H16">
        <f t="shared" si="0"/>
        <v>3.47</v>
      </c>
      <c r="I16">
        <f t="shared" si="1"/>
        <v>-0.42</v>
      </c>
      <c r="J16">
        <f t="shared" si="2"/>
        <v>7.36</v>
      </c>
      <c r="K16">
        <f t="shared" si="3"/>
        <v>1.9846938775510206</v>
      </c>
      <c r="L16">
        <f t="shared" si="4"/>
        <v>18.618078883380758</v>
      </c>
      <c r="M16">
        <f t="shared" si="5"/>
        <v>0.18637798355755497</v>
      </c>
      <c r="N16">
        <f t="shared" si="6"/>
        <v>0.99135446685878958</v>
      </c>
      <c r="O16">
        <f t="shared" si="7"/>
        <v>0.18476664652391617</v>
      </c>
      <c r="P16">
        <f>N16*K16/L16</f>
        <v>0.1056787412483141</v>
      </c>
    </row>
    <row r="17" spans="1:16" x14ac:dyDescent="0.25">
      <c r="A17" t="s">
        <v>18</v>
      </c>
      <c r="B17">
        <v>206</v>
      </c>
      <c r="C17" t="s">
        <v>17</v>
      </c>
      <c r="D17">
        <v>3.3000000000000002E-2</v>
      </c>
      <c r="E17">
        <v>-4.5</v>
      </c>
      <c r="F17">
        <v>-6.93</v>
      </c>
      <c r="G17">
        <v>-2.0699999999999998</v>
      </c>
      <c r="H17">
        <f t="shared" si="0"/>
        <v>4.5</v>
      </c>
      <c r="I17">
        <f t="shared" si="1"/>
        <v>2.0699999999999998</v>
      </c>
      <c r="J17">
        <f t="shared" si="2"/>
        <v>6.93</v>
      </c>
      <c r="K17">
        <f t="shared" si="3"/>
        <v>1.2397959183673468</v>
      </c>
      <c r="L17">
        <f t="shared" si="4"/>
        <v>17.794418994596832</v>
      </c>
      <c r="M17">
        <f t="shared" si="5"/>
        <v>0.252888279261402</v>
      </c>
      <c r="N17">
        <f t="shared" si="6"/>
        <v>0.99633699633699635</v>
      </c>
      <c r="O17">
        <f t="shared" si="7"/>
        <v>0.25196194856813681</v>
      </c>
      <c r="P17">
        <f>N17*K17/L17</f>
        <v>6.9418087870813189E-2</v>
      </c>
    </row>
    <row r="18" spans="1:16" x14ac:dyDescent="0.25">
      <c r="A18" t="s">
        <v>19</v>
      </c>
      <c r="B18">
        <v>181</v>
      </c>
      <c r="C18" t="s">
        <v>17</v>
      </c>
      <c r="D18">
        <v>2.7E-2</v>
      </c>
      <c r="E18">
        <v>-3.19</v>
      </c>
      <c r="F18">
        <v>-5.96</v>
      </c>
      <c r="G18">
        <v>-0.42</v>
      </c>
      <c r="H18">
        <f t="shared" si="0"/>
        <v>3.19</v>
      </c>
      <c r="I18">
        <f t="shared" si="1"/>
        <v>0.42</v>
      </c>
      <c r="J18">
        <f t="shared" si="2"/>
        <v>5.96</v>
      </c>
      <c r="K18">
        <f t="shared" si="3"/>
        <v>1.4132653061224489</v>
      </c>
      <c r="L18">
        <f t="shared" si="4"/>
        <v>19.013540107343967</v>
      </c>
      <c r="M18">
        <f t="shared" si="5"/>
        <v>0.16777517400706798</v>
      </c>
      <c r="N18">
        <f t="shared" si="6"/>
        <v>0.99582753824756609</v>
      </c>
      <c r="O18">
        <f t="shared" si="7"/>
        <v>0.16707513851051556</v>
      </c>
      <c r="P18">
        <f>N18*K18/L18</f>
        <v>7.4019277985114193E-2</v>
      </c>
    </row>
    <row r="19" spans="1:16" x14ac:dyDescent="0.25">
      <c r="A19" t="s">
        <v>20</v>
      </c>
      <c r="B19">
        <v>524</v>
      </c>
      <c r="C19" t="s">
        <v>21</v>
      </c>
      <c r="D19">
        <v>5.5E-2</v>
      </c>
      <c r="E19">
        <v>0.1</v>
      </c>
      <c r="F19">
        <v>-1.57</v>
      </c>
      <c r="G19">
        <v>1.77</v>
      </c>
      <c r="H19">
        <f t="shared" si="0"/>
        <v>-0.1</v>
      </c>
      <c r="I19">
        <f t="shared" si="1"/>
        <v>-1.77</v>
      </c>
      <c r="J19">
        <f t="shared" si="2"/>
        <v>1.57</v>
      </c>
      <c r="K19">
        <f t="shared" si="3"/>
        <v>0.85204081632653061</v>
      </c>
      <c r="L19">
        <f t="shared" si="4"/>
        <v>19.504105762830129</v>
      </c>
      <c r="M19">
        <f t="shared" si="5"/>
        <v>-5.1271256019629775E-3</v>
      </c>
      <c r="N19">
        <f t="shared" si="6"/>
        <v>0.99856527977044474</v>
      </c>
      <c r="O19">
        <f t="shared" si="7"/>
        <v>-5.1197696111423708E-3</v>
      </c>
      <c r="P19">
        <f>N19*K19/L19</f>
        <v>4.3622526788815091E-2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2025-12-29T13:43:39Z</dcterms:modified>
</cp:coreProperties>
</file>