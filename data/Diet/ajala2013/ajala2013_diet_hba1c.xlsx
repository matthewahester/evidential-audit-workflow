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ajala2013\"/>
    </mc:Choice>
  </mc:AlternateContent>
  <xr:revisionPtr revIDLastSave="0" documentId="13_ncr:1_{1726EEED-3E7E-448E-A7CA-C08B68AB799C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J3" i="1"/>
  <c r="K3" i="1" s="1"/>
  <c r="L3" i="1"/>
  <c r="J4" i="1"/>
  <c r="K4" i="1" s="1"/>
  <c r="M4" i="1" s="1"/>
  <c r="L4" i="1"/>
  <c r="J5" i="1"/>
  <c r="K5" i="1"/>
  <c r="L5" i="1"/>
  <c r="M5" i="1" s="1"/>
  <c r="J6" i="1"/>
  <c r="K6" i="1"/>
  <c r="L6" i="1"/>
  <c r="M6" i="1" s="1"/>
  <c r="J7" i="1"/>
  <c r="K7" i="1" s="1"/>
  <c r="M7" i="1" s="1"/>
  <c r="L7" i="1"/>
  <c r="J8" i="1"/>
  <c r="K8" i="1"/>
  <c r="M8" i="1" s="1"/>
  <c r="L8" i="1"/>
  <c r="J9" i="1"/>
  <c r="K9" i="1"/>
  <c r="L9" i="1"/>
  <c r="M9" i="1" s="1"/>
  <c r="J10" i="1"/>
  <c r="K10" i="1" s="1"/>
  <c r="M10" i="1" s="1"/>
  <c r="L10" i="1"/>
  <c r="J11" i="1"/>
  <c r="K11" i="1"/>
  <c r="L11" i="1"/>
  <c r="M11" i="1"/>
  <c r="J12" i="1"/>
  <c r="K12" i="1"/>
  <c r="L12" i="1"/>
  <c r="M12" i="1" s="1"/>
  <c r="J13" i="1"/>
  <c r="K13" i="1" s="1"/>
  <c r="M13" i="1" s="1"/>
  <c r="L13" i="1"/>
  <c r="J14" i="1"/>
  <c r="K14" i="1"/>
  <c r="M14" i="1" s="1"/>
  <c r="L14" i="1"/>
  <c r="J15" i="1"/>
  <c r="K15" i="1"/>
  <c r="L15" i="1"/>
  <c r="M15" i="1" s="1"/>
  <c r="J16" i="1"/>
  <c r="K16" i="1" s="1"/>
  <c r="M16" i="1" s="1"/>
  <c r="L16" i="1"/>
  <c r="J17" i="1"/>
  <c r="K17" i="1"/>
  <c r="M17" i="1" s="1"/>
  <c r="L17" i="1"/>
  <c r="M2" i="1"/>
  <c r="L2" i="1"/>
  <c r="K2" i="1"/>
  <c r="J2" i="1"/>
  <c r="M3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</calcChain>
</file>

<file path=xl/sharedStrings.xml><?xml version="1.0" encoding="utf-8"?>
<sst xmlns="http://schemas.openxmlformats.org/spreadsheetml/2006/main" count="30" uniqueCount="30">
  <si>
    <t>md</t>
  </si>
  <si>
    <t>se_md</t>
  </si>
  <si>
    <t>n_treat</t>
  </si>
  <si>
    <t>n_control</t>
  </si>
  <si>
    <t>Samaha</t>
  </si>
  <si>
    <t>Stern</t>
  </si>
  <si>
    <t>Haimoto</t>
  </si>
  <si>
    <t>Westman</t>
  </si>
  <si>
    <t>Wolever-1</t>
  </si>
  <si>
    <t>Davis</t>
  </si>
  <si>
    <t>Elhayany-1</t>
  </si>
  <si>
    <t>Iqbal</t>
  </si>
  <si>
    <t>Jenkins</t>
  </si>
  <si>
    <t>Ma</t>
  </si>
  <si>
    <t>Wolever-2</t>
  </si>
  <si>
    <t>Elhayany-2</t>
  </si>
  <si>
    <t>Esposito</t>
  </si>
  <si>
    <t>Toobert</t>
  </si>
  <si>
    <t>Brinkwonh</t>
  </si>
  <si>
    <t>Larsen</t>
  </si>
  <si>
    <t>Author</t>
  </si>
  <si>
    <t>md_neg</t>
  </si>
  <si>
    <t>lCI_neg</t>
  </si>
  <si>
    <t>uCI_neg</t>
  </si>
  <si>
    <t>Year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</si>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</sst>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2" sqref="J2"/>
    </sheetView>
  </sheetViews>
  <sheetFormatPr defaultRowHeight="15" x14ac:dyDescent="0.25"/>
  <cols>
    <col min="1" max="1" width="10.5703125" bestFit="1" customWidth="1"/>
    <col min="2" max="2" width="8.140625" bestFit="1" customWidth="1"/>
    <col min="3" max="3" width="7" bestFit="1" customWidth="1"/>
    <col min="4" max="4" width="7.42578125" bestFit="1" customWidth="1"/>
    <col min="5" max="5" width="9.42578125" bestFit="1" customWidth="1"/>
    <col min="6" max="6" width="7.5703125" bestFit="1" customWidth="1"/>
    <col min="7" max="7" width="8.140625" bestFit="1" customWidth="1"/>
    <col min="8" max="8" width="5" bestFit="1" customWidth="1"/>
    <col min="9" max="9" width="5.7109375" bestFit="1" customWidth="1"/>
  </cols>
  <sheetData>
    <row r="1" spans="1:14" x14ac:dyDescent="0.25">
      <c r="A1" t="s">
        <v>20</v>
      </c>
      <c r="B1" t="s">
        <v>21</v>
      </c>
      <c r="C1" t="s">
        <v>1</v>
      </c>
      <c r="D1" t="s">
        <v>2</v>
      </c>
      <c r="E1" t="s">
        <v>3</v>
      </c>
      <c r="F1" t="s">
        <v>22</v>
      </c>
      <c r="G1" t="s">
        <v>23</v>
      </c>
      <c r="H1" t="s">
        <v>24</v>
      </c>
      <c r="I1" t="s">
        <v>0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 t="s">
        <v>4</v>
      </c>
      <c r="B2">
        <v>-0.6</v>
      </c>
      <c r="C2">
        <v>0.21329999999999999</v>
      </c>
      <c r="D2">
        <v>25.5</v>
      </c>
      <c r="E2">
        <v>25.5</v>
      </c>
      <c r="F2">
        <v>-1.02</v>
      </c>
      <c r="G2">
        <v>-0.18</v>
      </c>
      <c r="H2">
        <v>2003</v>
      </c>
      <c r="I2">
        <f>-B2</f>
        <v>0.6</v>
      </c>
      <c r="J2">
        <f>C2/SQRT(1/E2+1/D2)</f>
        <v>0.76163334190409493</v>
      </c>
      <c r="K2">
        <f>I2/J2</f>
        <v>0.78778063799044151</v>
      </c>
      <c r="L2">
        <f>1-3/(4*(E2+D2-2)-1)</f>
        <v>0.98461538461538467</v>
      </c>
      <c r="M2">
        <f>L2*K2</f>
        <v>0.77566093586751172</v>
      </c>
      <c r="N2">
        <f>L2*C2/J2</f>
        <v>0.27574746270090039</v>
      </c>
    </row>
    <row r="3" spans="1:14" x14ac:dyDescent="0.25">
      <c r="A3" t="s">
        <v>5</v>
      </c>
      <c r="B3">
        <v>-0.6</v>
      </c>
      <c r="C3">
        <v>0.51019999999999999</v>
      </c>
      <c r="D3">
        <v>54.5</v>
      </c>
      <c r="E3">
        <v>54.5</v>
      </c>
      <c r="F3">
        <v>-1.6</v>
      </c>
      <c r="G3">
        <v>0.4</v>
      </c>
      <c r="H3">
        <v>2004</v>
      </c>
      <c r="I3">
        <f t="shared" ref="I3:I17" si="0">-B3</f>
        <v>0.6</v>
      </c>
      <c r="J3">
        <f t="shared" ref="J3:J17" si="1">C3/SQRT(1/E3+1/D3)</f>
        <v>2.6633221904230813</v>
      </c>
      <c r="K3">
        <f t="shared" ref="K3:K17" si="2">I3/J3</f>
        <v>0.22528254454437116</v>
      </c>
      <c r="L3">
        <f t="shared" ref="L3:L17" si="3">1-3/(4*(E3+D3-2)-1)</f>
        <v>0.99297423887587821</v>
      </c>
      <c r="M3">
        <f t="shared" ref="M3:M17" si="4">L3*K3</f>
        <v>0.22369976320096807</v>
      </c>
      <c r="N3">
        <f>L3*C3/J3</f>
        <v>0.19021936530855654</v>
      </c>
    </row>
    <row r="4" spans="1:14" x14ac:dyDescent="0.25">
      <c r="A4" t="s">
        <v>6</v>
      </c>
      <c r="B4">
        <v>-0.6</v>
      </c>
      <c r="C4">
        <v>0.16109999999999999</v>
      </c>
      <c r="D4">
        <v>63.5</v>
      </c>
      <c r="E4">
        <v>63.5</v>
      </c>
      <c r="F4">
        <v>-0.92</v>
      </c>
      <c r="G4">
        <v>-0.28000000000000003</v>
      </c>
      <c r="H4">
        <v>2008</v>
      </c>
      <c r="I4">
        <f t="shared" si="0"/>
        <v>0.6</v>
      </c>
      <c r="J4">
        <f t="shared" si="1"/>
        <v>0.90775239878504321</v>
      </c>
      <c r="K4">
        <f t="shared" si="2"/>
        <v>0.66097319137140687</v>
      </c>
      <c r="L4">
        <f t="shared" si="3"/>
        <v>0.9939879759519038</v>
      </c>
      <c r="M4">
        <f t="shared" si="4"/>
        <v>0.65699940464973505</v>
      </c>
      <c r="N4">
        <f>L4*C4/J4</f>
        <v>0.17640434014845385</v>
      </c>
    </row>
    <row r="5" spans="1:14" x14ac:dyDescent="0.25">
      <c r="A5" t="s">
        <v>7</v>
      </c>
      <c r="B5">
        <v>-1</v>
      </c>
      <c r="C5">
        <v>0.51729999999999998</v>
      </c>
      <c r="D5">
        <v>25</v>
      </c>
      <c r="E5">
        <v>25</v>
      </c>
      <c r="F5">
        <v>-2.0099999999999998</v>
      </c>
      <c r="G5">
        <v>0.01</v>
      </c>
      <c r="H5">
        <v>2008</v>
      </c>
      <c r="I5">
        <f t="shared" si="0"/>
        <v>1</v>
      </c>
      <c r="J5">
        <f t="shared" si="1"/>
        <v>1.8289316895390051</v>
      </c>
      <c r="K5">
        <f t="shared" si="2"/>
        <v>0.54676727715951867</v>
      </c>
      <c r="L5">
        <f t="shared" si="3"/>
        <v>0.98429319371727753</v>
      </c>
      <c r="M5">
        <f t="shared" si="4"/>
        <v>0.53817930945544246</v>
      </c>
      <c r="N5">
        <f>L5*C5/J5</f>
        <v>0.27840015678130042</v>
      </c>
    </row>
    <row r="6" spans="1:14" x14ac:dyDescent="0.25">
      <c r="A6" t="s">
        <v>8</v>
      </c>
      <c r="B6">
        <v>0.11</v>
      </c>
      <c r="C6">
        <v>8.6800000000000002E-2</v>
      </c>
      <c r="D6">
        <v>128</v>
      </c>
      <c r="E6">
        <v>128</v>
      </c>
      <c r="F6">
        <v>-0.06</v>
      </c>
      <c r="G6">
        <v>0.28000000000000003</v>
      </c>
      <c r="H6">
        <v>2008</v>
      </c>
      <c r="I6">
        <f t="shared" si="0"/>
        <v>-0.11</v>
      </c>
      <c r="J6">
        <f t="shared" si="1"/>
        <v>0.69440000000000002</v>
      </c>
      <c r="K6">
        <f t="shared" si="2"/>
        <v>-0.15841013824884792</v>
      </c>
      <c r="L6">
        <f t="shared" si="3"/>
        <v>0.99704433497536948</v>
      </c>
      <c r="M6">
        <f t="shared" si="4"/>
        <v>-0.15794193094367892</v>
      </c>
      <c r="N6">
        <f>L6*C6/J6</f>
        <v>0.1246305418719212</v>
      </c>
    </row>
    <row r="7" spans="1:14" x14ac:dyDescent="0.25">
      <c r="A7" t="s">
        <v>9</v>
      </c>
      <c r="B7">
        <v>-0.26</v>
      </c>
      <c r="C7">
        <v>0.22539999999999999</v>
      </c>
      <c r="D7">
        <v>52.5</v>
      </c>
      <c r="E7">
        <v>52.5</v>
      </c>
      <c r="F7">
        <v>-0.7</v>
      </c>
      <c r="G7">
        <v>0.18</v>
      </c>
      <c r="H7">
        <v>2009</v>
      </c>
      <c r="I7">
        <f t="shared" si="0"/>
        <v>0.26</v>
      </c>
      <c r="J7">
        <f t="shared" si="1"/>
        <v>1.1548313513236466</v>
      </c>
      <c r="K7">
        <f t="shared" si="2"/>
        <v>0.22514109934926235</v>
      </c>
      <c r="L7">
        <f t="shared" si="3"/>
        <v>0.99270072992700731</v>
      </c>
      <c r="M7">
        <f t="shared" si="4"/>
        <v>0.22349773366058162</v>
      </c>
      <c r="N7">
        <f>L7*C7/J7</f>
        <v>0.19375534295036573</v>
      </c>
    </row>
    <row r="8" spans="1:14" x14ac:dyDescent="0.25">
      <c r="A8" t="s">
        <v>10</v>
      </c>
      <c r="B8">
        <v>-0.2</v>
      </c>
      <c r="C8">
        <v>0.191</v>
      </c>
      <c r="D8">
        <v>62</v>
      </c>
      <c r="E8">
        <v>62</v>
      </c>
      <c r="F8">
        <v>-0.56999999999999995</v>
      </c>
      <c r="G8">
        <v>0.17</v>
      </c>
      <c r="H8">
        <v>2010</v>
      </c>
      <c r="I8">
        <f t="shared" si="0"/>
        <v>0.2</v>
      </c>
      <c r="J8">
        <f t="shared" si="1"/>
        <v>1.063442993300534</v>
      </c>
      <c r="K8">
        <f t="shared" si="2"/>
        <v>0.18806837908562821</v>
      </c>
      <c r="L8">
        <f t="shared" si="3"/>
        <v>0.99383983572895274</v>
      </c>
      <c r="M8">
        <f t="shared" si="4"/>
        <v>0.18690984697627114</v>
      </c>
      <c r="N8">
        <f>L8*C8/J8</f>
        <v>0.17849890386233894</v>
      </c>
    </row>
    <row r="9" spans="1:14" x14ac:dyDescent="0.25">
      <c r="A9" t="s">
        <v>11</v>
      </c>
      <c r="B9">
        <v>0.2</v>
      </c>
      <c r="C9">
        <v>0.2</v>
      </c>
      <c r="D9">
        <v>38.5</v>
      </c>
      <c r="E9">
        <v>38.5</v>
      </c>
      <c r="F9">
        <v>-0.19</v>
      </c>
      <c r="G9">
        <v>0.59</v>
      </c>
      <c r="H9">
        <v>2010</v>
      </c>
      <c r="I9">
        <f t="shared" si="0"/>
        <v>-0.2</v>
      </c>
      <c r="J9">
        <f t="shared" si="1"/>
        <v>0.87749643873921224</v>
      </c>
      <c r="K9">
        <f t="shared" si="2"/>
        <v>-0.22792115291927589</v>
      </c>
      <c r="L9">
        <f t="shared" si="3"/>
        <v>0.98996655518394649</v>
      </c>
      <c r="M9">
        <f t="shared" si="4"/>
        <v>-0.22563431860904903</v>
      </c>
      <c r="N9">
        <f>L9*C9/J9</f>
        <v>0.22563431860904903</v>
      </c>
    </row>
    <row r="10" spans="1:14" x14ac:dyDescent="0.25">
      <c r="A10" t="s">
        <v>12</v>
      </c>
      <c r="B10">
        <v>-0.32</v>
      </c>
      <c r="C10">
        <v>7.8399999999999997E-2</v>
      </c>
      <c r="D10">
        <v>106</v>
      </c>
      <c r="E10">
        <v>104</v>
      </c>
      <c r="F10">
        <v>-0.47</v>
      </c>
      <c r="G10">
        <v>-0.17</v>
      </c>
      <c r="H10">
        <v>2008</v>
      </c>
      <c r="I10">
        <f t="shared" si="0"/>
        <v>0.32</v>
      </c>
      <c r="J10">
        <f t="shared" si="1"/>
        <v>0.56803620541886823</v>
      </c>
      <c r="K10">
        <f t="shared" si="2"/>
        <v>0.56334437302994256</v>
      </c>
      <c r="L10">
        <f t="shared" si="3"/>
        <v>0.99638989169675085</v>
      </c>
      <c r="M10">
        <f t="shared" si="4"/>
        <v>0.56131063883127852</v>
      </c>
      <c r="N10">
        <f>L10*C10/J10</f>
        <v>0.13752110651366323</v>
      </c>
    </row>
    <row r="11" spans="1:14" x14ac:dyDescent="0.25">
      <c r="A11" t="s">
        <v>13</v>
      </c>
      <c r="B11">
        <v>0.08</v>
      </c>
      <c r="C11">
        <v>0.28000000000000003</v>
      </c>
      <c r="D11">
        <v>20</v>
      </c>
      <c r="E11">
        <v>20</v>
      </c>
      <c r="F11">
        <v>-0.47</v>
      </c>
      <c r="G11">
        <v>0.63</v>
      </c>
      <c r="H11">
        <v>2008</v>
      </c>
      <c r="I11">
        <f t="shared" si="0"/>
        <v>-0.08</v>
      </c>
      <c r="J11">
        <f t="shared" si="1"/>
        <v>0.88543774484714632</v>
      </c>
      <c r="K11">
        <f t="shared" si="2"/>
        <v>-9.0350790290525118E-2</v>
      </c>
      <c r="L11">
        <f t="shared" si="3"/>
        <v>0.98013245033112584</v>
      </c>
      <c r="M11">
        <f t="shared" si="4"/>
        <v>-8.8555741476806074E-2</v>
      </c>
      <c r="N11">
        <f>L11*C11/J11</f>
        <v>0.30994509516882129</v>
      </c>
    </row>
    <row r="12" spans="1:14" x14ac:dyDescent="0.25">
      <c r="A12" t="s">
        <v>14</v>
      </c>
      <c r="B12">
        <v>0</v>
      </c>
      <c r="C12">
        <v>7.0699999999999999E-2</v>
      </c>
      <c r="D12">
        <v>55</v>
      </c>
      <c r="E12">
        <v>48</v>
      </c>
      <c r="F12">
        <v>-0.14000000000000001</v>
      </c>
      <c r="G12">
        <v>0.14000000000000001</v>
      </c>
      <c r="H12">
        <v>2008</v>
      </c>
      <c r="I12">
        <f t="shared" si="0"/>
        <v>0</v>
      </c>
      <c r="J12">
        <f t="shared" si="1"/>
        <v>0.35793384429696484</v>
      </c>
      <c r="K12">
        <f t="shared" si="2"/>
        <v>0</v>
      </c>
      <c r="L12">
        <f t="shared" si="3"/>
        <v>0.99255583126550873</v>
      </c>
      <c r="M12">
        <f t="shared" si="4"/>
        <v>0</v>
      </c>
      <c r="N12">
        <f>L12*C12/J12</f>
        <v>0.19605214312243377</v>
      </c>
    </row>
    <row r="13" spans="1:14" x14ac:dyDescent="0.25">
      <c r="A13" t="s">
        <v>15</v>
      </c>
      <c r="B13">
        <v>0.2</v>
      </c>
      <c r="C13">
        <v>0.21640000000000001</v>
      </c>
      <c r="D13">
        <v>63</v>
      </c>
      <c r="E13">
        <v>65</v>
      </c>
      <c r="F13">
        <v>-0.22</v>
      </c>
      <c r="G13">
        <v>0.62</v>
      </c>
      <c r="H13">
        <v>2010</v>
      </c>
      <c r="I13">
        <f t="shared" si="0"/>
        <v>-0.2</v>
      </c>
      <c r="J13">
        <f t="shared" si="1"/>
        <v>1.2239938189182167</v>
      </c>
      <c r="K13">
        <f t="shared" si="2"/>
        <v>-0.16339951796224175</v>
      </c>
      <c r="L13">
        <f t="shared" si="3"/>
        <v>0.99403578528827041</v>
      </c>
      <c r="M13">
        <f t="shared" si="4"/>
        <v>-0.16242496815332183</v>
      </c>
      <c r="N13">
        <f>L13*C13/J13</f>
        <v>0.17574381554189419</v>
      </c>
    </row>
    <row r="14" spans="1:14" x14ac:dyDescent="0.25">
      <c r="A14" t="s">
        <v>16</v>
      </c>
      <c r="B14">
        <v>-0.6</v>
      </c>
      <c r="C14">
        <v>0.1124</v>
      </c>
      <c r="D14">
        <v>108</v>
      </c>
      <c r="E14">
        <v>107</v>
      </c>
      <c r="F14">
        <v>-0.82</v>
      </c>
      <c r="G14">
        <v>-0.38</v>
      </c>
      <c r="H14">
        <v>2008</v>
      </c>
      <c r="I14">
        <f t="shared" si="0"/>
        <v>0.6</v>
      </c>
      <c r="J14">
        <f t="shared" si="1"/>
        <v>0.82404484682655188</v>
      </c>
      <c r="K14">
        <f t="shared" si="2"/>
        <v>0.72811571155458032</v>
      </c>
      <c r="L14">
        <f t="shared" si="3"/>
        <v>0.99647473560517041</v>
      </c>
      <c r="M14">
        <f t="shared" si="4"/>
        <v>0.72554891116132092</v>
      </c>
      <c r="N14">
        <f>L14*C14/J14</f>
        <v>0.13591949602422079</v>
      </c>
    </row>
    <row r="15" spans="1:14" x14ac:dyDescent="0.25">
      <c r="A15" t="s">
        <v>17</v>
      </c>
      <c r="B15">
        <v>-0.34</v>
      </c>
      <c r="C15">
        <v>0.16930000000000001</v>
      </c>
      <c r="D15">
        <v>137</v>
      </c>
      <c r="E15">
        <v>108</v>
      </c>
      <c r="F15">
        <v>-0.67</v>
      </c>
      <c r="G15">
        <v>-0.01</v>
      </c>
      <c r="H15">
        <v>2003</v>
      </c>
      <c r="I15">
        <f t="shared" si="0"/>
        <v>0.34</v>
      </c>
      <c r="J15">
        <f t="shared" si="1"/>
        <v>1.3156672894352113</v>
      </c>
      <c r="K15">
        <f t="shared" si="2"/>
        <v>0.25842399725994175</v>
      </c>
      <c r="L15">
        <f t="shared" si="3"/>
        <v>0.99691040164778577</v>
      </c>
      <c r="M15">
        <f t="shared" si="4"/>
        <v>0.25762557090383481</v>
      </c>
      <c r="N15">
        <f>L15*C15/J15</f>
        <v>0.12828237986476246</v>
      </c>
    </row>
    <row r="16" spans="1:14" x14ac:dyDescent="0.25">
      <c r="A16" t="s">
        <v>18</v>
      </c>
      <c r="B16">
        <v>-0.3</v>
      </c>
      <c r="C16">
        <v>5.0999999999999997E-2</v>
      </c>
      <c r="D16">
        <v>19</v>
      </c>
      <c r="E16">
        <v>19</v>
      </c>
      <c r="F16">
        <v>-0.4</v>
      </c>
      <c r="G16">
        <v>-0.2</v>
      </c>
      <c r="H16">
        <v>2004</v>
      </c>
      <c r="I16">
        <f t="shared" si="0"/>
        <v>0.3</v>
      </c>
      <c r="J16">
        <f t="shared" si="1"/>
        <v>0.15719255707570889</v>
      </c>
      <c r="K16">
        <f t="shared" si="2"/>
        <v>1.9084873074207358</v>
      </c>
      <c r="L16">
        <f t="shared" si="3"/>
        <v>0.97902097902097907</v>
      </c>
      <c r="M16">
        <f t="shared" si="4"/>
        <v>1.868449112160161</v>
      </c>
      <c r="N16">
        <f>L16*C16/J16</f>
        <v>0.31763634906722737</v>
      </c>
    </row>
    <row r="17" spans="1:14" x14ac:dyDescent="0.25">
      <c r="A17" t="s">
        <v>19</v>
      </c>
      <c r="B17">
        <v>0.04</v>
      </c>
      <c r="C17">
        <v>0.2092</v>
      </c>
      <c r="D17">
        <v>53</v>
      </c>
      <c r="E17">
        <v>46</v>
      </c>
      <c r="F17">
        <v>-0.37</v>
      </c>
      <c r="G17">
        <v>0.45</v>
      </c>
      <c r="H17">
        <v>2011</v>
      </c>
      <c r="I17">
        <f t="shared" si="0"/>
        <v>-0.04</v>
      </c>
      <c r="J17">
        <f t="shared" si="1"/>
        <v>1.0381519726821495</v>
      </c>
      <c r="K17">
        <f t="shared" si="2"/>
        <v>-3.8530004327455805E-2</v>
      </c>
      <c r="L17">
        <f t="shared" si="3"/>
        <v>0.99224806201550386</v>
      </c>
      <c r="M17">
        <f t="shared" si="4"/>
        <v>-3.8231322123367002E-2</v>
      </c>
      <c r="N17">
        <f>L17*C17/J17</f>
        <v>0.19994981470520939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2025-12-28T20:34:05Z</dcterms:modified>
</cp:coreProperties>
</file>