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NNS\riosleyvraz2020\"/>
    </mc:Choice>
  </mc:AlternateContent>
  <xr:revisionPtr revIDLastSave="0" documentId="13_ncr:1_{8E60D7EF-A6B1-4AC0-8E30-AE54303CE192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 s="1"/>
  <c r="K3" i="1"/>
  <c r="L3" i="1" s="1"/>
  <c r="I4" i="1"/>
  <c r="J4" i="1" s="1"/>
  <c r="K4" i="1"/>
  <c r="M4" i="1"/>
  <c r="I5" i="1"/>
  <c r="J5" i="1"/>
  <c r="K5" i="1"/>
  <c r="L5" i="1" s="1"/>
  <c r="I6" i="1"/>
  <c r="J6" i="1" s="1"/>
  <c r="K6" i="1"/>
  <c r="L6" i="1" s="1"/>
  <c r="M6" i="1"/>
  <c r="I7" i="1"/>
  <c r="J7" i="1"/>
  <c r="K7" i="1"/>
  <c r="M7" i="1" s="1"/>
  <c r="L7" i="1"/>
  <c r="I8" i="1"/>
  <c r="J8" i="1" s="1"/>
  <c r="K8" i="1"/>
  <c r="I9" i="1"/>
  <c r="J9" i="1"/>
  <c r="K9" i="1"/>
  <c r="L9" i="1"/>
  <c r="M9" i="1"/>
  <c r="I10" i="1"/>
  <c r="J10" i="1" s="1"/>
  <c r="K10" i="1"/>
  <c r="L10" i="1" s="1"/>
  <c r="I11" i="1"/>
  <c r="J11" i="1"/>
  <c r="K11" i="1"/>
  <c r="L11" i="1"/>
  <c r="M11" i="1"/>
  <c r="I12" i="1"/>
  <c r="J12" i="1"/>
  <c r="K12" i="1"/>
  <c r="L12" i="1" s="1"/>
  <c r="I13" i="1"/>
  <c r="J13" i="1"/>
  <c r="K13" i="1"/>
  <c r="L13" i="1"/>
  <c r="M13" i="1"/>
  <c r="I14" i="1"/>
  <c r="J14" i="1" s="1"/>
  <c r="L14" i="1" s="1"/>
  <c r="K14" i="1"/>
  <c r="M14" i="1"/>
  <c r="I15" i="1"/>
  <c r="J15" i="1" s="1"/>
  <c r="K15" i="1"/>
  <c r="L15" i="1" s="1"/>
  <c r="I16" i="1"/>
  <c r="J16" i="1" s="1"/>
  <c r="K16" i="1"/>
  <c r="L16" i="1" s="1"/>
  <c r="M16" i="1"/>
  <c r="I17" i="1"/>
  <c r="J17" i="1"/>
  <c r="K17" i="1"/>
  <c r="L17" i="1" s="1"/>
  <c r="I18" i="1"/>
  <c r="J18" i="1" s="1"/>
  <c r="K18" i="1"/>
  <c r="L18" i="1" s="1"/>
  <c r="M18" i="1"/>
  <c r="I19" i="1"/>
  <c r="J19" i="1"/>
  <c r="K19" i="1"/>
  <c r="M19" i="1" s="1"/>
  <c r="L19" i="1"/>
  <c r="I20" i="1"/>
  <c r="J20" i="1" s="1"/>
  <c r="K20" i="1"/>
  <c r="L20" i="1" s="1"/>
  <c r="M20" i="1"/>
  <c r="I21" i="1"/>
  <c r="J21" i="1"/>
  <c r="K21" i="1"/>
  <c r="L21" i="1"/>
  <c r="M21" i="1"/>
  <c r="I22" i="1"/>
  <c r="J22" i="1" s="1"/>
  <c r="K22" i="1"/>
  <c r="L22" i="1" s="1"/>
  <c r="I23" i="1"/>
  <c r="J23" i="1"/>
  <c r="K23" i="1"/>
  <c r="L23" i="1"/>
  <c r="M23" i="1"/>
  <c r="I24" i="1"/>
  <c r="J24" i="1"/>
  <c r="K24" i="1"/>
  <c r="L24" i="1" s="1"/>
  <c r="I25" i="1"/>
  <c r="J25" i="1"/>
  <c r="K25" i="1"/>
  <c r="L25" i="1"/>
  <c r="M25" i="1"/>
  <c r="I26" i="1"/>
  <c r="J26" i="1" s="1"/>
  <c r="L26" i="1" s="1"/>
  <c r="K26" i="1"/>
  <c r="M26" i="1"/>
  <c r="I27" i="1"/>
  <c r="J27" i="1" s="1"/>
  <c r="L27" i="1" s="1"/>
  <c r="K27" i="1"/>
  <c r="M27" i="1" s="1"/>
  <c r="I28" i="1"/>
  <c r="J28" i="1" s="1"/>
  <c r="K28" i="1"/>
  <c r="M28" i="1"/>
  <c r="I29" i="1"/>
  <c r="J29" i="1"/>
  <c r="K29" i="1"/>
  <c r="L29" i="1" s="1"/>
  <c r="I30" i="1"/>
  <c r="J30" i="1" s="1"/>
  <c r="K30" i="1"/>
  <c r="L30" i="1" s="1"/>
  <c r="M30" i="1"/>
  <c r="M2" i="1"/>
  <c r="L2" i="1"/>
  <c r="K2" i="1"/>
  <c r="J2" i="1"/>
  <c r="I2" i="1"/>
  <c r="L8" i="1" l="1"/>
  <c r="L4" i="1"/>
  <c r="L28" i="1"/>
  <c r="M8" i="1"/>
  <c r="M15" i="1"/>
  <c r="M3" i="1"/>
  <c r="M22" i="1"/>
  <c r="M10" i="1"/>
  <c r="M29" i="1"/>
  <c r="M17" i="1"/>
  <c r="M5" i="1"/>
  <c r="M24" i="1"/>
  <c r="M1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</calcChain>
</file>

<file path=xl/sharedStrings.xml><?xml version="1.0" encoding="utf-8"?>
<sst xmlns="http://schemas.openxmlformats.org/spreadsheetml/2006/main" count="42" uniqueCount="38">
  <si>
    <t>AI-Dujaili</t>
  </si>
  <si>
    <t>Blackbum</t>
  </si>
  <si>
    <t>Bonnet</t>
  </si>
  <si>
    <t>Campos</t>
  </si>
  <si>
    <t>Ebbeling</t>
  </si>
  <si>
    <t>Han</t>
  </si>
  <si>
    <t>Higgins</t>
  </si>
  <si>
    <t>Kanders</t>
  </si>
  <si>
    <t>Kim</t>
  </si>
  <si>
    <t>Kuzma</t>
  </si>
  <si>
    <t>Lertrit</t>
  </si>
  <si>
    <t>Madjd</t>
  </si>
  <si>
    <t>Markey</t>
  </si>
  <si>
    <t>Mclay-Cooke</t>
  </si>
  <si>
    <t>Njike</t>
  </si>
  <si>
    <t>Peters</t>
  </si>
  <si>
    <t>Raben</t>
  </si>
  <si>
    <t>Reid</t>
  </si>
  <si>
    <t>Romo-Romo</t>
  </si>
  <si>
    <t>Sanchez-Delgado</t>
  </si>
  <si>
    <t>Stamataki</t>
  </si>
  <si>
    <t>Tate</t>
  </si>
  <si>
    <t>Viveros-Watty</t>
  </si>
  <si>
    <t>SagrarioLopez-Meza</t>
  </si>
  <si>
    <t>Engel</t>
  </si>
  <si>
    <t>Author</t>
  </si>
  <si>
    <t>Year</t>
  </si>
  <si>
    <t>n_treat</t>
  </si>
  <si>
    <t>n_control</t>
  </si>
  <si>
    <t>md</t>
  </si>
  <si>
    <t>lCI</t>
  </si>
  <si>
    <t>uCI</t>
  </si>
  <si>
    <t>se_md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</si>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</sst>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selection activeCell="H11" sqref="H11"/>
    </sheetView>
  </sheetViews>
  <sheetFormatPr defaultRowHeight="15" x14ac:dyDescent="0.25"/>
  <cols>
    <col min="1" max="1" width="19" bestFit="1" customWidth="1"/>
    <col min="2" max="2" width="5" bestFit="1" customWidth="1"/>
    <col min="3" max="3" width="7.42578125" bestFit="1" customWidth="1"/>
    <col min="4" max="4" width="9.42578125" bestFit="1" customWidth="1"/>
    <col min="5" max="5" width="5.7109375" bestFit="1" customWidth="1"/>
    <col min="6" max="6" width="6.7109375" bestFit="1" customWidth="1"/>
    <col min="7" max="7" width="6" bestFit="1" customWidth="1"/>
  </cols>
  <sheetData>
    <row r="1" spans="1:13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</row>
    <row r="2" spans="1:13" x14ac:dyDescent="0.25">
      <c r="A2" t="s">
        <v>0</v>
      </c>
      <c r="B2">
        <v>2017</v>
      </c>
      <c r="C2">
        <v>16</v>
      </c>
      <c r="D2">
        <v>16</v>
      </c>
      <c r="E2">
        <v>-0.9</v>
      </c>
      <c r="F2">
        <v>-3.87</v>
      </c>
      <c r="G2">
        <v>2.0699999999999998</v>
      </c>
      <c r="H2">
        <f>(G2-F2)/2/1.96</f>
        <v>1.5153061224489794</v>
      </c>
      <c r="I2">
        <f>H2*SQRT((C2+D2)/4)</f>
        <v>4.2859329390286653</v>
      </c>
      <c r="J2">
        <f>E2/I2</f>
        <v>-0.20998928653418686</v>
      </c>
      <c r="K2">
        <f>1-3/(4*(C2+D2-2)-1)</f>
        <v>0.97478991596638653</v>
      </c>
      <c r="L2">
        <f>-K2*J2</f>
        <v>0.20469543897450146</v>
      </c>
      <c r="M2">
        <f>K2*H2/I2</f>
        <v>0.34464027990604834</v>
      </c>
    </row>
    <row r="3" spans="1:13" x14ac:dyDescent="0.25">
      <c r="A3" t="s">
        <v>1</v>
      </c>
      <c r="B3">
        <v>1997</v>
      </c>
      <c r="C3">
        <v>41</v>
      </c>
      <c r="D3">
        <v>45</v>
      </c>
      <c r="E3">
        <v>-5.0999999999999996</v>
      </c>
      <c r="F3">
        <v>-7.15</v>
      </c>
      <c r="G3">
        <v>-3.05</v>
      </c>
      <c r="H3">
        <f t="shared" ref="H3:H30" si="0">(G3-F3)/2/1.96</f>
        <v>1.045918367346939</v>
      </c>
      <c r="I3">
        <f t="shared" ref="I3:I30" si="1">H3*SQRT((C3+D3)/4)</f>
        <v>4.8497239581036213</v>
      </c>
      <c r="J3">
        <f t="shared" ref="J3:J30" si="2">E3/I3</f>
        <v>-1.0516062448210441</v>
      </c>
      <c r="K3">
        <f t="shared" ref="K3:K30" si="3">1-3/(4*(C3+D3-2)-1)</f>
        <v>0.991044776119403</v>
      </c>
      <c r="L3">
        <f t="shared" ref="L3:L30" si="4">-K3*J3</f>
        <v>1.0421888754644377</v>
      </c>
      <c r="M3">
        <f t="shared" ref="M3:M30" si="5">K3*H3/I3</f>
        <v>0.21373421315547197</v>
      </c>
    </row>
    <row r="4" spans="1:13" x14ac:dyDescent="0.25">
      <c r="A4" t="s">
        <v>2</v>
      </c>
      <c r="B4">
        <v>2018</v>
      </c>
      <c r="C4">
        <v>50</v>
      </c>
      <c r="D4">
        <v>50</v>
      </c>
      <c r="E4">
        <v>-0.59</v>
      </c>
      <c r="F4">
        <v>-1.7</v>
      </c>
      <c r="G4">
        <v>0.52</v>
      </c>
      <c r="H4">
        <f t="shared" si="0"/>
        <v>0.56632653061224481</v>
      </c>
      <c r="I4">
        <f t="shared" si="1"/>
        <v>2.8316326530612241</v>
      </c>
      <c r="J4">
        <f t="shared" si="2"/>
        <v>-0.20836036036036037</v>
      </c>
      <c r="K4">
        <f t="shared" si="3"/>
        <v>0.99232736572890023</v>
      </c>
      <c r="L4">
        <f t="shared" si="4"/>
        <v>0.20676168751872079</v>
      </c>
      <c r="M4">
        <f t="shared" si="5"/>
        <v>0.19846547314578003</v>
      </c>
    </row>
    <row r="5" spans="1:13" x14ac:dyDescent="0.25">
      <c r="A5" t="s">
        <v>3</v>
      </c>
      <c r="B5">
        <v>2015</v>
      </c>
      <c r="C5">
        <v>14</v>
      </c>
      <c r="D5">
        <v>13</v>
      </c>
      <c r="E5">
        <v>-2.2999999999999998</v>
      </c>
      <c r="F5">
        <v>-5.09</v>
      </c>
      <c r="G5">
        <v>0.49</v>
      </c>
      <c r="H5">
        <f t="shared" si="0"/>
        <v>1.4234693877551021</v>
      </c>
      <c r="I5">
        <f t="shared" si="1"/>
        <v>3.6982819539162</v>
      </c>
      <c r="J5">
        <f t="shared" si="2"/>
        <v>-0.62191039749267207</v>
      </c>
      <c r="K5">
        <f t="shared" si="3"/>
        <v>0.96969696969696972</v>
      </c>
      <c r="L5">
        <f t="shared" si="4"/>
        <v>0.60306462787168202</v>
      </c>
      <c r="M5">
        <f t="shared" si="5"/>
        <v>0.3732365376579399</v>
      </c>
    </row>
    <row r="6" spans="1:13" x14ac:dyDescent="0.25">
      <c r="A6" t="s">
        <v>4</v>
      </c>
      <c r="B6">
        <v>2020</v>
      </c>
      <c r="C6">
        <v>67</v>
      </c>
      <c r="D6">
        <v>136</v>
      </c>
      <c r="E6">
        <v>-0.35</v>
      </c>
      <c r="F6">
        <v>-1.75</v>
      </c>
      <c r="G6">
        <v>1.05</v>
      </c>
      <c r="H6">
        <f t="shared" si="0"/>
        <v>0.7142857142857143</v>
      </c>
      <c r="I6">
        <f t="shared" si="1"/>
        <v>5.0885024459910735</v>
      </c>
      <c r="J6">
        <f t="shared" si="2"/>
        <v>-6.8782515821672455E-2</v>
      </c>
      <c r="K6">
        <f t="shared" si="3"/>
        <v>0.99626400996264008</v>
      </c>
      <c r="L6">
        <f t="shared" si="4"/>
        <v>6.852554502781813E-2</v>
      </c>
      <c r="M6">
        <f t="shared" si="5"/>
        <v>0.13984805107717987</v>
      </c>
    </row>
    <row r="7" spans="1:13" x14ac:dyDescent="0.25">
      <c r="A7" t="s">
        <v>24</v>
      </c>
      <c r="B7">
        <v>2018</v>
      </c>
      <c r="C7">
        <v>15</v>
      </c>
      <c r="D7">
        <v>30</v>
      </c>
      <c r="E7">
        <v>-0.56999999999999995</v>
      </c>
      <c r="F7">
        <v>-2.27</v>
      </c>
      <c r="G7">
        <v>1.1200000000000001</v>
      </c>
      <c r="H7">
        <f t="shared" si="0"/>
        <v>0.86479591836734704</v>
      </c>
      <c r="I7">
        <f t="shared" si="1"/>
        <v>2.9006136902006205</v>
      </c>
      <c r="J7">
        <f t="shared" si="2"/>
        <v>-0.19651013919077792</v>
      </c>
      <c r="K7">
        <f t="shared" si="3"/>
        <v>0.98245614035087714</v>
      </c>
      <c r="L7">
        <f t="shared" si="4"/>
        <v>0.19306259288918531</v>
      </c>
      <c r="M7">
        <f t="shared" si="5"/>
        <v>0.29291182863155135</v>
      </c>
    </row>
    <row r="8" spans="1:13" x14ac:dyDescent="0.25">
      <c r="A8" t="s">
        <v>5</v>
      </c>
      <c r="B8">
        <v>2018</v>
      </c>
      <c r="C8">
        <v>40</v>
      </c>
      <c r="D8">
        <v>81</v>
      </c>
      <c r="E8">
        <v>0.77</v>
      </c>
      <c r="F8">
        <v>0.11</v>
      </c>
      <c r="G8">
        <v>1.43</v>
      </c>
      <c r="H8">
        <f t="shared" si="0"/>
        <v>0.33673469387755101</v>
      </c>
      <c r="I8">
        <f t="shared" si="1"/>
        <v>1.8520408163265305</v>
      </c>
      <c r="J8">
        <f t="shared" si="2"/>
        <v>0.41575757575757577</v>
      </c>
      <c r="K8">
        <f t="shared" si="3"/>
        <v>0.99368421052631584</v>
      </c>
      <c r="L8">
        <f t="shared" si="4"/>
        <v>-0.41313173843700163</v>
      </c>
      <c r="M8">
        <f t="shared" si="5"/>
        <v>0.18066985645933015</v>
      </c>
    </row>
    <row r="9" spans="1:13" x14ac:dyDescent="0.25">
      <c r="A9" t="s">
        <v>6</v>
      </c>
      <c r="B9">
        <v>2018</v>
      </c>
      <c r="C9">
        <v>31</v>
      </c>
      <c r="D9">
        <v>31</v>
      </c>
      <c r="E9">
        <v>0.7</v>
      </c>
      <c r="F9">
        <v>-0.6</v>
      </c>
      <c r="G9">
        <v>2</v>
      </c>
      <c r="H9">
        <f t="shared" si="0"/>
        <v>0.66326530612244905</v>
      </c>
      <c r="I9">
        <f t="shared" si="1"/>
        <v>2.611278121483509</v>
      </c>
      <c r="J9">
        <f t="shared" si="2"/>
        <v>0.26806796037578667</v>
      </c>
      <c r="K9">
        <f t="shared" si="3"/>
        <v>0.9874476987447699</v>
      </c>
      <c r="L9">
        <f t="shared" si="4"/>
        <v>-0.26470309058027469</v>
      </c>
      <c r="M9">
        <f t="shared" si="5"/>
        <v>0.25081196629326324</v>
      </c>
    </row>
    <row r="10" spans="1:13" x14ac:dyDescent="0.25">
      <c r="A10" t="s">
        <v>6</v>
      </c>
      <c r="B10">
        <v>2019</v>
      </c>
      <c r="C10">
        <v>115</v>
      </c>
      <c r="D10">
        <v>39</v>
      </c>
      <c r="E10">
        <v>-1.41</v>
      </c>
      <c r="F10">
        <v>-2.2000000000000002</v>
      </c>
      <c r="G10">
        <v>-0.61</v>
      </c>
      <c r="H10">
        <f t="shared" si="0"/>
        <v>0.40561224489795927</v>
      </c>
      <c r="I10">
        <f t="shared" si="1"/>
        <v>2.5167577930006972</v>
      </c>
      <c r="J10">
        <f t="shared" si="2"/>
        <v>-0.56024461468692843</v>
      </c>
      <c r="K10">
        <f t="shared" si="3"/>
        <v>0.99505766062602963</v>
      </c>
      <c r="L10">
        <f t="shared" si="4"/>
        <v>0.55747569566870636</v>
      </c>
      <c r="M10">
        <f t="shared" si="5"/>
        <v>0.16036806269236561</v>
      </c>
    </row>
    <row r="11" spans="1:13" x14ac:dyDescent="0.25">
      <c r="A11" t="s">
        <v>7</v>
      </c>
      <c r="B11">
        <v>1988</v>
      </c>
      <c r="C11">
        <v>28</v>
      </c>
      <c r="D11">
        <v>27</v>
      </c>
      <c r="E11">
        <v>-0.98</v>
      </c>
      <c r="F11">
        <v>-2.75</v>
      </c>
      <c r="G11">
        <v>0.78</v>
      </c>
      <c r="H11">
        <f t="shared" si="0"/>
        <v>0.90051020408163274</v>
      </c>
      <c r="I11">
        <f t="shared" si="1"/>
        <v>3.3391812065622055</v>
      </c>
      <c r="J11">
        <f t="shared" si="2"/>
        <v>-0.29348512086558537</v>
      </c>
      <c r="K11">
        <f t="shared" si="3"/>
        <v>0.98578199052132698</v>
      </c>
      <c r="L11">
        <f t="shared" si="4"/>
        <v>0.289312346635269</v>
      </c>
      <c r="M11">
        <f t="shared" si="5"/>
        <v>0.26584563297128788</v>
      </c>
    </row>
    <row r="12" spans="1:13" x14ac:dyDescent="0.25">
      <c r="A12" t="s">
        <v>8</v>
      </c>
      <c r="B12">
        <v>2011</v>
      </c>
      <c r="C12">
        <v>9</v>
      </c>
      <c r="D12">
        <v>12</v>
      </c>
      <c r="E12">
        <v>-0.68</v>
      </c>
      <c r="F12">
        <v>-1.61</v>
      </c>
      <c r="G12">
        <v>0.25</v>
      </c>
      <c r="H12">
        <f t="shared" si="0"/>
        <v>0.47448979591836737</v>
      </c>
      <c r="I12">
        <f t="shared" si="1"/>
        <v>1.0871927031400335</v>
      </c>
      <c r="J12">
        <f t="shared" si="2"/>
        <v>-0.62546409485275412</v>
      </c>
      <c r="K12">
        <f t="shared" si="3"/>
        <v>0.96</v>
      </c>
      <c r="L12">
        <f t="shared" si="4"/>
        <v>0.60044553105864396</v>
      </c>
      <c r="M12">
        <f t="shared" si="5"/>
        <v>0.4189783492531054</v>
      </c>
    </row>
    <row r="13" spans="1:13" x14ac:dyDescent="0.25">
      <c r="A13" t="s">
        <v>8</v>
      </c>
      <c r="B13">
        <v>2020</v>
      </c>
      <c r="C13">
        <v>39</v>
      </c>
      <c r="D13">
        <v>39</v>
      </c>
      <c r="E13">
        <v>-0.2</v>
      </c>
      <c r="F13">
        <v>-4.13</v>
      </c>
      <c r="G13">
        <v>3.73</v>
      </c>
      <c r="H13">
        <f t="shared" si="0"/>
        <v>2.0051020408163263</v>
      </c>
      <c r="I13">
        <f t="shared" si="1"/>
        <v>8.8542908685378663</v>
      </c>
      <c r="J13">
        <f t="shared" si="2"/>
        <v>-2.258791844196853E-2</v>
      </c>
      <c r="K13">
        <f t="shared" si="3"/>
        <v>0.99009900990099009</v>
      </c>
      <c r="L13">
        <f t="shared" si="4"/>
        <v>2.2364275685117355E-2</v>
      </c>
      <c r="M13">
        <f t="shared" si="5"/>
        <v>0.22421327408803873</v>
      </c>
    </row>
    <row r="14" spans="1:13" x14ac:dyDescent="0.25">
      <c r="A14" t="s">
        <v>9</v>
      </c>
      <c r="B14">
        <v>2015</v>
      </c>
      <c r="C14">
        <v>9</v>
      </c>
      <c r="D14">
        <v>9</v>
      </c>
      <c r="E14">
        <v>0</v>
      </c>
      <c r="F14">
        <v>-5.78</v>
      </c>
      <c r="G14">
        <v>5.78</v>
      </c>
      <c r="H14">
        <f t="shared" si="0"/>
        <v>2.9489795918367347</v>
      </c>
      <c r="I14">
        <f t="shared" si="1"/>
        <v>6.2557304009054757</v>
      </c>
      <c r="J14">
        <f t="shared" si="2"/>
        <v>0</v>
      </c>
      <c r="K14">
        <f t="shared" si="3"/>
        <v>0.95238095238095233</v>
      </c>
      <c r="L14">
        <f t="shared" si="4"/>
        <v>0</v>
      </c>
      <c r="M14">
        <f t="shared" si="5"/>
        <v>0.44895668646764925</v>
      </c>
    </row>
    <row r="15" spans="1:13" x14ac:dyDescent="0.25">
      <c r="A15" t="s">
        <v>10</v>
      </c>
      <c r="B15">
        <v>2018</v>
      </c>
      <c r="C15">
        <v>15</v>
      </c>
      <c r="D15">
        <v>15</v>
      </c>
      <c r="E15">
        <v>0.05</v>
      </c>
      <c r="F15">
        <v>-10.71</v>
      </c>
      <c r="G15">
        <v>10.81</v>
      </c>
      <c r="H15">
        <f t="shared" si="0"/>
        <v>5.4897959183673475</v>
      </c>
      <c r="I15">
        <f t="shared" si="1"/>
        <v>15.034425302947929</v>
      </c>
      <c r="J15">
        <f t="shared" si="2"/>
        <v>3.3257007828690383E-3</v>
      </c>
      <c r="K15">
        <f t="shared" si="3"/>
        <v>0.97297297297297303</v>
      </c>
      <c r="L15">
        <f t="shared" si="4"/>
        <v>-3.2358169779266319E-3</v>
      </c>
      <c r="M15">
        <f t="shared" si="5"/>
        <v>0.35527949676010778</v>
      </c>
    </row>
    <row r="16" spans="1:13" x14ac:dyDescent="0.25">
      <c r="A16" t="s">
        <v>11</v>
      </c>
      <c r="B16">
        <v>2018</v>
      </c>
      <c r="C16">
        <v>36</v>
      </c>
      <c r="D16">
        <v>35</v>
      </c>
      <c r="E16">
        <v>2.4</v>
      </c>
      <c r="F16">
        <v>0.97</v>
      </c>
      <c r="G16">
        <v>3.83</v>
      </c>
      <c r="H16">
        <f t="shared" si="0"/>
        <v>0.72959183673469397</v>
      </c>
      <c r="I16">
        <f t="shared" si="1"/>
        <v>3.0738250448066822</v>
      </c>
      <c r="J16">
        <f t="shared" si="2"/>
        <v>0.78078614267746649</v>
      </c>
      <c r="K16">
        <f t="shared" si="3"/>
        <v>0.98909090909090913</v>
      </c>
      <c r="L16">
        <f t="shared" si="4"/>
        <v>-0.77226847566643964</v>
      </c>
      <c r="M16">
        <f t="shared" si="5"/>
        <v>0.23476698983907499</v>
      </c>
    </row>
    <row r="17" spans="1:13" x14ac:dyDescent="0.25">
      <c r="A17" t="s">
        <v>12</v>
      </c>
      <c r="B17">
        <v>2016</v>
      </c>
      <c r="C17">
        <v>50</v>
      </c>
      <c r="D17">
        <v>50</v>
      </c>
      <c r="E17">
        <v>-0.4</v>
      </c>
      <c r="F17">
        <v>-1.56</v>
      </c>
      <c r="G17">
        <v>0.76</v>
      </c>
      <c r="H17">
        <f t="shared" si="0"/>
        <v>0.59183673469387765</v>
      </c>
      <c r="I17">
        <f t="shared" si="1"/>
        <v>2.9591836734693882</v>
      </c>
      <c r="J17">
        <f t="shared" si="2"/>
        <v>-0.13517241379310344</v>
      </c>
      <c r="K17">
        <f t="shared" si="3"/>
        <v>0.99232736572890023</v>
      </c>
      <c r="L17">
        <f t="shared" si="4"/>
        <v>0.1341352852985272</v>
      </c>
      <c r="M17">
        <f t="shared" si="5"/>
        <v>0.19846547314578006</v>
      </c>
    </row>
    <row r="18" spans="1:13" x14ac:dyDescent="0.25">
      <c r="A18" t="s">
        <v>13</v>
      </c>
      <c r="B18">
        <v>2016</v>
      </c>
      <c r="C18">
        <v>63</v>
      </c>
      <c r="D18">
        <v>53</v>
      </c>
      <c r="E18">
        <v>-0.68</v>
      </c>
      <c r="F18">
        <v>-1.27</v>
      </c>
      <c r="G18">
        <v>-0.1</v>
      </c>
      <c r="H18">
        <f t="shared" si="0"/>
        <v>0.29846938775510201</v>
      </c>
      <c r="I18">
        <f t="shared" si="1"/>
        <v>1.6073068429457573</v>
      </c>
      <c r="J18">
        <f t="shared" si="2"/>
        <v>-0.42306794311517054</v>
      </c>
      <c r="K18">
        <f t="shared" si="3"/>
        <v>0.99340659340659343</v>
      </c>
      <c r="L18">
        <f t="shared" si="4"/>
        <v>0.42027848414957603</v>
      </c>
      <c r="M18">
        <f t="shared" si="5"/>
        <v>0.18447097330995044</v>
      </c>
    </row>
    <row r="19" spans="1:13" x14ac:dyDescent="0.25">
      <c r="A19" t="s">
        <v>14</v>
      </c>
      <c r="B19">
        <v>2011</v>
      </c>
      <c r="C19">
        <v>32</v>
      </c>
      <c r="D19">
        <v>33</v>
      </c>
      <c r="E19">
        <v>-0.09</v>
      </c>
      <c r="F19">
        <v>-0.49</v>
      </c>
      <c r="G19">
        <v>0.31</v>
      </c>
      <c r="H19">
        <f t="shared" si="0"/>
        <v>0.20408163265306123</v>
      </c>
      <c r="I19">
        <f t="shared" si="1"/>
        <v>0.82267936207128056</v>
      </c>
      <c r="J19">
        <f t="shared" si="2"/>
        <v>-0.10939863590768185</v>
      </c>
      <c r="K19">
        <f t="shared" si="3"/>
        <v>0.98804780876494025</v>
      </c>
      <c r="L19">
        <f t="shared" si="4"/>
        <v>0.10809108249045857</v>
      </c>
      <c r="M19">
        <f t="shared" si="5"/>
        <v>0.24510449544321672</v>
      </c>
    </row>
    <row r="20" spans="1:13" x14ac:dyDescent="0.25">
      <c r="A20" t="s">
        <v>15</v>
      </c>
      <c r="B20">
        <v>2016</v>
      </c>
      <c r="C20">
        <v>154</v>
      </c>
      <c r="D20">
        <v>149</v>
      </c>
      <c r="E20">
        <v>-3.76</v>
      </c>
      <c r="F20">
        <v>-4.5199999999999996</v>
      </c>
      <c r="G20">
        <v>-3</v>
      </c>
      <c r="H20">
        <f t="shared" si="0"/>
        <v>0.3877551020408162</v>
      </c>
      <c r="I20">
        <f t="shared" si="1"/>
        <v>3.3748062094393361</v>
      </c>
      <c r="J20">
        <f t="shared" si="2"/>
        <v>-1.1141380472405427</v>
      </c>
      <c r="K20">
        <f t="shared" si="3"/>
        <v>0.99750623441396513</v>
      </c>
      <c r="L20">
        <f t="shared" si="4"/>
        <v>1.1113596481202421</v>
      </c>
      <c r="M20">
        <f t="shared" si="5"/>
        <v>0.11461047174492289</v>
      </c>
    </row>
    <row r="21" spans="1:13" x14ac:dyDescent="0.25">
      <c r="A21" t="s">
        <v>16</v>
      </c>
      <c r="B21">
        <v>2002</v>
      </c>
      <c r="C21">
        <v>20</v>
      </c>
      <c r="D21">
        <v>21</v>
      </c>
      <c r="E21">
        <v>-2.6</v>
      </c>
      <c r="F21">
        <v>-3.71</v>
      </c>
      <c r="G21">
        <v>-1.49</v>
      </c>
      <c r="H21">
        <f t="shared" si="0"/>
        <v>0.56632653061224481</v>
      </c>
      <c r="I21">
        <f t="shared" si="1"/>
        <v>1.8131295672322605</v>
      </c>
      <c r="J21">
        <f t="shared" si="2"/>
        <v>-1.4339846677195254</v>
      </c>
      <c r="K21">
        <f t="shared" si="3"/>
        <v>0.98064516129032253</v>
      </c>
      <c r="L21">
        <f t="shared" si="4"/>
        <v>1.4062301257636636</v>
      </c>
      <c r="M21">
        <f t="shared" si="5"/>
        <v>0.30630208783313706</v>
      </c>
    </row>
    <row r="22" spans="1:13" x14ac:dyDescent="0.25">
      <c r="A22" t="s">
        <v>17</v>
      </c>
      <c r="B22">
        <v>2007</v>
      </c>
      <c r="C22">
        <v>65</v>
      </c>
      <c r="D22">
        <v>68</v>
      </c>
      <c r="E22">
        <v>-0.66</v>
      </c>
      <c r="F22">
        <v>-1.04</v>
      </c>
      <c r="G22">
        <v>-0.28000000000000003</v>
      </c>
      <c r="H22">
        <f t="shared" si="0"/>
        <v>0.19387755102040816</v>
      </c>
      <c r="I22">
        <f t="shared" si="1"/>
        <v>1.117952496422169</v>
      </c>
      <c r="J22">
        <f t="shared" si="2"/>
        <v>-0.59036497714547453</v>
      </c>
      <c r="K22">
        <f t="shared" si="3"/>
        <v>0.99426386233269604</v>
      </c>
      <c r="L22">
        <f t="shared" si="4"/>
        <v>0.58697856236261337</v>
      </c>
      <c r="M22">
        <f t="shared" si="5"/>
        <v>0.17242722147324757</v>
      </c>
    </row>
    <row r="23" spans="1:13" x14ac:dyDescent="0.25">
      <c r="A23" t="s">
        <v>17</v>
      </c>
      <c r="B23">
        <v>2010</v>
      </c>
      <c r="C23">
        <v>29</v>
      </c>
      <c r="D23">
        <v>24</v>
      </c>
      <c r="E23">
        <v>-0.49</v>
      </c>
      <c r="F23">
        <v>-1.1299999999999999</v>
      </c>
      <c r="G23">
        <v>0.14000000000000001</v>
      </c>
      <c r="H23">
        <f t="shared" si="0"/>
        <v>0.32397959183673469</v>
      </c>
      <c r="I23">
        <f t="shared" si="1"/>
        <v>1.179303515227839</v>
      </c>
      <c r="J23">
        <f t="shared" si="2"/>
        <v>-0.41549948225612893</v>
      </c>
      <c r="K23">
        <f t="shared" si="3"/>
        <v>0.98522167487684731</v>
      </c>
      <c r="L23">
        <f t="shared" si="4"/>
        <v>0.40935909581884622</v>
      </c>
      <c r="M23">
        <f t="shared" si="5"/>
        <v>0.27066120975111135</v>
      </c>
    </row>
    <row r="24" spans="1:13" x14ac:dyDescent="0.25">
      <c r="A24" t="s">
        <v>17</v>
      </c>
      <c r="B24">
        <v>2014</v>
      </c>
      <c r="C24">
        <v>21</v>
      </c>
      <c r="D24">
        <v>20</v>
      </c>
      <c r="E24">
        <v>0.18</v>
      </c>
      <c r="F24">
        <v>-0.99</v>
      </c>
      <c r="G24">
        <v>1.35</v>
      </c>
      <c r="H24">
        <f t="shared" si="0"/>
        <v>0.59693877551020402</v>
      </c>
      <c r="I24">
        <f t="shared" si="1"/>
        <v>1.9111365708664367</v>
      </c>
      <c r="J24">
        <f t="shared" si="2"/>
        <v>9.4184791785128591E-2</v>
      </c>
      <c r="K24">
        <f t="shared" si="3"/>
        <v>0.98064516129032253</v>
      </c>
      <c r="L24">
        <f t="shared" si="4"/>
        <v>-9.2361860331222873E-2</v>
      </c>
      <c r="M24">
        <f t="shared" si="5"/>
        <v>0.306302087833137</v>
      </c>
    </row>
    <row r="25" spans="1:13" x14ac:dyDescent="0.25">
      <c r="A25" t="s">
        <v>18</v>
      </c>
      <c r="B25">
        <v>2018</v>
      </c>
      <c r="C25">
        <v>30</v>
      </c>
      <c r="D25">
        <v>31</v>
      </c>
      <c r="E25">
        <v>-0.82</v>
      </c>
      <c r="F25">
        <v>-1.59</v>
      </c>
      <c r="G25">
        <v>-0.05</v>
      </c>
      <c r="H25">
        <f t="shared" si="0"/>
        <v>0.39285714285714285</v>
      </c>
      <c r="I25">
        <f t="shared" si="1"/>
        <v>1.5341561863388069</v>
      </c>
      <c r="J25">
        <f t="shared" si="2"/>
        <v>-0.53449577513805302</v>
      </c>
      <c r="K25">
        <f t="shared" si="3"/>
        <v>0.98723404255319147</v>
      </c>
      <c r="L25">
        <f t="shared" si="4"/>
        <v>0.52767242481714172</v>
      </c>
      <c r="M25">
        <f t="shared" si="5"/>
        <v>0.25280473314410101</v>
      </c>
    </row>
    <row r="26" spans="1:13" x14ac:dyDescent="0.25">
      <c r="A26" t="s">
        <v>23</v>
      </c>
      <c r="B26">
        <v>2021</v>
      </c>
      <c r="C26">
        <v>26</v>
      </c>
      <c r="D26">
        <v>13</v>
      </c>
      <c r="E26">
        <v>-0.37</v>
      </c>
      <c r="F26">
        <v>-1.99</v>
      </c>
      <c r="G26">
        <v>1.25</v>
      </c>
      <c r="H26">
        <f t="shared" si="0"/>
        <v>0.82653061224489799</v>
      </c>
      <c r="I26">
        <f t="shared" si="1"/>
        <v>2.5808410095421954</v>
      </c>
      <c r="J26">
        <f t="shared" si="2"/>
        <v>-0.14336411992524589</v>
      </c>
      <c r="K26">
        <f t="shared" si="3"/>
        <v>0.97959183673469385</v>
      </c>
      <c r="L26">
        <f t="shared" si="4"/>
        <v>0.14043832155942454</v>
      </c>
      <c r="M26">
        <f t="shared" si="5"/>
        <v>0.31372046459772168</v>
      </c>
    </row>
    <row r="27" spans="1:13" x14ac:dyDescent="0.25">
      <c r="A27" t="s">
        <v>19</v>
      </c>
      <c r="B27">
        <v>2021</v>
      </c>
      <c r="C27">
        <v>26</v>
      </c>
      <c r="D27">
        <v>12</v>
      </c>
      <c r="E27">
        <v>-1.08</v>
      </c>
      <c r="F27">
        <v>-2.89</v>
      </c>
      <c r="G27">
        <v>0.72</v>
      </c>
      <c r="H27">
        <f t="shared" si="0"/>
        <v>0.92091836734693888</v>
      </c>
      <c r="I27">
        <f t="shared" si="1"/>
        <v>2.8384610396323988</v>
      </c>
      <c r="J27">
        <f t="shared" si="2"/>
        <v>-0.38048787174470705</v>
      </c>
      <c r="K27">
        <f t="shared" si="3"/>
        <v>0.97902097902097907</v>
      </c>
      <c r="L27">
        <f t="shared" si="4"/>
        <v>0.37250560870111182</v>
      </c>
      <c r="M27">
        <f t="shared" si="5"/>
        <v>0.31763634906722737</v>
      </c>
    </row>
    <row r="28" spans="1:13" x14ac:dyDescent="0.25">
      <c r="A28" t="s">
        <v>20</v>
      </c>
      <c r="B28">
        <v>2020</v>
      </c>
      <c r="C28">
        <v>14</v>
      </c>
      <c r="D28">
        <v>14</v>
      </c>
      <c r="E28">
        <v>-1.1100000000000001</v>
      </c>
      <c r="F28">
        <v>-1.37</v>
      </c>
      <c r="G28">
        <v>-0.85</v>
      </c>
      <c r="H28">
        <f t="shared" si="0"/>
        <v>0.13265306122448983</v>
      </c>
      <c r="I28">
        <f t="shared" si="1"/>
        <v>0.35096701065142538</v>
      </c>
      <c r="J28">
        <f t="shared" si="2"/>
        <v>-3.1626904133802869</v>
      </c>
      <c r="K28">
        <f t="shared" si="3"/>
        <v>0.970873786407767</v>
      </c>
      <c r="L28">
        <f t="shared" si="4"/>
        <v>3.0705732168740649</v>
      </c>
      <c r="M28">
        <f t="shared" si="5"/>
        <v>0.36695579903808473</v>
      </c>
    </row>
    <row r="29" spans="1:13" x14ac:dyDescent="0.25">
      <c r="A29" t="s">
        <v>21</v>
      </c>
      <c r="B29">
        <v>2012</v>
      </c>
      <c r="C29">
        <v>105</v>
      </c>
      <c r="D29">
        <v>162</v>
      </c>
      <c r="E29">
        <v>-0.7</v>
      </c>
      <c r="F29">
        <v>-1.79</v>
      </c>
      <c r="G29">
        <v>0.39</v>
      </c>
      <c r="H29">
        <f t="shared" si="0"/>
        <v>0.55612244897959184</v>
      </c>
      <c r="I29">
        <f t="shared" si="1"/>
        <v>4.5435578458727877</v>
      </c>
      <c r="J29">
        <f t="shared" si="2"/>
        <v>-0.15406428700712063</v>
      </c>
      <c r="K29">
        <f t="shared" si="3"/>
        <v>0.99716713881019825</v>
      </c>
      <c r="L29">
        <f t="shared" si="4"/>
        <v>0.15362784426772369</v>
      </c>
      <c r="M29">
        <f t="shared" si="5"/>
        <v>0.12205127569374551</v>
      </c>
    </row>
    <row r="30" spans="1:13" x14ac:dyDescent="0.25">
      <c r="A30" t="s">
        <v>22</v>
      </c>
      <c r="B30">
        <v>2021</v>
      </c>
      <c r="C30">
        <v>21</v>
      </c>
      <c r="D30">
        <v>24</v>
      </c>
      <c r="E30">
        <v>3.53</v>
      </c>
      <c r="F30">
        <v>0.73</v>
      </c>
      <c r="G30">
        <v>6.33</v>
      </c>
      <c r="H30">
        <f t="shared" si="0"/>
        <v>1.4285714285714286</v>
      </c>
      <c r="I30">
        <f t="shared" si="1"/>
        <v>4.7915742374995496</v>
      </c>
      <c r="J30">
        <f t="shared" si="2"/>
        <v>0.73670986298693064</v>
      </c>
      <c r="K30">
        <f t="shared" si="3"/>
        <v>0.98245614035087714</v>
      </c>
      <c r="L30">
        <f t="shared" si="4"/>
        <v>-0.72378512854856336</v>
      </c>
      <c r="M30">
        <f t="shared" si="5"/>
        <v>0.29291182863155135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2026-02-01T20:59:22Z</dcterms:modified>
</cp:coreProperties>
</file>