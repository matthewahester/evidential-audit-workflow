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NNS\riosleyvraz2020\"/>
    </mc:Choice>
  </mc:AlternateContent>
  <xr:revisionPtr revIDLastSave="0" documentId="13_ncr:1_{01C5E6C9-46B9-426A-8CD9-937792819BA4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J3" i="1" s="1"/>
  <c r="K3" i="1"/>
  <c r="H4" i="1"/>
  <c r="I4" i="1" s="1"/>
  <c r="K4" i="1"/>
  <c r="H5" i="1"/>
  <c r="I5" i="1" s="1"/>
  <c r="J5" i="1" s="1"/>
  <c r="K5" i="1"/>
  <c r="H6" i="1"/>
  <c r="I6" i="1" s="1"/>
  <c r="K6" i="1"/>
  <c r="H7" i="1"/>
  <c r="I7" i="1" s="1"/>
  <c r="J7" i="1" s="1"/>
  <c r="K7" i="1"/>
  <c r="L7" i="1" s="1"/>
  <c r="H8" i="1"/>
  <c r="I8" i="1" s="1"/>
  <c r="K8" i="1"/>
  <c r="H9" i="1"/>
  <c r="I9" i="1" s="1"/>
  <c r="J9" i="1" s="1"/>
  <c r="K9" i="1"/>
  <c r="H10" i="1"/>
  <c r="I10" i="1" s="1"/>
  <c r="K10" i="1"/>
  <c r="H11" i="1"/>
  <c r="I11" i="1" s="1"/>
  <c r="J11" i="1" s="1"/>
  <c r="K11" i="1"/>
  <c r="H12" i="1"/>
  <c r="I12" i="1" s="1"/>
  <c r="K12" i="1"/>
  <c r="H13" i="1"/>
  <c r="I13" i="1" s="1"/>
  <c r="J13" i="1" s="1"/>
  <c r="K13" i="1"/>
  <c r="L13" i="1" s="1"/>
  <c r="H14" i="1"/>
  <c r="I14" i="1" s="1"/>
  <c r="K14" i="1"/>
  <c r="H15" i="1"/>
  <c r="I15" i="1" s="1"/>
  <c r="J15" i="1" s="1"/>
  <c r="K15" i="1"/>
  <c r="H16" i="1"/>
  <c r="I16" i="1" s="1"/>
  <c r="K16" i="1"/>
  <c r="H17" i="1"/>
  <c r="I17" i="1" s="1"/>
  <c r="J17" i="1" s="1"/>
  <c r="K17" i="1"/>
  <c r="H18" i="1"/>
  <c r="I18" i="1" s="1"/>
  <c r="K18" i="1"/>
  <c r="H19" i="1"/>
  <c r="I19" i="1" s="1"/>
  <c r="J19" i="1" s="1"/>
  <c r="K19" i="1"/>
  <c r="H20" i="1"/>
  <c r="I20" i="1" s="1"/>
  <c r="K20" i="1"/>
  <c r="H21" i="1"/>
  <c r="I21" i="1" s="1"/>
  <c r="J21" i="1" s="1"/>
  <c r="K21" i="1"/>
  <c r="H22" i="1"/>
  <c r="I22" i="1" s="1"/>
  <c r="K22" i="1"/>
  <c r="H23" i="1"/>
  <c r="I23" i="1" s="1"/>
  <c r="J23" i="1" s="1"/>
  <c r="K23" i="1"/>
  <c r="H24" i="1"/>
  <c r="I24" i="1" s="1"/>
  <c r="K24" i="1"/>
  <c r="K2" i="1"/>
  <c r="H2" i="1"/>
  <c r="I2" i="1" s="1"/>
  <c r="J2" i="1" s="1"/>
  <c r="M8" i="1" l="1"/>
  <c r="J8" i="1"/>
  <c r="L8" i="1" s="1"/>
  <c r="J20" i="1"/>
  <c r="L20" i="1" s="1"/>
  <c r="M20" i="1"/>
  <c r="M6" i="1"/>
  <c r="J6" i="1"/>
  <c r="L6" i="1" s="1"/>
  <c r="M12" i="1"/>
  <c r="J12" i="1"/>
  <c r="L12" i="1" s="1"/>
  <c r="L23" i="1"/>
  <c r="L17" i="1"/>
  <c r="L11" i="1"/>
  <c r="L5" i="1"/>
  <c r="M14" i="1"/>
  <c r="J14" i="1"/>
  <c r="L14" i="1" s="1"/>
  <c r="L19" i="1"/>
  <c r="M22" i="1"/>
  <c r="J22" i="1"/>
  <c r="L22" i="1" s="1"/>
  <c r="M16" i="1"/>
  <c r="J16" i="1"/>
  <c r="L16" i="1" s="1"/>
  <c r="M4" i="1"/>
  <c r="J4" i="1"/>
  <c r="L4" i="1" s="1"/>
  <c r="M18" i="1"/>
  <c r="J18" i="1"/>
  <c r="L18" i="1" s="1"/>
  <c r="M10" i="1"/>
  <c r="J10" i="1"/>
  <c r="L10" i="1" s="1"/>
  <c r="L21" i="1"/>
  <c r="L15" i="1"/>
  <c r="L9" i="1"/>
  <c r="L3" i="1"/>
  <c r="M24" i="1"/>
  <c r="J24" i="1"/>
  <c r="L24" i="1" s="1"/>
  <c r="M23" i="1"/>
  <c r="M21" i="1"/>
  <c r="M19" i="1"/>
  <c r="M17" i="1"/>
  <c r="M15" i="1"/>
  <c r="M13" i="1"/>
  <c r="M11" i="1"/>
  <c r="M9" i="1"/>
  <c r="M7" i="1"/>
  <c r="M5" i="1"/>
  <c r="M3" i="1"/>
  <c r="M2" i="1"/>
  <c r="L2" i="1"/>
</calcChain>
</file>

<file path=xl/sharedStrings.xml><?xml version="1.0" encoding="utf-8"?>
<sst xmlns="http://schemas.openxmlformats.org/spreadsheetml/2006/main" count="36" uniqueCount="36">
  <si>
    <t>AI-Dujaili</t>
  </si>
  <si>
    <t>Blackburn</t>
  </si>
  <si>
    <t>Bueno-Hernandez</t>
  </si>
  <si>
    <t>Campos</t>
  </si>
  <si>
    <t>Ebbeling</t>
  </si>
  <si>
    <t>Han</t>
  </si>
  <si>
    <t>Higgins</t>
  </si>
  <si>
    <t>Kanders</t>
  </si>
  <si>
    <t>Kassi</t>
  </si>
  <si>
    <t>Kim</t>
  </si>
  <si>
    <t>Madjd</t>
  </si>
  <si>
    <t>Markey</t>
  </si>
  <si>
    <t>Mclay-Cooke</t>
  </si>
  <si>
    <t>Njike</t>
  </si>
  <si>
    <t>Raben</t>
  </si>
  <si>
    <t>Reid</t>
  </si>
  <si>
    <t>Romo-Romo</t>
  </si>
  <si>
    <t>Sanchez-Delgado</t>
  </si>
  <si>
    <t>Stamataki</t>
  </si>
  <si>
    <t>Vazquez-Duran</t>
  </si>
  <si>
    <t>Viveros-Watty</t>
  </si>
  <si>
    <t>SagrarioLopez-Meza</t>
  </si>
  <si>
    <t>Engel</t>
  </si>
  <si>
    <t>Author</t>
  </si>
  <si>
    <t>Year</t>
  </si>
  <si>
    <t>n_treat</t>
  </si>
  <si>
    <t>n_control</t>
  </si>
  <si>
    <t>md</t>
  </si>
  <si>
    <t>lCI</t>
  </si>
  <si>
    <t>uCI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</si>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</sst>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B1" workbookViewId="0">
      <selection activeCell="J7" sqref="J7"/>
    </sheetView>
  </sheetViews>
  <sheetFormatPr defaultRowHeight="15" x14ac:dyDescent="0.25"/>
  <cols>
    <col min="1" max="1" width="31" bestFit="1" customWidth="1"/>
    <col min="3" max="4" width="4" bestFit="1" customWidth="1"/>
    <col min="5" max="5" width="5.7109375" bestFit="1" customWidth="1"/>
    <col min="6" max="6" width="11.5703125" bestFit="1" customWidth="1"/>
  </cols>
  <sheetData>
    <row r="1" spans="1:13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 spans="1:13" x14ac:dyDescent="0.25">
      <c r="A2" t="s">
        <v>0</v>
      </c>
      <c r="B2">
        <v>2017</v>
      </c>
      <c r="C2">
        <v>16</v>
      </c>
      <c r="D2">
        <v>16</v>
      </c>
      <c r="E2">
        <v>-0.3</v>
      </c>
      <c r="F2">
        <v>-1.58</v>
      </c>
      <c r="G2">
        <v>0.98</v>
      </c>
      <c r="H2">
        <f>(G2-F2)/2/1.96</f>
        <v>0.65306122448979598</v>
      </c>
      <c r="I2">
        <f>H2*SQRT((C2+D2)/4)</f>
        <v>1.8471360814669</v>
      </c>
      <c r="J2">
        <f>E2/I2</f>
        <v>-0.16241358880378509</v>
      </c>
      <c r="K2">
        <f>1-3/(4*(C2+D2-2)-1)</f>
        <v>0.97478991596638653</v>
      </c>
      <c r="L2">
        <f>-K2*J2</f>
        <v>0.15831912858184094</v>
      </c>
      <c r="M2">
        <f>K2*H2/I2</f>
        <v>0.34464027990604829</v>
      </c>
    </row>
    <row r="3" spans="1:13" x14ac:dyDescent="0.25">
      <c r="A3" t="s">
        <v>1</v>
      </c>
      <c r="B3">
        <v>1997</v>
      </c>
      <c r="C3">
        <v>71</v>
      </c>
      <c r="D3">
        <v>65</v>
      </c>
      <c r="E3">
        <v>0</v>
      </c>
      <c r="F3">
        <v>-0.5</v>
      </c>
      <c r="G3">
        <v>0.5</v>
      </c>
      <c r="H3">
        <f t="shared" ref="H3:H24" si="0">(G3-F3)/2/1.96</f>
        <v>0.25510204081632654</v>
      </c>
      <c r="I3">
        <f t="shared" ref="I3:I24" si="1">H3*SQRT((C3+D3)/4)</f>
        <v>1.4874877282768624</v>
      </c>
      <c r="J3">
        <f t="shared" ref="J3:J24" si="2">E3/I3</f>
        <v>0</v>
      </c>
      <c r="K3">
        <f t="shared" ref="K3:K24" si="3">1-3/(4*(C3+D3-2)-1)</f>
        <v>0.99439252336448603</v>
      </c>
      <c r="L3">
        <f t="shared" ref="L3:L24" si="4">-K3*J3</f>
        <v>0</v>
      </c>
      <c r="M3">
        <f t="shared" ref="M3:M24" si="5">K3*H3/I3</f>
        <v>0.17053691083329853</v>
      </c>
    </row>
    <row r="4" spans="1:13" x14ac:dyDescent="0.25">
      <c r="A4" t="s">
        <v>2</v>
      </c>
      <c r="B4">
        <v>2020</v>
      </c>
      <c r="C4">
        <v>61</v>
      </c>
      <c r="D4">
        <v>34</v>
      </c>
      <c r="E4">
        <v>0.05</v>
      </c>
      <c r="F4">
        <v>-0.49</v>
      </c>
      <c r="G4">
        <v>0.59</v>
      </c>
      <c r="H4">
        <f t="shared" si="0"/>
        <v>0.27551020408163268</v>
      </c>
      <c r="I4">
        <f t="shared" si="1"/>
        <v>1.3426706495400103</v>
      </c>
      <c r="J4">
        <f t="shared" si="2"/>
        <v>3.7239214260868563E-2</v>
      </c>
      <c r="K4">
        <f t="shared" si="3"/>
        <v>0.99191374663072773</v>
      </c>
      <c r="L4">
        <f t="shared" si="4"/>
        <v>-3.6938088539082564E-2</v>
      </c>
      <c r="M4">
        <f t="shared" si="5"/>
        <v>0.20353640623576105</v>
      </c>
    </row>
    <row r="5" spans="1:13" x14ac:dyDescent="0.25">
      <c r="A5" t="s">
        <v>3</v>
      </c>
      <c r="B5">
        <v>2015</v>
      </c>
      <c r="C5">
        <v>14</v>
      </c>
      <c r="D5">
        <v>13</v>
      </c>
      <c r="E5">
        <v>-0.9</v>
      </c>
      <c r="F5">
        <v>-2.23</v>
      </c>
      <c r="G5">
        <v>0.43</v>
      </c>
      <c r="H5">
        <f t="shared" si="0"/>
        <v>0.6785714285714286</v>
      </c>
      <c r="I5">
        <f t="shared" si="1"/>
        <v>1.7629802862754644</v>
      </c>
      <c r="J5">
        <f t="shared" si="2"/>
        <v>-0.51049918538872174</v>
      </c>
      <c r="K5">
        <f t="shared" si="3"/>
        <v>0.96969696969696972</v>
      </c>
      <c r="L5">
        <f t="shared" si="4"/>
        <v>0.49502951310421506</v>
      </c>
      <c r="M5">
        <f t="shared" si="5"/>
        <v>0.3732365376579399</v>
      </c>
    </row>
    <row r="6" spans="1:13" x14ac:dyDescent="0.25">
      <c r="A6" t="s">
        <v>4</v>
      </c>
      <c r="B6">
        <v>2020</v>
      </c>
      <c r="C6">
        <v>67</v>
      </c>
      <c r="D6">
        <v>136</v>
      </c>
      <c r="E6">
        <v>-0.12</v>
      </c>
      <c r="F6">
        <v>-0.59</v>
      </c>
      <c r="G6">
        <v>0.36</v>
      </c>
      <c r="H6">
        <f t="shared" si="0"/>
        <v>0.2423469387755102</v>
      </c>
      <c r="I6">
        <f t="shared" si="1"/>
        <v>1.7264561870326858</v>
      </c>
      <c r="J6">
        <f t="shared" si="2"/>
        <v>-6.9506542304005839E-2</v>
      </c>
      <c r="K6">
        <f t="shared" si="3"/>
        <v>0.99626400996264008</v>
      </c>
      <c r="L6">
        <f t="shared" si="4"/>
        <v>6.9246866554426731E-2</v>
      </c>
      <c r="M6">
        <f t="shared" si="5"/>
        <v>0.13984805107717985</v>
      </c>
    </row>
    <row r="7" spans="1:13" x14ac:dyDescent="0.25">
      <c r="A7" t="s">
        <v>22</v>
      </c>
      <c r="B7">
        <v>2018</v>
      </c>
      <c r="C7">
        <v>15</v>
      </c>
      <c r="D7">
        <v>30</v>
      </c>
      <c r="E7">
        <v>-0.14000000000000001</v>
      </c>
      <c r="F7">
        <v>-0.95</v>
      </c>
      <c r="G7">
        <v>0.67</v>
      </c>
      <c r="H7">
        <f t="shared" si="0"/>
        <v>0.41326530612244899</v>
      </c>
      <c r="I7">
        <f t="shared" si="1"/>
        <v>1.386133975848084</v>
      </c>
      <c r="J7">
        <f t="shared" si="2"/>
        <v>-0.10100033794665718</v>
      </c>
      <c r="K7">
        <f t="shared" si="3"/>
        <v>0.98245614035087714</v>
      </c>
      <c r="L7">
        <f t="shared" si="4"/>
        <v>9.9228402193207041E-2</v>
      </c>
      <c r="M7">
        <f t="shared" si="5"/>
        <v>0.29291182863155135</v>
      </c>
    </row>
    <row r="8" spans="1:13" x14ac:dyDescent="0.25">
      <c r="A8" t="s">
        <v>5</v>
      </c>
      <c r="B8">
        <v>2018</v>
      </c>
      <c r="C8">
        <v>40</v>
      </c>
      <c r="D8">
        <v>81</v>
      </c>
      <c r="E8">
        <v>0.27</v>
      </c>
      <c r="F8">
        <v>0.01</v>
      </c>
      <c r="G8">
        <v>0.53</v>
      </c>
      <c r="H8">
        <f t="shared" si="0"/>
        <v>0.1326530612244898</v>
      </c>
      <c r="I8">
        <f t="shared" si="1"/>
        <v>0.72959183673469397</v>
      </c>
      <c r="J8">
        <f t="shared" si="2"/>
        <v>0.37006993006993005</v>
      </c>
      <c r="K8">
        <f t="shared" si="3"/>
        <v>0.99368421052631584</v>
      </c>
      <c r="L8">
        <f t="shared" si="4"/>
        <v>-0.36773264630106733</v>
      </c>
      <c r="M8">
        <f t="shared" si="5"/>
        <v>0.18066985645933012</v>
      </c>
    </row>
    <row r="9" spans="1:13" x14ac:dyDescent="0.25">
      <c r="A9" t="s">
        <v>6</v>
      </c>
      <c r="B9">
        <v>2019</v>
      </c>
      <c r="C9">
        <v>115</v>
      </c>
      <c r="D9">
        <v>39</v>
      </c>
      <c r="E9">
        <v>-0.48</v>
      </c>
      <c r="F9">
        <v>-0.74</v>
      </c>
      <c r="G9">
        <v>-0.21</v>
      </c>
      <c r="H9">
        <f t="shared" si="0"/>
        <v>0.13520408163265307</v>
      </c>
      <c r="I9">
        <f t="shared" si="1"/>
        <v>0.83891926433356567</v>
      </c>
      <c r="J9">
        <f t="shared" si="2"/>
        <v>-0.57216471287175674</v>
      </c>
      <c r="K9">
        <f t="shared" si="3"/>
        <v>0.99505766062602963</v>
      </c>
      <c r="L9">
        <f t="shared" si="4"/>
        <v>0.5693368806829342</v>
      </c>
      <c r="M9">
        <f t="shared" si="5"/>
        <v>0.16036806269236561</v>
      </c>
    </row>
    <row r="10" spans="1:13" x14ac:dyDescent="0.25">
      <c r="A10" t="s">
        <v>7</v>
      </c>
      <c r="B10">
        <v>1988</v>
      </c>
      <c r="C10">
        <v>28</v>
      </c>
      <c r="D10">
        <v>27</v>
      </c>
      <c r="E10">
        <v>-0.98</v>
      </c>
      <c r="F10">
        <v>-1.48</v>
      </c>
      <c r="G10">
        <v>-0.48</v>
      </c>
      <c r="H10">
        <f t="shared" si="0"/>
        <v>0.25510204081632654</v>
      </c>
      <c r="I10">
        <f t="shared" si="1"/>
        <v>0.94594368457852851</v>
      </c>
      <c r="J10">
        <f t="shared" si="2"/>
        <v>-1.0360024766555163</v>
      </c>
      <c r="K10">
        <f t="shared" si="3"/>
        <v>0.98578199052132698</v>
      </c>
      <c r="L10">
        <f t="shared" si="4"/>
        <v>1.0212725836224994</v>
      </c>
      <c r="M10">
        <f t="shared" si="5"/>
        <v>0.26584563297128783</v>
      </c>
    </row>
    <row r="11" spans="1:13" x14ac:dyDescent="0.25">
      <c r="A11" t="s">
        <v>8</v>
      </c>
      <c r="B11">
        <v>2016</v>
      </c>
      <c r="C11">
        <v>19</v>
      </c>
      <c r="D11">
        <v>19</v>
      </c>
      <c r="E11">
        <v>-0.56999999999999995</v>
      </c>
      <c r="F11">
        <v>-4.6100000000000003</v>
      </c>
      <c r="G11">
        <v>3.46</v>
      </c>
      <c r="H11">
        <f t="shared" si="0"/>
        <v>2.0586734693877551</v>
      </c>
      <c r="I11">
        <f t="shared" si="1"/>
        <v>6.3452577811173008</v>
      </c>
      <c r="J11">
        <f t="shared" si="2"/>
        <v>-8.9830865768172438E-2</v>
      </c>
      <c r="K11">
        <f t="shared" si="3"/>
        <v>0.97902097902097907</v>
      </c>
      <c r="L11">
        <f t="shared" si="4"/>
        <v>8.7946302150658337E-2</v>
      </c>
      <c r="M11">
        <f t="shared" si="5"/>
        <v>0.31763634906722732</v>
      </c>
    </row>
    <row r="12" spans="1:13" x14ac:dyDescent="0.25">
      <c r="A12" t="s">
        <v>9</v>
      </c>
      <c r="B12">
        <v>2020</v>
      </c>
      <c r="C12">
        <v>39</v>
      </c>
      <c r="D12">
        <v>39</v>
      </c>
      <c r="E12">
        <v>0.5</v>
      </c>
      <c r="F12">
        <v>-0.96</v>
      </c>
      <c r="G12">
        <v>1.96</v>
      </c>
      <c r="H12">
        <f t="shared" si="0"/>
        <v>0.74489795918367352</v>
      </c>
      <c r="I12">
        <f t="shared" si="1"/>
        <v>3.289380322662923</v>
      </c>
      <c r="J12">
        <f t="shared" si="2"/>
        <v>0.15200431417283611</v>
      </c>
      <c r="K12">
        <f t="shared" si="3"/>
        <v>0.99009900990099009</v>
      </c>
      <c r="L12">
        <f t="shared" si="4"/>
        <v>-0.15049932096320406</v>
      </c>
      <c r="M12">
        <f t="shared" si="5"/>
        <v>0.22421327408803873</v>
      </c>
    </row>
    <row r="13" spans="1:13" x14ac:dyDescent="0.25">
      <c r="A13" t="s">
        <v>10</v>
      </c>
      <c r="B13">
        <v>2018</v>
      </c>
      <c r="C13">
        <v>36</v>
      </c>
      <c r="D13">
        <v>35</v>
      </c>
      <c r="E13">
        <v>0.9</v>
      </c>
      <c r="F13">
        <v>0.31</v>
      </c>
      <c r="G13">
        <v>1.49</v>
      </c>
      <c r="H13">
        <f t="shared" si="0"/>
        <v>0.30102040816326531</v>
      </c>
      <c r="I13">
        <f t="shared" si="1"/>
        <v>1.2682215219831765</v>
      </c>
      <c r="J13">
        <f t="shared" si="2"/>
        <v>0.70965520171320584</v>
      </c>
      <c r="K13">
        <f t="shared" si="3"/>
        <v>0.98909090909090913</v>
      </c>
      <c r="L13">
        <f t="shared" si="4"/>
        <v>-0.70191350860360724</v>
      </c>
      <c r="M13">
        <f t="shared" si="5"/>
        <v>0.23476698983907499</v>
      </c>
    </row>
    <row r="14" spans="1:13" x14ac:dyDescent="0.25">
      <c r="A14" t="s">
        <v>11</v>
      </c>
      <c r="B14">
        <v>2016</v>
      </c>
      <c r="C14">
        <v>50</v>
      </c>
      <c r="D14">
        <v>50</v>
      </c>
      <c r="E14">
        <v>-0.1</v>
      </c>
      <c r="F14">
        <v>-0.56999999999999995</v>
      </c>
      <c r="G14">
        <v>0.37</v>
      </c>
      <c r="H14">
        <f t="shared" si="0"/>
        <v>0.23979591836734693</v>
      </c>
      <c r="I14">
        <f t="shared" si="1"/>
        <v>1.1989795918367347</v>
      </c>
      <c r="J14">
        <f t="shared" si="2"/>
        <v>-8.340425531914894E-2</v>
      </c>
      <c r="K14">
        <f t="shared" si="3"/>
        <v>0.99232736572890023</v>
      </c>
      <c r="L14">
        <f t="shared" si="4"/>
        <v>8.2764324971431685E-2</v>
      </c>
      <c r="M14">
        <f t="shared" si="5"/>
        <v>0.19846547314578003</v>
      </c>
    </row>
    <row r="15" spans="1:13" x14ac:dyDescent="0.25">
      <c r="A15" t="s">
        <v>12</v>
      </c>
      <c r="B15">
        <v>2016</v>
      </c>
      <c r="C15">
        <v>63</v>
      </c>
      <c r="D15">
        <v>53</v>
      </c>
      <c r="E15">
        <v>-0.24</v>
      </c>
      <c r="F15">
        <v>-0.44</v>
      </c>
      <c r="G15">
        <v>-0.05</v>
      </c>
      <c r="H15">
        <f t="shared" si="0"/>
        <v>9.9489795918367346E-2</v>
      </c>
      <c r="I15">
        <f t="shared" si="1"/>
        <v>0.53576894764858585</v>
      </c>
      <c r="J15">
        <f t="shared" si="2"/>
        <v>-0.4479542927101805</v>
      </c>
      <c r="K15">
        <f t="shared" si="3"/>
        <v>0.99340659340659343</v>
      </c>
      <c r="L15">
        <f t="shared" si="4"/>
        <v>0.44500074792308042</v>
      </c>
      <c r="M15">
        <f t="shared" si="5"/>
        <v>0.18447097330995044</v>
      </c>
    </row>
    <row r="16" spans="1:13" x14ac:dyDescent="0.25">
      <c r="A16" t="s">
        <v>13</v>
      </c>
      <c r="B16">
        <v>2011</v>
      </c>
      <c r="C16">
        <v>32</v>
      </c>
      <c r="D16">
        <v>33</v>
      </c>
      <c r="E16">
        <v>-0.1</v>
      </c>
      <c r="F16">
        <v>-0.42</v>
      </c>
      <c r="G16">
        <v>0.22</v>
      </c>
      <c r="H16">
        <f t="shared" si="0"/>
        <v>0.16326530612244899</v>
      </c>
      <c r="I16">
        <f t="shared" si="1"/>
        <v>0.65814348965702452</v>
      </c>
      <c r="J16">
        <f t="shared" si="2"/>
        <v>-0.15194254987178035</v>
      </c>
      <c r="K16">
        <f t="shared" si="3"/>
        <v>0.98804780876494025</v>
      </c>
      <c r="L16">
        <f t="shared" si="4"/>
        <v>0.15012650345897022</v>
      </c>
      <c r="M16">
        <f t="shared" si="5"/>
        <v>0.24510449544321672</v>
      </c>
    </row>
    <row r="17" spans="1:13" x14ac:dyDescent="0.25">
      <c r="A17" t="s">
        <v>14</v>
      </c>
      <c r="B17">
        <v>2002</v>
      </c>
      <c r="C17">
        <v>20</v>
      </c>
      <c r="D17">
        <v>21</v>
      </c>
      <c r="E17">
        <v>-0.9</v>
      </c>
      <c r="F17">
        <v>-1.45</v>
      </c>
      <c r="G17">
        <v>-0.35</v>
      </c>
      <c r="H17">
        <f t="shared" si="0"/>
        <v>0.28061224489795922</v>
      </c>
      <c r="I17">
        <f t="shared" si="1"/>
        <v>0.89839753331328243</v>
      </c>
      <c r="J17">
        <f t="shared" si="2"/>
        <v>-1.0017836944418221</v>
      </c>
      <c r="K17">
        <f t="shared" si="3"/>
        <v>0.98064516129032253</v>
      </c>
      <c r="L17">
        <f t="shared" si="4"/>
        <v>0.98239433261391584</v>
      </c>
      <c r="M17">
        <f t="shared" si="5"/>
        <v>0.30630208783313706</v>
      </c>
    </row>
    <row r="18" spans="1:13" x14ac:dyDescent="0.25">
      <c r="A18" t="s">
        <v>15</v>
      </c>
      <c r="B18">
        <v>2007</v>
      </c>
      <c r="C18">
        <v>65</v>
      </c>
      <c r="D18">
        <v>68</v>
      </c>
      <c r="E18">
        <v>-0.3</v>
      </c>
      <c r="F18">
        <v>-0.64</v>
      </c>
      <c r="G18">
        <v>0.04</v>
      </c>
      <c r="H18">
        <f t="shared" si="0"/>
        <v>0.17346938775510207</v>
      </c>
      <c r="I18">
        <f t="shared" si="1"/>
        <v>1.0002732862724673</v>
      </c>
      <c r="J18">
        <f t="shared" si="2"/>
        <v>-0.29991803651775434</v>
      </c>
      <c r="K18">
        <f t="shared" si="3"/>
        <v>0.99426386233269604</v>
      </c>
      <c r="L18">
        <f t="shared" si="4"/>
        <v>0.29819766537138098</v>
      </c>
      <c r="M18">
        <f t="shared" si="5"/>
        <v>0.17242722147324757</v>
      </c>
    </row>
    <row r="19" spans="1:13" x14ac:dyDescent="0.25">
      <c r="A19" t="s">
        <v>16</v>
      </c>
      <c r="B19">
        <v>2018</v>
      </c>
      <c r="C19">
        <v>30</v>
      </c>
      <c r="D19">
        <v>31</v>
      </c>
      <c r="E19">
        <v>-0.15</v>
      </c>
      <c r="F19">
        <v>-0.45</v>
      </c>
      <c r="G19">
        <v>0.15</v>
      </c>
      <c r="H19">
        <f t="shared" si="0"/>
        <v>0.15306122448979592</v>
      </c>
      <c r="I19">
        <f t="shared" si="1"/>
        <v>0.59772318948265213</v>
      </c>
      <c r="J19">
        <f t="shared" si="2"/>
        <v>-0.25095228466847608</v>
      </c>
      <c r="K19">
        <f t="shared" si="3"/>
        <v>0.98723404255319147</v>
      </c>
      <c r="L19">
        <f t="shared" si="4"/>
        <v>0.24774863848121892</v>
      </c>
      <c r="M19">
        <f t="shared" si="5"/>
        <v>0.25280473314410101</v>
      </c>
    </row>
    <row r="20" spans="1:13" x14ac:dyDescent="0.25">
      <c r="A20" t="s">
        <v>21</v>
      </c>
      <c r="B20">
        <v>2021</v>
      </c>
      <c r="C20">
        <v>26</v>
      </c>
      <c r="D20">
        <v>13</v>
      </c>
      <c r="E20">
        <v>-0.17</v>
      </c>
      <c r="F20">
        <v>-0.68</v>
      </c>
      <c r="G20">
        <v>0.34</v>
      </c>
      <c r="H20">
        <f t="shared" si="0"/>
        <v>0.26020408163265307</v>
      </c>
      <c r="I20">
        <f t="shared" si="1"/>
        <v>0.81248698448550594</v>
      </c>
      <c r="J20">
        <f t="shared" si="2"/>
        <v>-0.20923412097198052</v>
      </c>
      <c r="K20">
        <f t="shared" si="3"/>
        <v>0.97959183673469385</v>
      </c>
      <c r="L20">
        <f t="shared" si="4"/>
        <v>0.20496403687051151</v>
      </c>
      <c r="M20">
        <f t="shared" si="5"/>
        <v>0.31372046459772174</v>
      </c>
    </row>
    <row r="21" spans="1:13" x14ac:dyDescent="0.25">
      <c r="A21" t="s">
        <v>17</v>
      </c>
      <c r="B21">
        <v>2021</v>
      </c>
      <c r="C21">
        <v>26</v>
      </c>
      <c r="D21">
        <v>12</v>
      </c>
      <c r="E21">
        <v>-0.28000000000000003</v>
      </c>
      <c r="F21">
        <v>-0.96</v>
      </c>
      <c r="G21">
        <v>0.41</v>
      </c>
      <c r="H21">
        <f t="shared" si="0"/>
        <v>0.34948979591836732</v>
      </c>
      <c r="I21">
        <f t="shared" si="1"/>
        <v>1.0771998959269766</v>
      </c>
      <c r="J21">
        <f t="shared" si="2"/>
        <v>-0.25993318515784669</v>
      </c>
      <c r="K21">
        <f t="shared" si="3"/>
        <v>0.97902097902097907</v>
      </c>
      <c r="L21">
        <f t="shared" si="4"/>
        <v>0.25448004141327651</v>
      </c>
      <c r="M21">
        <f t="shared" si="5"/>
        <v>0.31763634906722737</v>
      </c>
    </row>
    <row r="22" spans="1:13" x14ac:dyDescent="0.25">
      <c r="A22" t="s">
        <v>18</v>
      </c>
      <c r="B22">
        <v>2020</v>
      </c>
      <c r="C22">
        <v>14</v>
      </c>
      <c r="D22">
        <v>14</v>
      </c>
      <c r="E22">
        <v>-0.4</v>
      </c>
      <c r="F22">
        <v>-0.5</v>
      </c>
      <c r="G22">
        <v>-0.3</v>
      </c>
      <c r="H22">
        <f t="shared" si="0"/>
        <v>5.1020408163265307E-2</v>
      </c>
      <c r="I22">
        <f t="shared" si="1"/>
        <v>0.13498731178900975</v>
      </c>
      <c r="J22">
        <f t="shared" si="2"/>
        <v>-2.9632414683923414</v>
      </c>
      <c r="K22">
        <f t="shared" si="3"/>
        <v>0.970873786407767</v>
      </c>
      <c r="L22">
        <f t="shared" si="4"/>
        <v>2.8769334644585838</v>
      </c>
      <c r="M22">
        <f t="shared" si="5"/>
        <v>0.36695579903808467</v>
      </c>
    </row>
    <row r="23" spans="1:13" x14ac:dyDescent="0.25">
      <c r="A23" t="s">
        <v>19</v>
      </c>
      <c r="B23">
        <v>2016</v>
      </c>
      <c r="C23">
        <v>49</v>
      </c>
      <c r="D23">
        <v>87</v>
      </c>
      <c r="E23">
        <v>0.43</v>
      </c>
      <c r="F23">
        <v>-0.12</v>
      </c>
      <c r="G23">
        <v>0.98</v>
      </c>
      <c r="H23">
        <f t="shared" si="0"/>
        <v>0.28061224489795922</v>
      </c>
      <c r="I23">
        <f t="shared" si="1"/>
        <v>1.6362365011045488</v>
      </c>
      <c r="J23">
        <f t="shared" si="2"/>
        <v>0.26279819556019351</v>
      </c>
      <c r="K23">
        <f t="shared" si="3"/>
        <v>0.99439252336448603</v>
      </c>
      <c r="L23">
        <f t="shared" si="4"/>
        <v>-0.26132456081873451</v>
      </c>
      <c r="M23">
        <f t="shared" si="5"/>
        <v>0.17053691083329853</v>
      </c>
    </row>
    <row r="24" spans="1:13" x14ac:dyDescent="0.25">
      <c r="A24" t="s">
        <v>20</v>
      </c>
      <c r="B24">
        <v>2021</v>
      </c>
      <c r="C24">
        <v>21</v>
      </c>
      <c r="D24">
        <v>24</v>
      </c>
      <c r="E24">
        <v>1</v>
      </c>
      <c r="F24">
        <v>0.16</v>
      </c>
      <c r="G24">
        <v>1.85</v>
      </c>
      <c r="H24">
        <f t="shared" si="0"/>
        <v>0.4311224489795919</v>
      </c>
      <c r="I24">
        <f t="shared" si="1"/>
        <v>1.4460286538168285</v>
      </c>
      <c r="J24">
        <f t="shared" si="2"/>
        <v>0.69154922854431355</v>
      </c>
      <c r="K24">
        <f t="shared" si="3"/>
        <v>0.98245614035087714</v>
      </c>
      <c r="L24">
        <f t="shared" si="4"/>
        <v>-0.67941678593827293</v>
      </c>
      <c r="M24">
        <f t="shared" si="5"/>
        <v>0.29291182863155135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2026-02-01T21:16:56Z</dcterms:modified>
</cp:coreProperties>
</file>