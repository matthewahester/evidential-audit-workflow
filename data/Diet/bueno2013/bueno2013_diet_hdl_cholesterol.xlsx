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Diet\bueno2013\"/>
    </mc:Choice>
  </mc:AlternateContent>
  <xr:revisionPtr revIDLastSave="0" documentId="13_ncr:1_{72BCCD61-D600-4442-A719-B7BEDB0D5E91}" xr6:coauthVersionLast="47" xr6:coauthVersionMax="47" xr10:uidLastSave="{00000000-0000-0000-0000-000000000000}"/>
  <bookViews>
    <workbookView xWindow="38400" yWindow="2940" windowWidth="14400" windowHeight="16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2" i="1"/>
  <c r="O2" i="1"/>
  <c r="M2" i="1"/>
  <c r="N2" i="1" s="1"/>
  <c r="L3" i="1"/>
  <c r="M3" i="1" s="1"/>
  <c r="N3" i="1" s="1"/>
  <c r="P3" i="1" s="1"/>
  <c r="O3" i="1"/>
  <c r="L4" i="1"/>
  <c r="M4" i="1" s="1"/>
  <c r="N4" i="1" s="1"/>
  <c r="O4" i="1"/>
  <c r="L5" i="1"/>
  <c r="M5" i="1" s="1"/>
  <c r="N5" i="1" s="1"/>
  <c r="P5" i="1" s="1"/>
  <c r="O5" i="1"/>
  <c r="L6" i="1"/>
  <c r="M6" i="1" s="1"/>
  <c r="O6" i="1"/>
  <c r="L7" i="1"/>
  <c r="M7" i="1"/>
  <c r="N7" i="1" s="1"/>
  <c r="P7" i="1" s="1"/>
  <c r="O7" i="1"/>
  <c r="L8" i="1"/>
  <c r="M8" i="1" s="1"/>
  <c r="O8" i="1"/>
  <c r="L9" i="1"/>
  <c r="M9" i="1" s="1"/>
  <c r="N9" i="1" s="1"/>
  <c r="P9" i="1" s="1"/>
  <c r="O9" i="1"/>
  <c r="L10" i="1"/>
  <c r="M10" i="1" s="1"/>
  <c r="O10" i="1"/>
  <c r="L11" i="1"/>
  <c r="M11" i="1"/>
  <c r="N11" i="1" s="1"/>
  <c r="P11" i="1" s="1"/>
  <c r="O11" i="1"/>
  <c r="L12" i="1"/>
  <c r="O12" i="1"/>
  <c r="L13" i="1"/>
  <c r="M13" i="1"/>
  <c r="N13" i="1" s="1"/>
  <c r="P13" i="1" s="1"/>
  <c r="O13" i="1"/>
  <c r="L2" i="1"/>
  <c r="P2" i="1" l="1"/>
  <c r="P4" i="1"/>
  <c r="N6" i="1"/>
  <c r="P6" i="1" s="1"/>
  <c r="N8" i="1"/>
  <c r="N10" i="1"/>
  <c r="P10" i="1" s="1"/>
  <c r="P8" i="1"/>
  <c r="M12" i="1"/>
  <c r="N12" i="1" s="1"/>
  <c r="P12" i="1" s="1"/>
</calcChain>
</file>

<file path=xl/sharedStrings.xml><?xml version="1.0" encoding="utf-8"?>
<sst xmlns="http://schemas.openxmlformats.org/spreadsheetml/2006/main" count="29" uniqueCount="28">
  <si>
    <t>Brinkworth</t>
  </si>
  <si>
    <t>Dansinger</t>
  </si>
  <si>
    <t>Davis</t>
  </si>
  <si>
    <t>Dyson</t>
  </si>
  <si>
    <t>Foster</t>
  </si>
  <si>
    <t>Gardner</t>
  </si>
  <si>
    <t>Iqbal</t>
  </si>
  <si>
    <t>Lim</t>
  </si>
  <si>
    <t>McAuley</t>
  </si>
  <si>
    <t>Shai</t>
  </si>
  <si>
    <t>Stern</t>
  </si>
  <si>
    <t>Author</t>
  </si>
  <si>
    <t>LC_mean</t>
  </si>
  <si>
    <t>LC_sd</t>
  </si>
  <si>
    <t>n_LC</t>
  </si>
  <si>
    <t>LF_mean</t>
  </si>
  <si>
    <t>LF_sd</t>
  </si>
  <si>
    <t>n_LF</t>
  </si>
  <si>
    <t>weight</t>
  </si>
  <si>
    <t>md</t>
  </si>
  <si>
    <t>md_lCI</t>
  </si>
  <si>
    <t>md_uCI</t>
  </si>
  <si>
    <t>md_se</t>
  </si>
  <si>
    <t>pooled_sd</t>
  </si>
  <si>
    <t>d</t>
  </si>
  <si>
    <t>J</t>
  </si>
  <si>
    <t>g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</si>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</sst>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"/>
  <sheetViews>
    <sheetView tabSelected="1" topLeftCell="D1" workbookViewId="0">
      <selection activeCell="Q5" sqref="Q5"/>
    </sheetView>
  </sheetViews>
  <sheetFormatPr defaultRowHeight="15" x14ac:dyDescent="0.25"/>
  <sheetData>
    <row r="1" spans="1:17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</row>
    <row r="2" spans="1:17" x14ac:dyDescent="0.25">
      <c r="A2" t="s">
        <v>0</v>
      </c>
      <c r="B2">
        <v>0.3</v>
      </c>
      <c r="C2">
        <v>0.4</v>
      </c>
      <c r="D2">
        <v>33</v>
      </c>
      <c r="E2">
        <v>7.0000000000000007E-2</v>
      </c>
      <c r="F2">
        <v>0.36</v>
      </c>
      <c r="G2">
        <v>36</v>
      </c>
      <c r="H2">
        <v>2.4</v>
      </c>
      <c r="I2">
        <v>0.23</v>
      </c>
      <c r="J2">
        <v>0.05</v>
      </c>
      <c r="K2">
        <v>0.41</v>
      </c>
      <c r="L2">
        <f>(K2-J2)/2/1.96</f>
        <v>9.1836734693877556E-2</v>
      </c>
      <c r="M2">
        <f>L2/SQRT(1/D2+1/G2)</f>
        <v>0.38106591877182383</v>
      </c>
      <c r="N2">
        <f>I2/M2</f>
        <v>0.60357011390913795</v>
      </c>
      <c r="O2">
        <f t="shared" ref="O2" si="0">1-3/(4*(D2+G2-2)-1)</f>
        <v>0.9887640449438202</v>
      </c>
      <c r="P2">
        <f t="shared" ref="P2" si="1">O2*N2</f>
        <v>0.59678842723600156</v>
      </c>
      <c r="Q2">
        <f>O2*L2/M2</f>
        <v>0.23829174113238749</v>
      </c>
    </row>
    <row r="3" spans="1:17" x14ac:dyDescent="0.25">
      <c r="A3" t="s">
        <v>1</v>
      </c>
      <c r="B3">
        <v>0.09</v>
      </c>
      <c r="C3">
        <v>0.18</v>
      </c>
      <c r="D3">
        <v>40</v>
      </c>
      <c r="E3">
        <v>-0.01</v>
      </c>
      <c r="F3">
        <v>0.17</v>
      </c>
      <c r="G3">
        <v>40</v>
      </c>
      <c r="H3">
        <v>11.7</v>
      </c>
      <c r="I3">
        <v>0.1</v>
      </c>
      <c r="J3">
        <v>0.02</v>
      </c>
      <c r="K3">
        <v>0.18</v>
      </c>
      <c r="L3">
        <f t="shared" ref="L3:L13" si="2">(K3-J3)/2/1.96</f>
        <v>4.0816326530612249E-2</v>
      </c>
      <c r="M3">
        <f t="shared" ref="M3:M13" si="3">L3*SQRT(D3+G3)/2</f>
        <v>0.18253616142855428</v>
      </c>
      <c r="N3">
        <f t="shared" ref="N3:N13" si="4">I3/M3</f>
        <v>0.54783665448744845</v>
      </c>
      <c r="O3">
        <f t="shared" ref="O3:O13" si="5">1-3/(4*(D3+G3-2)-1)</f>
        <v>0.99035369774919613</v>
      </c>
      <c r="P3">
        <f t="shared" ref="P3:P13" si="6">O3*N3</f>
        <v>0.54255205653419336</v>
      </c>
      <c r="Q3">
        <f t="shared" ref="Q3:Q13" si="7">O3*L3/M3</f>
        <v>0.22144981899354829</v>
      </c>
    </row>
    <row r="4" spans="1:17" x14ac:dyDescent="0.25">
      <c r="A4" t="s">
        <v>2</v>
      </c>
      <c r="B4">
        <v>0.16</v>
      </c>
      <c r="C4">
        <v>0.27</v>
      </c>
      <c r="D4">
        <v>55</v>
      </c>
      <c r="E4">
        <v>0.06</v>
      </c>
      <c r="F4">
        <v>0.21</v>
      </c>
      <c r="G4">
        <v>50</v>
      </c>
      <c r="H4">
        <v>8.5</v>
      </c>
      <c r="I4">
        <v>0.1</v>
      </c>
      <c r="J4">
        <v>0.01</v>
      </c>
      <c r="K4">
        <v>0.19</v>
      </c>
      <c r="L4">
        <f t="shared" si="2"/>
        <v>4.5918367346938778E-2</v>
      </c>
      <c r="M4">
        <f t="shared" si="3"/>
        <v>0.23526162472866424</v>
      </c>
      <c r="N4">
        <f t="shared" si="4"/>
        <v>0.42505869843980559</v>
      </c>
      <c r="O4">
        <f t="shared" si="5"/>
        <v>0.99270072992700731</v>
      </c>
      <c r="P4">
        <f t="shared" si="6"/>
        <v>0.42195608020301867</v>
      </c>
      <c r="Q4">
        <f t="shared" si="7"/>
        <v>0.19375534295036573</v>
      </c>
    </row>
    <row r="5" spans="1:17" x14ac:dyDescent="0.25">
      <c r="A5" t="s">
        <v>3</v>
      </c>
      <c r="B5">
        <v>0.18</v>
      </c>
      <c r="C5">
        <v>0.22</v>
      </c>
      <c r="D5">
        <v>10</v>
      </c>
      <c r="E5">
        <v>0.09</v>
      </c>
      <c r="F5">
        <v>0.32</v>
      </c>
      <c r="G5">
        <v>11</v>
      </c>
      <c r="H5">
        <v>1.4</v>
      </c>
      <c r="I5">
        <v>0.09</v>
      </c>
      <c r="J5">
        <v>-0.14000000000000001</v>
      </c>
      <c r="K5">
        <v>0.32</v>
      </c>
      <c r="L5">
        <f t="shared" si="2"/>
        <v>0.11734693877551021</v>
      </c>
      <c r="M5">
        <f t="shared" si="3"/>
        <v>0.26887561475506205</v>
      </c>
      <c r="N5">
        <f t="shared" si="4"/>
        <v>0.33472726815329612</v>
      </c>
      <c r="O5">
        <f t="shared" si="5"/>
        <v>0.96</v>
      </c>
      <c r="P5">
        <f t="shared" si="6"/>
        <v>0.32133817742716425</v>
      </c>
      <c r="Q5">
        <f t="shared" si="7"/>
        <v>0.4189783492531054</v>
      </c>
    </row>
    <row r="6" spans="1:17" x14ac:dyDescent="0.25">
      <c r="A6" t="s">
        <v>4</v>
      </c>
      <c r="B6">
        <v>0.22</v>
      </c>
      <c r="C6">
        <v>0.31</v>
      </c>
      <c r="D6">
        <v>33</v>
      </c>
      <c r="E6">
        <v>0.04</v>
      </c>
      <c r="F6">
        <v>0.21</v>
      </c>
      <c r="G6">
        <v>30</v>
      </c>
      <c r="H6">
        <v>4.5</v>
      </c>
      <c r="I6">
        <v>0.18</v>
      </c>
      <c r="J6">
        <v>0.05</v>
      </c>
      <c r="K6">
        <v>0.31</v>
      </c>
      <c r="L6">
        <f t="shared" si="2"/>
        <v>6.6326530612244902E-2</v>
      </c>
      <c r="M6">
        <f t="shared" si="3"/>
        <v>0.26322525798856899</v>
      </c>
      <c r="N6">
        <f t="shared" si="4"/>
        <v>0.68382495424438638</v>
      </c>
      <c r="O6">
        <f t="shared" si="5"/>
        <v>0.98765432098765427</v>
      </c>
      <c r="P6">
        <f t="shared" si="6"/>
        <v>0.67538267085865322</v>
      </c>
      <c r="Q6">
        <f t="shared" si="7"/>
        <v>0.24886549663158991</v>
      </c>
    </row>
    <row r="7" spans="1:17" x14ac:dyDescent="0.25">
      <c r="A7" t="s">
        <v>4</v>
      </c>
      <c r="B7">
        <v>0.2</v>
      </c>
      <c r="C7">
        <v>0.28999999999999998</v>
      </c>
      <c r="D7">
        <v>153</v>
      </c>
      <c r="E7">
        <v>0.12</v>
      </c>
      <c r="F7">
        <v>0.24</v>
      </c>
      <c r="G7">
        <v>154</v>
      </c>
      <c r="H7">
        <v>17.5</v>
      </c>
      <c r="I7">
        <v>0.08</v>
      </c>
      <c r="J7">
        <v>0.02</v>
      </c>
      <c r="K7">
        <v>0.14000000000000001</v>
      </c>
      <c r="L7">
        <f t="shared" si="2"/>
        <v>3.0612244897959186E-2</v>
      </c>
      <c r="M7">
        <f t="shared" si="3"/>
        <v>0.26818493063166171</v>
      </c>
      <c r="N7">
        <f t="shared" si="4"/>
        <v>0.2983016227331427</v>
      </c>
      <c r="O7">
        <f t="shared" si="5"/>
        <v>0.99753896636587369</v>
      </c>
      <c r="P7">
        <f t="shared" si="6"/>
        <v>0.297567492406482</v>
      </c>
      <c r="Q7">
        <f t="shared" si="7"/>
        <v>0.11386511189023547</v>
      </c>
    </row>
    <row r="8" spans="1:17" x14ac:dyDescent="0.25">
      <c r="A8" t="s">
        <v>5</v>
      </c>
      <c r="B8">
        <v>0.13</v>
      </c>
      <c r="C8">
        <v>0.24</v>
      </c>
      <c r="D8">
        <v>70</v>
      </c>
      <c r="E8">
        <v>0</v>
      </c>
      <c r="F8">
        <v>0.16</v>
      </c>
      <c r="G8">
        <v>64</v>
      </c>
      <c r="H8">
        <v>14.2</v>
      </c>
      <c r="I8">
        <v>0.13</v>
      </c>
      <c r="J8">
        <v>0.06</v>
      </c>
      <c r="K8">
        <v>0.2</v>
      </c>
      <c r="L8">
        <f t="shared" si="2"/>
        <v>3.5714285714285719E-2</v>
      </c>
      <c r="M8">
        <f t="shared" si="3"/>
        <v>0.20671137326411121</v>
      </c>
      <c r="N8">
        <f t="shared" si="4"/>
        <v>0.62889621382323002</v>
      </c>
      <c r="O8">
        <f t="shared" si="5"/>
        <v>0.9943074003795066</v>
      </c>
      <c r="P8">
        <f t="shared" si="6"/>
        <v>0.62531615947509012</v>
      </c>
      <c r="Q8">
        <f t="shared" si="7"/>
        <v>0.17179015370194786</v>
      </c>
    </row>
    <row r="9" spans="1:17" x14ac:dyDescent="0.25">
      <c r="A9" t="s">
        <v>6</v>
      </c>
      <c r="B9">
        <v>0.02</v>
      </c>
      <c r="C9">
        <v>0.28000000000000003</v>
      </c>
      <c r="D9">
        <v>67</v>
      </c>
      <c r="E9">
        <v>0.02</v>
      </c>
      <c r="F9">
        <v>0.24</v>
      </c>
      <c r="G9">
        <v>71</v>
      </c>
      <c r="H9">
        <v>9.3000000000000007</v>
      </c>
      <c r="I9">
        <v>0</v>
      </c>
      <c r="J9">
        <v>-0.09</v>
      </c>
      <c r="K9">
        <v>0.09</v>
      </c>
      <c r="L9">
        <f t="shared" si="2"/>
        <v>4.5918367346938778E-2</v>
      </c>
      <c r="M9">
        <f t="shared" si="3"/>
        <v>0.26970933959244026</v>
      </c>
      <c r="N9">
        <f t="shared" si="4"/>
        <v>0</v>
      </c>
      <c r="O9">
        <f t="shared" si="5"/>
        <v>0.99447513812154698</v>
      </c>
      <c r="P9">
        <f t="shared" si="6"/>
        <v>0</v>
      </c>
      <c r="Q9">
        <f t="shared" si="7"/>
        <v>0.16931069120063508</v>
      </c>
    </row>
    <row r="10" spans="1:17" x14ac:dyDescent="0.25">
      <c r="A10" t="s">
        <v>7</v>
      </c>
      <c r="B10">
        <v>0.1</v>
      </c>
      <c r="C10">
        <v>0.3</v>
      </c>
      <c r="D10">
        <v>17</v>
      </c>
      <c r="E10">
        <v>0.1</v>
      </c>
      <c r="F10">
        <v>0.3</v>
      </c>
      <c r="G10">
        <v>18</v>
      </c>
      <c r="H10">
        <v>2</v>
      </c>
      <c r="I10">
        <v>0</v>
      </c>
      <c r="J10">
        <v>-0.2</v>
      </c>
      <c r="K10">
        <v>0.2</v>
      </c>
      <c r="L10">
        <f t="shared" si="2"/>
        <v>0.10204081632653061</v>
      </c>
      <c r="M10">
        <f t="shared" si="3"/>
        <v>0.30184080526018453</v>
      </c>
      <c r="N10">
        <f t="shared" si="4"/>
        <v>0</v>
      </c>
      <c r="O10">
        <f t="shared" si="5"/>
        <v>0.97709923664122134</v>
      </c>
      <c r="P10">
        <f t="shared" si="6"/>
        <v>0</v>
      </c>
      <c r="Q10">
        <f t="shared" si="7"/>
        <v>0.33031983085572553</v>
      </c>
    </row>
    <row r="11" spans="1:17" x14ac:dyDescent="0.25">
      <c r="A11" t="s">
        <v>8</v>
      </c>
      <c r="B11">
        <v>0.12</v>
      </c>
      <c r="C11">
        <v>0.28000000000000003</v>
      </c>
      <c r="D11">
        <v>24</v>
      </c>
      <c r="E11">
        <v>-0.02</v>
      </c>
      <c r="F11">
        <v>0.23</v>
      </c>
      <c r="G11">
        <v>24</v>
      </c>
      <c r="H11">
        <v>3.6</v>
      </c>
      <c r="I11">
        <v>0.14000000000000001</v>
      </c>
      <c r="J11">
        <v>0</v>
      </c>
      <c r="K11">
        <v>0.28000000000000003</v>
      </c>
      <c r="L11">
        <f t="shared" si="2"/>
        <v>7.1428571428571438E-2</v>
      </c>
      <c r="M11">
        <f t="shared" si="3"/>
        <v>0.24743582965269678</v>
      </c>
      <c r="N11">
        <f t="shared" si="4"/>
        <v>0.56580326380583323</v>
      </c>
      <c r="O11">
        <f t="shared" si="5"/>
        <v>0.98360655737704916</v>
      </c>
      <c r="P11">
        <f t="shared" si="6"/>
        <v>0.55652780046475403</v>
      </c>
      <c r="Q11">
        <f t="shared" si="7"/>
        <v>0.28394275533916019</v>
      </c>
    </row>
    <row r="12" spans="1:17" x14ac:dyDescent="0.25">
      <c r="A12" t="s">
        <v>9</v>
      </c>
      <c r="B12">
        <v>0.22</v>
      </c>
      <c r="C12">
        <v>0.28000000000000003</v>
      </c>
      <c r="D12">
        <v>81</v>
      </c>
      <c r="E12">
        <v>0.17</v>
      </c>
      <c r="F12">
        <v>0.24</v>
      </c>
      <c r="G12">
        <v>90</v>
      </c>
      <c r="H12">
        <v>11.2</v>
      </c>
      <c r="I12">
        <v>0.05</v>
      </c>
      <c r="J12">
        <v>-0.03</v>
      </c>
      <c r="K12">
        <v>0.13</v>
      </c>
      <c r="L12">
        <f t="shared" si="2"/>
        <v>4.0816326530612249E-2</v>
      </c>
      <c r="M12">
        <f t="shared" si="3"/>
        <v>0.26687136389024535</v>
      </c>
      <c r="N12">
        <f t="shared" si="4"/>
        <v>0.18735618266095877</v>
      </c>
      <c r="O12">
        <f t="shared" si="5"/>
        <v>0.99555555555555553</v>
      </c>
      <c r="P12">
        <f t="shared" si="6"/>
        <v>0.18652348851579895</v>
      </c>
      <c r="Q12">
        <f t="shared" si="7"/>
        <v>0.15226407225779506</v>
      </c>
    </row>
    <row r="13" spans="1:17" x14ac:dyDescent="0.25">
      <c r="A13" t="s">
        <v>10</v>
      </c>
      <c r="B13">
        <v>-0.03</v>
      </c>
      <c r="C13">
        <v>0.18</v>
      </c>
      <c r="D13">
        <v>44</v>
      </c>
      <c r="E13">
        <v>-0.13</v>
      </c>
      <c r="F13">
        <v>0.14000000000000001</v>
      </c>
      <c r="G13">
        <v>43</v>
      </c>
      <c r="H13">
        <v>13.2</v>
      </c>
      <c r="I13">
        <v>0.1</v>
      </c>
      <c r="J13">
        <v>0.03</v>
      </c>
      <c r="K13">
        <v>0.17</v>
      </c>
      <c r="L13">
        <f t="shared" si="2"/>
        <v>3.5714285714285719E-2</v>
      </c>
      <c r="M13">
        <f t="shared" si="3"/>
        <v>0.16656034023372887</v>
      </c>
      <c r="N13">
        <f t="shared" si="4"/>
        <v>0.60038301950916506</v>
      </c>
      <c r="O13">
        <f t="shared" si="5"/>
        <v>0.99115044247787609</v>
      </c>
      <c r="P13">
        <f t="shared" si="6"/>
        <v>0.59506989544271227</v>
      </c>
      <c r="Q13">
        <f t="shared" si="7"/>
        <v>0.21252496265811155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2025-12-28T21:09:38Z</dcterms:modified>
</cp:coreProperties>
</file>