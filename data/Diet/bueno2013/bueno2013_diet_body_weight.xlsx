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Diet\bueno2013\"/>
    </mc:Choice>
  </mc:AlternateContent>
  <xr:revisionPtr revIDLastSave="0" documentId="13_ncr:1_{7E32C88B-EC78-41DD-9020-ACB382475522}" xr6:coauthVersionLast="47" xr6:coauthVersionMax="47" xr10:uidLastSave="{00000000-0000-0000-0000-000000000000}"/>
  <bookViews>
    <workbookView xWindow="38400" yWindow="2940" windowWidth="14400" windowHeight="16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2" i="1"/>
  <c r="M3" i="1"/>
  <c r="M4" i="1"/>
  <c r="M5" i="1"/>
  <c r="N5" i="1" s="1"/>
  <c r="P5" i="1" s="1"/>
  <c r="M6" i="1"/>
  <c r="M7" i="1"/>
  <c r="M8" i="1"/>
  <c r="M9" i="1"/>
  <c r="M10" i="1"/>
  <c r="M11" i="1"/>
  <c r="M12" i="1"/>
  <c r="M13" i="1"/>
  <c r="M14" i="1"/>
  <c r="O2" i="1"/>
  <c r="M2" i="1"/>
  <c r="N2" i="1" s="1"/>
  <c r="O3" i="1"/>
  <c r="O4" i="1"/>
  <c r="O5" i="1"/>
  <c r="O6" i="1"/>
  <c r="O7" i="1"/>
  <c r="O8" i="1"/>
  <c r="O9" i="1"/>
  <c r="O10" i="1"/>
  <c r="O11" i="1"/>
  <c r="O12" i="1"/>
  <c r="O13" i="1"/>
  <c r="O14" i="1"/>
  <c r="L3" i="1"/>
  <c r="N3" i="1" s="1"/>
  <c r="L4" i="1"/>
  <c r="N4" i="1" s="1"/>
  <c r="L5" i="1"/>
  <c r="L6" i="1"/>
  <c r="N6" i="1" s="1"/>
  <c r="L7" i="1"/>
  <c r="L8" i="1"/>
  <c r="L9" i="1"/>
  <c r="L10" i="1"/>
  <c r="L11" i="1"/>
  <c r="N11" i="1" s="1"/>
  <c r="P11" i="1" s="1"/>
  <c r="L12" i="1"/>
  <c r="L13" i="1"/>
  <c r="L14" i="1"/>
  <c r="L2" i="1"/>
  <c r="N10" i="1" l="1"/>
  <c r="P10" i="1" s="1"/>
  <c r="N7" i="1"/>
  <c r="N8" i="1"/>
  <c r="N13" i="1"/>
  <c r="P13" i="1" s="1"/>
  <c r="N9" i="1"/>
  <c r="N14" i="1"/>
  <c r="P14" i="1" s="1"/>
  <c r="N12" i="1"/>
  <c r="P12" i="1" s="1"/>
  <c r="P2" i="1"/>
  <c r="P8" i="1"/>
  <c r="P7" i="1"/>
  <c r="P4" i="1"/>
  <c r="P9" i="1"/>
  <c r="P3" i="1"/>
  <c r="P6" i="1"/>
</calcChain>
</file>

<file path=xl/sharedStrings.xml><?xml version="1.0" encoding="utf-8"?>
<sst xmlns="http://schemas.openxmlformats.org/spreadsheetml/2006/main" count="30" uniqueCount="28">
  <si>
    <t>Brinkworth</t>
  </si>
  <si>
    <t>Dansinger</t>
  </si>
  <si>
    <t>Davis</t>
  </si>
  <si>
    <t>Dyson</t>
  </si>
  <si>
    <t>Foster</t>
  </si>
  <si>
    <t>Lim</t>
  </si>
  <si>
    <t>Iqbal</t>
  </si>
  <si>
    <t>McAuley</t>
  </si>
  <si>
    <t>Shai</t>
  </si>
  <si>
    <t>Stern</t>
  </si>
  <si>
    <t>Truby</t>
  </si>
  <si>
    <t>Author</t>
  </si>
  <si>
    <t>md</t>
  </si>
  <si>
    <t>md_lCI</t>
  </si>
  <si>
    <t>md_uCI</t>
  </si>
  <si>
    <t>weight</t>
  </si>
  <si>
    <t>LC_mean</t>
  </si>
  <si>
    <t>LC_sd</t>
  </si>
  <si>
    <t>n_LC</t>
  </si>
  <si>
    <t>LF_mean</t>
  </si>
  <si>
    <t>LF_sd</t>
  </si>
  <si>
    <t>n_LF</t>
  </si>
  <si>
    <t>pooled_sd</t>
  </si>
  <si>
    <t>md_se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</si>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</sst>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"/>
  <sheetViews>
    <sheetView tabSelected="1" topLeftCell="C1" workbookViewId="0">
      <selection activeCell="P4" sqref="P4"/>
    </sheetView>
  </sheetViews>
  <sheetFormatPr defaultRowHeight="15" x14ac:dyDescent="0.25"/>
  <cols>
    <col min="1" max="1" width="19.85546875" bestFit="1" customWidth="1"/>
    <col min="2" max="2" width="17.85546875" bestFit="1" customWidth="1"/>
    <col min="3" max="3" width="5.5703125" bestFit="1" customWidth="1"/>
    <col min="4" max="4" width="4" bestFit="1" customWidth="1"/>
    <col min="5" max="5" width="17.85546875" bestFit="1" customWidth="1"/>
    <col min="6" max="6" width="5.5703125" bestFit="1" customWidth="1"/>
    <col min="7" max="7" width="4" bestFit="1" customWidth="1"/>
    <col min="8" max="8" width="10.85546875" bestFit="1" customWidth="1"/>
  </cols>
  <sheetData>
    <row r="1" spans="1:17" x14ac:dyDescent="0.25">
      <c r="A1" t="s">
        <v>11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15</v>
      </c>
      <c r="I1" t="s">
        <v>12</v>
      </c>
      <c r="J1" t="s">
        <v>13</v>
      </c>
      <c r="K1" t="s">
        <v>14</v>
      </c>
      <c r="L1" t="s">
        <v>23</v>
      </c>
      <c r="M1" t="s">
        <v>22</v>
      </c>
      <c r="N1" t="s">
        <v>24</v>
      </c>
      <c r="O1" t="s">
        <v>25</v>
      </c>
      <c r="P1" t="s">
        <v>26</v>
      </c>
      <c r="Q1" t="s">
        <v>27</v>
      </c>
    </row>
    <row r="2" spans="1:17" x14ac:dyDescent="0.25">
      <c r="A2" t="s">
        <v>0</v>
      </c>
      <c r="B2">
        <v>-13.1</v>
      </c>
      <c r="C2">
        <v>11.86</v>
      </c>
      <c r="D2">
        <v>55</v>
      </c>
      <c r="E2">
        <v>-11.6</v>
      </c>
      <c r="F2">
        <v>11.53</v>
      </c>
      <c r="G2">
        <v>52</v>
      </c>
      <c r="H2">
        <v>2.8</v>
      </c>
      <c r="I2">
        <v>1.5</v>
      </c>
      <c r="J2">
        <v>-2.93</v>
      </c>
      <c r="K2">
        <v>5.93</v>
      </c>
      <c r="L2">
        <f>(K2-J2)/2/1.96</f>
        <v>2.260204081632653</v>
      </c>
      <c r="M2">
        <f>L2/SQRT(1/D2+1/G2)</f>
        <v>11.685270832223678</v>
      </c>
      <c r="N2">
        <f>I2/M2</f>
        <v>0.12836672949535341</v>
      </c>
      <c r="O2">
        <f t="shared" ref="O2" si="0">1-3/(4*(D2+G2-2)-1)</f>
        <v>0.99284009546539376</v>
      </c>
      <c r="P2">
        <f t="shared" ref="P2" si="1">O2*N2</f>
        <v>0.12744763596674705</v>
      </c>
      <c r="Q2">
        <f>O2*L2/M2</f>
        <v>0.19203844467098277</v>
      </c>
    </row>
    <row r="3" spans="1:17" x14ac:dyDescent="0.25">
      <c r="A3" t="s">
        <v>1</v>
      </c>
      <c r="B3">
        <v>-2.1</v>
      </c>
      <c r="C3">
        <v>4.8</v>
      </c>
      <c r="D3">
        <v>40</v>
      </c>
      <c r="E3">
        <v>-3.3</v>
      </c>
      <c r="F3">
        <v>7.3</v>
      </c>
      <c r="G3">
        <v>40</v>
      </c>
      <c r="H3">
        <v>7.4</v>
      </c>
      <c r="I3">
        <v>-1.2</v>
      </c>
      <c r="J3">
        <v>-3.91</v>
      </c>
      <c r="K3">
        <v>1.51</v>
      </c>
      <c r="L3">
        <f t="shared" ref="L3:L14" si="2">(K3-J3)/2/1.96</f>
        <v>1.3826530612244898</v>
      </c>
      <c r="M3">
        <f t="shared" ref="M3:M14" si="3">L3/SQRT(1/D3+1/G3)</f>
        <v>6.1834124683922758</v>
      </c>
      <c r="N3">
        <f t="shared" ref="N3:N14" si="4">I3/M3</f>
        <v>-0.19406759716160535</v>
      </c>
      <c r="O3">
        <f t="shared" ref="O3:O14" si="5">1-3/(4*(D3+G3-2)-1)</f>
        <v>0.99035369774919613</v>
      </c>
      <c r="P3">
        <f t="shared" ref="P3:P14" si="6">O3*N3</f>
        <v>-0.19219556246229724</v>
      </c>
      <c r="Q3">
        <f t="shared" ref="Q3:Q14" si="7">O3*L3/M3</f>
        <v>0.22144981899354829</v>
      </c>
    </row>
    <row r="4" spans="1:17" x14ac:dyDescent="0.25">
      <c r="A4" t="s">
        <v>2</v>
      </c>
      <c r="B4">
        <v>-3.1</v>
      </c>
      <c r="C4">
        <v>4.8</v>
      </c>
      <c r="D4">
        <v>55</v>
      </c>
      <c r="E4">
        <v>-3.1</v>
      </c>
      <c r="F4">
        <v>5.8</v>
      </c>
      <c r="G4">
        <v>50</v>
      </c>
      <c r="H4">
        <v>13</v>
      </c>
      <c r="I4">
        <v>0</v>
      </c>
      <c r="J4">
        <v>-2.0499999999999998</v>
      </c>
      <c r="K4">
        <v>2.0499999999999998</v>
      </c>
      <c r="L4">
        <f t="shared" si="2"/>
        <v>1.0459183673469388</v>
      </c>
      <c r="M4">
        <f t="shared" si="3"/>
        <v>5.3526578940014078</v>
      </c>
      <c r="N4">
        <f t="shared" si="4"/>
        <v>0</v>
      </c>
      <c r="O4">
        <f t="shared" si="5"/>
        <v>0.99270072992700731</v>
      </c>
      <c r="P4">
        <f t="shared" si="6"/>
        <v>0</v>
      </c>
      <c r="Q4">
        <f t="shared" si="7"/>
        <v>0.19397539451810461</v>
      </c>
    </row>
    <row r="5" spans="1:17" x14ac:dyDescent="0.25">
      <c r="A5" t="s">
        <v>3</v>
      </c>
      <c r="B5">
        <v>0.3</v>
      </c>
      <c r="C5">
        <v>6.96</v>
      </c>
      <c r="D5">
        <v>11</v>
      </c>
      <c r="E5">
        <v>-0.8</v>
      </c>
      <c r="F5">
        <v>3.97</v>
      </c>
      <c r="G5">
        <v>11</v>
      </c>
      <c r="H5">
        <v>2.4</v>
      </c>
      <c r="I5">
        <v>-1.1000000000000001</v>
      </c>
      <c r="J5">
        <v>-5.84</v>
      </c>
      <c r="K5">
        <v>3.64</v>
      </c>
      <c r="L5">
        <f t="shared" si="2"/>
        <v>2.4183673469387759</v>
      </c>
      <c r="M5">
        <f t="shared" si="3"/>
        <v>5.671574158562005</v>
      </c>
      <c r="N5">
        <f t="shared" si="4"/>
        <v>-0.19394968120788864</v>
      </c>
      <c r="O5">
        <f t="shared" si="5"/>
        <v>0.96202531645569622</v>
      </c>
      <c r="P5">
        <f t="shared" si="6"/>
        <v>-0.18658450344050045</v>
      </c>
      <c r="Q5">
        <f t="shared" si="7"/>
        <v>0.4102089732411745</v>
      </c>
    </row>
    <row r="6" spans="1:17" x14ac:dyDescent="0.25">
      <c r="A6" t="s">
        <v>4</v>
      </c>
      <c r="B6">
        <v>-7.2</v>
      </c>
      <c r="C6">
        <v>7</v>
      </c>
      <c r="D6">
        <v>33</v>
      </c>
      <c r="E6">
        <v>-4.4000000000000004</v>
      </c>
      <c r="F6">
        <v>8</v>
      </c>
      <c r="G6">
        <v>30</v>
      </c>
      <c r="H6">
        <v>3.9</v>
      </c>
      <c r="I6">
        <v>2.8</v>
      </c>
      <c r="J6">
        <v>-0.93</v>
      </c>
      <c r="K6">
        <v>6.53</v>
      </c>
      <c r="L6">
        <f t="shared" si="2"/>
        <v>1.903061224489796</v>
      </c>
      <c r="M6">
        <f t="shared" si="3"/>
        <v>7.5439722641630178</v>
      </c>
      <c r="N6">
        <f t="shared" si="4"/>
        <v>0.37115725004731998</v>
      </c>
      <c r="O6">
        <f t="shared" si="5"/>
        <v>0.98765432098765427</v>
      </c>
      <c r="P6">
        <f t="shared" si="6"/>
        <v>0.36657506177513083</v>
      </c>
      <c r="Q6">
        <f t="shared" si="7"/>
        <v>0.24914813783185827</v>
      </c>
    </row>
    <row r="7" spans="1:17" x14ac:dyDescent="0.25">
      <c r="A7" t="s">
        <v>4</v>
      </c>
      <c r="B7">
        <v>-6.34</v>
      </c>
      <c r="C7">
        <v>10.82</v>
      </c>
      <c r="D7">
        <v>153</v>
      </c>
      <c r="E7">
        <v>-7.37</v>
      </c>
      <c r="F7">
        <v>10.98</v>
      </c>
      <c r="G7">
        <v>154</v>
      </c>
      <c r="H7">
        <v>9.1999999999999993</v>
      </c>
      <c r="I7">
        <v>1.03</v>
      </c>
      <c r="J7">
        <v>-3.47</v>
      </c>
      <c r="K7">
        <v>1.41</v>
      </c>
      <c r="L7">
        <f t="shared" si="2"/>
        <v>1.2448979591836735</v>
      </c>
      <c r="M7">
        <f t="shared" si="3"/>
        <v>10.906129320496637</v>
      </c>
      <c r="N7">
        <f t="shared" si="4"/>
        <v>9.4442305765093978E-2</v>
      </c>
      <c r="O7">
        <f t="shared" si="5"/>
        <v>0.99753896636587369</v>
      </c>
      <c r="P7">
        <f t="shared" si="6"/>
        <v>9.4209880074121635E-2</v>
      </c>
      <c r="Q7">
        <f t="shared" si="7"/>
        <v>0.11386571596040063</v>
      </c>
    </row>
    <row r="8" spans="1:17" x14ac:dyDescent="0.25">
      <c r="A8" t="s">
        <v>5</v>
      </c>
      <c r="B8">
        <v>-4.7</v>
      </c>
      <c r="C8">
        <v>7.16</v>
      </c>
      <c r="D8">
        <v>77</v>
      </c>
      <c r="E8">
        <v>-2.6</v>
      </c>
      <c r="F8">
        <v>5.55</v>
      </c>
      <c r="G8">
        <v>76</v>
      </c>
      <c r="H8">
        <v>13.3</v>
      </c>
      <c r="I8">
        <v>2.1</v>
      </c>
      <c r="J8">
        <v>-7.0000000000000007E-2</v>
      </c>
      <c r="K8">
        <v>4.13</v>
      </c>
      <c r="L8">
        <f t="shared" si="2"/>
        <v>1.0714285714285714</v>
      </c>
      <c r="M8">
        <f t="shared" si="3"/>
        <v>6.6262782182164734</v>
      </c>
      <c r="N8">
        <f t="shared" si="4"/>
        <v>0.31691998597747306</v>
      </c>
      <c r="O8">
        <f t="shared" si="5"/>
        <v>0.99502487562189057</v>
      </c>
      <c r="P8">
        <f t="shared" si="6"/>
        <v>0.31534326962932646</v>
      </c>
      <c r="Q8">
        <f t="shared" si="7"/>
        <v>0.16088942328026859</v>
      </c>
    </row>
    <row r="9" spans="1:17" x14ac:dyDescent="0.25">
      <c r="A9" t="s">
        <v>6</v>
      </c>
      <c r="B9">
        <v>-1.5</v>
      </c>
      <c r="C9">
        <v>8.36</v>
      </c>
      <c r="D9">
        <v>67</v>
      </c>
      <c r="E9">
        <v>-0.2</v>
      </c>
      <c r="F9">
        <v>7.74</v>
      </c>
      <c r="G9">
        <v>71</v>
      </c>
      <c r="H9">
        <v>7.5</v>
      </c>
      <c r="I9">
        <v>1.3</v>
      </c>
      <c r="J9">
        <v>-1.39</v>
      </c>
      <c r="K9">
        <v>3.99</v>
      </c>
      <c r="L9">
        <f t="shared" si="2"/>
        <v>1.3724489795918366</v>
      </c>
      <c r="M9">
        <f t="shared" si="3"/>
        <v>8.0579253771390729</v>
      </c>
      <c r="N9">
        <f t="shared" si="4"/>
        <v>0.1613318489754442</v>
      </c>
      <c r="O9">
        <f t="shared" si="5"/>
        <v>0.99447513812154698</v>
      </c>
      <c r="P9">
        <f t="shared" si="6"/>
        <v>0.16044051279325944</v>
      </c>
      <c r="Q9">
        <f t="shared" si="7"/>
        <v>0.16938186005253839</v>
      </c>
    </row>
    <row r="10" spans="1:17" x14ac:dyDescent="0.25">
      <c r="A10" t="s">
        <v>5</v>
      </c>
      <c r="B10">
        <v>-2.9</v>
      </c>
      <c r="C10">
        <v>4.9000000000000004</v>
      </c>
      <c r="D10">
        <v>17</v>
      </c>
      <c r="E10">
        <v>-2.1</v>
      </c>
      <c r="F10">
        <v>4.7</v>
      </c>
      <c r="G10">
        <v>18</v>
      </c>
      <c r="H10">
        <v>5.4</v>
      </c>
      <c r="I10">
        <v>0.8</v>
      </c>
      <c r="J10">
        <v>-2.38</v>
      </c>
      <c r="K10">
        <v>3.98</v>
      </c>
      <c r="L10">
        <f t="shared" si="2"/>
        <v>1.6224489795918366</v>
      </c>
      <c r="M10">
        <f t="shared" si="3"/>
        <v>4.7973095184752088</v>
      </c>
      <c r="N10">
        <f t="shared" si="4"/>
        <v>0.16676013855663716</v>
      </c>
      <c r="O10">
        <f t="shared" si="5"/>
        <v>0.97709923664122134</v>
      </c>
      <c r="P10">
        <f t="shared" si="6"/>
        <v>0.16294120408587445</v>
      </c>
      <c r="Q10">
        <f t="shared" si="7"/>
        <v>0.33045473787824026</v>
      </c>
    </row>
    <row r="11" spans="1:17" x14ac:dyDescent="0.25">
      <c r="A11" t="s">
        <v>7</v>
      </c>
      <c r="B11">
        <v>-5.4</v>
      </c>
      <c r="C11">
        <v>12.6</v>
      </c>
      <c r="D11">
        <v>24</v>
      </c>
      <c r="E11">
        <v>-4.4000000000000004</v>
      </c>
      <c r="F11">
        <v>12.2</v>
      </c>
      <c r="G11">
        <v>24</v>
      </c>
      <c r="H11">
        <v>1.1000000000000001</v>
      </c>
      <c r="I11">
        <v>1</v>
      </c>
      <c r="J11">
        <v>-8.02</v>
      </c>
      <c r="K11">
        <v>8.02</v>
      </c>
      <c r="L11">
        <f t="shared" si="2"/>
        <v>4.0918367346938771</v>
      </c>
      <c r="M11">
        <f t="shared" si="3"/>
        <v>14.174538241533057</v>
      </c>
      <c r="N11">
        <f t="shared" si="4"/>
        <v>7.0549035387261011E-2</v>
      </c>
      <c r="O11">
        <f t="shared" si="5"/>
        <v>0.98360655737704916</v>
      </c>
      <c r="P11">
        <f t="shared" si="6"/>
        <v>6.939249382353542E-2</v>
      </c>
      <c r="Q11">
        <f t="shared" si="7"/>
        <v>0.28394275533916019</v>
      </c>
    </row>
    <row r="12" spans="1:17" x14ac:dyDescent="0.25">
      <c r="A12" t="s">
        <v>8</v>
      </c>
      <c r="B12">
        <v>-4.7</v>
      </c>
      <c r="C12">
        <v>6.5</v>
      </c>
      <c r="D12">
        <v>109</v>
      </c>
      <c r="E12">
        <v>-2.9</v>
      </c>
      <c r="F12">
        <v>4.2</v>
      </c>
      <c r="G12">
        <v>104</v>
      </c>
      <c r="H12">
        <v>25.5</v>
      </c>
      <c r="I12">
        <v>1.8</v>
      </c>
      <c r="J12">
        <v>0.34</v>
      </c>
      <c r="K12">
        <v>3.26</v>
      </c>
      <c r="L12">
        <f t="shared" si="2"/>
        <v>0.74489795918367352</v>
      </c>
      <c r="M12">
        <f t="shared" si="3"/>
        <v>5.4342160563541677</v>
      </c>
      <c r="N12">
        <f t="shared" si="4"/>
        <v>0.33123452975250778</v>
      </c>
      <c r="O12">
        <f t="shared" si="5"/>
        <v>0.99644128113879005</v>
      </c>
      <c r="P12">
        <f t="shared" si="6"/>
        <v>0.33005575918399355</v>
      </c>
      <c r="Q12">
        <f t="shared" si="7"/>
        <v>0.13658770079609711</v>
      </c>
    </row>
    <row r="13" spans="1:17" x14ac:dyDescent="0.25">
      <c r="A13" t="s">
        <v>9</v>
      </c>
      <c r="B13">
        <v>-5.0999999999999996</v>
      </c>
      <c r="C13">
        <v>8.6999999999999993</v>
      </c>
      <c r="D13">
        <v>62</v>
      </c>
      <c r="E13">
        <v>-3.1</v>
      </c>
      <c r="F13">
        <v>8.4</v>
      </c>
      <c r="G13">
        <v>64</v>
      </c>
      <c r="H13">
        <v>6.1</v>
      </c>
      <c r="I13">
        <v>2</v>
      </c>
      <c r="J13">
        <v>-0.99</v>
      </c>
      <c r="K13">
        <v>4.99</v>
      </c>
      <c r="L13">
        <f t="shared" si="2"/>
        <v>1.5255102040816328</v>
      </c>
      <c r="M13">
        <f t="shared" si="3"/>
        <v>8.5608261203774827</v>
      </c>
      <c r="N13">
        <f t="shared" si="4"/>
        <v>0.23362231306618475</v>
      </c>
      <c r="O13">
        <f t="shared" si="5"/>
        <v>0.9939393939393939</v>
      </c>
      <c r="P13">
        <f t="shared" si="6"/>
        <v>0.23220642025972302</v>
      </c>
      <c r="Q13">
        <f t="shared" si="7"/>
        <v>0.17711663177973772</v>
      </c>
    </row>
    <row r="14" spans="1:17" x14ac:dyDescent="0.25">
      <c r="A14" t="s">
        <v>10</v>
      </c>
      <c r="B14">
        <v>-9</v>
      </c>
      <c r="C14">
        <v>4.0999999999999996</v>
      </c>
      <c r="D14">
        <v>9</v>
      </c>
      <c r="E14">
        <v>-10.7</v>
      </c>
      <c r="F14">
        <v>6.2</v>
      </c>
      <c r="G14">
        <v>9</v>
      </c>
      <c r="H14">
        <v>2.2999999999999998</v>
      </c>
      <c r="I14">
        <v>1.7</v>
      </c>
      <c r="J14">
        <v>-6.56</v>
      </c>
      <c r="K14">
        <v>3.16</v>
      </c>
      <c r="L14">
        <f t="shared" si="2"/>
        <v>2.4795918367346936</v>
      </c>
      <c r="M14">
        <f t="shared" si="3"/>
        <v>5.2600086069897252</v>
      </c>
      <c r="N14">
        <f t="shared" si="4"/>
        <v>0.3231933875052917</v>
      </c>
      <c r="O14">
        <f t="shared" si="5"/>
        <v>0.95238095238095233</v>
      </c>
      <c r="P14">
        <f t="shared" si="6"/>
        <v>0.30780322619551587</v>
      </c>
      <c r="Q14">
        <f t="shared" si="7"/>
        <v>0.44895668646764925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2025-12-28T21:10:03Z</dcterms:modified>
</cp:coreProperties>
</file>