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Diet\bueno2013\"/>
    </mc:Choice>
  </mc:AlternateContent>
  <xr:revisionPtr revIDLastSave="0" documentId="13_ncr:1_{1CF33093-BEB5-4C23-A934-28081FE9309B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2" i="1"/>
  <c r="L2" i="1"/>
  <c r="M2" i="1"/>
  <c r="L3" i="1" l="1"/>
  <c r="M3" i="1" s="1"/>
  <c r="O3" i="1"/>
  <c r="L4" i="1"/>
  <c r="M4" i="1" s="1"/>
  <c r="O4" i="1"/>
  <c r="L5" i="1"/>
  <c r="M5" i="1" s="1"/>
  <c r="O5" i="1"/>
  <c r="L6" i="1"/>
  <c r="M6" i="1" s="1"/>
  <c r="O6" i="1"/>
  <c r="L7" i="1"/>
  <c r="M7" i="1" s="1"/>
  <c r="O7" i="1"/>
  <c r="L8" i="1"/>
  <c r="M8" i="1" s="1"/>
  <c r="O8" i="1"/>
  <c r="L9" i="1"/>
  <c r="M9" i="1" s="1"/>
  <c r="O9" i="1"/>
  <c r="L10" i="1"/>
  <c r="M10" i="1" s="1"/>
  <c r="O10" i="1"/>
  <c r="L11" i="1"/>
  <c r="M11" i="1" s="1"/>
  <c r="O11" i="1"/>
  <c r="L12" i="1"/>
  <c r="M12" i="1" s="1"/>
  <c r="O12" i="1"/>
  <c r="L13" i="1"/>
  <c r="M13" i="1" s="1"/>
  <c r="O13" i="1"/>
  <c r="O2" i="1"/>
  <c r="N11" i="1" l="1"/>
  <c r="P11" i="1" s="1"/>
  <c r="N7" i="1"/>
  <c r="P7" i="1" s="1"/>
  <c r="N9" i="1"/>
  <c r="P9" i="1" s="1"/>
  <c r="N3" i="1"/>
  <c r="P3" i="1" s="1"/>
  <c r="N13" i="1"/>
  <c r="P13" i="1" s="1"/>
  <c r="N5" i="1"/>
  <c r="P5" i="1" s="1"/>
  <c r="N8" i="1"/>
  <c r="P8" i="1" s="1"/>
  <c r="N4" i="1"/>
  <c r="P4" i="1" s="1"/>
  <c r="N10" i="1"/>
  <c r="P10" i="1" s="1"/>
  <c r="N12" i="1"/>
  <c r="P12" i="1" s="1"/>
  <c r="N6" i="1"/>
  <c r="P6" i="1" s="1"/>
  <c r="N2" i="1"/>
  <c r="P2" i="1" s="1"/>
</calcChain>
</file>

<file path=xl/sharedStrings.xml><?xml version="1.0" encoding="utf-8"?>
<sst xmlns="http://schemas.openxmlformats.org/spreadsheetml/2006/main" count="29" uniqueCount="28">
  <si>
    <t>Brinkworth</t>
  </si>
  <si>
    <t>Dansinger</t>
  </si>
  <si>
    <t>Davis</t>
  </si>
  <si>
    <t>Dyson</t>
  </si>
  <si>
    <t>Foster</t>
  </si>
  <si>
    <t>Gardner</t>
  </si>
  <si>
    <t>Iqbal</t>
  </si>
  <si>
    <t>Lim</t>
  </si>
  <si>
    <t>McAuley</t>
  </si>
  <si>
    <t>Shai</t>
  </si>
  <si>
    <t>Stern</t>
  </si>
  <si>
    <t>Author</t>
  </si>
  <si>
    <t>LC_mean</t>
  </si>
  <si>
    <t>LC_sd</t>
  </si>
  <si>
    <t>n_LC</t>
  </si>
  <si>
    <t>LF_mean</t>
  </si>
  <si>
    <t>LF_sd</t>
  </si>
  <si>
    <t>n_LF</t>
  </si>
  <si>
    <t>weight</t>
  </si>
  <si>
    <t>md</t>
  </si>
  <si>
    <t>md_lCI</t>
  </si>
  <si>
    <t>md_uCI</t>
  </si>
  <si>
    <t>md_se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</si>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</sst>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topLeftCell="F1" workbookViewId="0">
      <selection activeCell="N5" sqref="N5"/>
    </sheetView>
  </sheetViews>
  <sheetFormatPr defaultRowHeight="15" x14ac:dyDescent="0.25"/>
  <sheetData>
    <row r="1" spans="1:17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25">
      <c r="A2" t="s">
        <v>0</v>
      </c>
      <c r="B2">
        <v>-0.57999999999999996</v>
      </c>
      <c r="C2">
        <v>0.63</v>
      </c>
      <c r="D2">
        <v>33</v>
      </c>
      <c r="E2">
        <v>-0.22</v>
      </c>
      <c r="F2">
        <v>0.66</v>
      </c>
      <c r="G2">
        <v>36</v>
      </c>
      <c r="H2">
        <v>8.4</v>
      </c>
      <c r="I2">
        <v>0.36</v>
      </c>
      <c r="J2">
        <v>0.06</v>
      </c>
      <c r="K2">
        <v>0.66</v>
      </c>
      <c r="L2">
        <f>(K2-J2)/2/1.96</f>
        <v>0.15306122448979595</v>
      </c>
      <c r="M2">
        <f>L2/SQRT(1/D2+1/G2)</f>
        <v>0.63510986461970642</v>
      </c>
      <c r="N2">
        <f>I2/M2</f>
        <v>0.5668310634972773</v>
      </c>
      <c r="O2">
        <f t="shared" ref="O2:O13" si="0">1-3/(4*(D2+G2-2)-1)</f>
        <v>0.9887640449438202</v>
      </c>
      <c r="P2">
        <f t="shared" ref="P2:P13" si="1">O2*N2</f>
        <v>0.56046217514337526</v>
      </c>
      <c r="Q2">
        <f>O2*L2/M2</f>
        <v>0.23829174113238752</v>
      </c>
    </row>
    <row r="3" spans="1:17" x14ac:dyDescent="0.25">
      <c r="A3" t="s">
        <v>1</v>
      </c>
      <c r="B3">
        <v>-0.01</v>
      </c>
      <c r="C3">
        <v>0.95</v>
      </c>
      <c r="D3">
        <v>40</v>
      </c>
      <c r="E3">
        <v>6.9000000000000006E-2</v>
      </c>
      <c r="F3">
        <v>0.41</v>
      </c>
      <c r="G3">
        <v>40</v>
      </c>
      <c r="H3">
        <v>7.7</v>
      </c>
      <c r="I3">
        <v>7.0000000000000007E-2</v>
      </c>
      <c r="J3">
        <v>-0.25</v>
      </c>
      <c r="K3">
        <v>0.39</v>
      </c>
      <c r="L3">
        <f t="shared" ref="L3:L13" si="2">(K3-J3)/2/1.96</f>
        <v>0.16326530612244899</v>
      </c>
      <c r="M3">
        <f t="shared" ref="M3:M13" si="3">L3/SQRT(1/D3+1/G3)</f>
        <v>0.73014464571421711</v>
      </c>
      <c r="N3">
        <f t="shared" ref="N3:N13" si="4">I3/M3</f>
        <v>9.5871414535303484E-2</v>
      </c>
      <c r="O3">
        <f t="shared" si="0"/>
        <v>0.99035369774919613</v>
      </c>
      <c r="P3">
        <f t="shared" si="1"/>
        <v>9.494660989348383E-2</v>
      </c>
      <c r="Q3">
        <f>O3*L3/M3</f>
        <v>0.22144981899354829</v>
      </c>
    </row>
    <row r="4" spans="1:17" x14ac:dyDescent="0.25">
      <c r="A4" t="s">
        <v>2</v>
      </c>
      <c r="B4">
        <v>-0.15</v>
      </c>
      <c r="C4">
        <v>0.88</v>
      </c>
      <c r="D4">
        <v>55</v>
      </c>
      <c r="E4">
        <v>-0.01</v>
      </c>
      <c r="F4">
        <v>0.86</v>
      </c>
      <c r="G4">
        <v>50</v>
      </c>
      <c r="H4">
        <v>7.2</v>
      </c>
      <c r="I4">
        <v>0.14000000000000001</v>
      </c>
      <c r="J4">
        <v>-0.19</v>
      </c>
      <c r="K4">
        <v>0.47</v>
      </c>
      <c r="L4">
        <f t="shared" si="2"/>
        <v>0.1683673469387755</v>
      </c>
      <c r="M4">
        <f t="shared" si="3"/>
        <v>0.86164736830266564</v>
      </c>
      <c r="N4">
        <f t="shared" si="4"/>
        <v>0.16247946103030755</v>
      </c>
      <c r="O4">
        <f t="shared" si="0"/>
        <v>0.99270072992700731</v>
      </c>
      <c r="P4">
        <f t="shared" si="1"/>
        <v>0.16129347956293305</v>
      </c>
      <c r="Q4">
        <f>O4*L4/M4</f>
        <v>0.19397539451810455</v>
      </c>
    </row>
    <row r="5" spans="1:17" x14ac:dyDescent="0.25">
      <c r="A5" t="s">
        <v>3</v>
      </c>
      <c r="B5">
        <v>-0.2</v>
      </c>
      <c r="C5">
        <v>0.56999999999999995</v>
      </c>
      <c r="D5">
        <v>10</v>
      </c>
      <c r="E5">
        <v>0</v>
      </c>
      <c r="F5">
        <v>0.87</v>
      </c>
      <c r="G5">
        <v>11</v>
      </c>
      <c r="H5">
        <v>2.2000000000000002</v>
      </c>
      <c r="I5">
        <v>0.2</v>
      </c>
      <c r="J5">
        <v>-0.42</v>
      </c>
      <c r="K5">
        <v>0.82</v>
      </c>
      <c r="L5">
        <f t="shared" si="2"/>
        <v>0.31632653061224492</v>
      </c>
      <c r="M5">
        <f t="shared" si="3"/>
        <v>0.7239729058535187</v>
      </c>
      <c r="N5">
        <f t="shared" si="4"/>
        <v>0.2762534321145797</v>
      </c>
      <c r="O5">
        <f t="shared" si="0"/>
        <v>0.96</v>
      </c>
      <c r="P5">
        <f t="shared" si="1"/>
        <v>0.26520329482999649</v>
      </c>
      <c r="Q5">
        <f>O5*L5/M5</f>
        <v>0.41945419080254548</v>
      </c>
    </row>
    <row r="6" spans="1:17" x14ac:dyDescent="0.25">
      <c r="A6" t="s">
        <v>4</v>
      </c>
      <c r="B6">
        <v>-0.42</v>
      </c>
      <c r="C6">
        <v>0.4</v>
      </c>
      <c r="D6">
        <v>33</v>
      </c>
      <c r="E6">
        <v>-0.02</v>
      </c>
      <c r="F6">
        <v>0.7</v>
      </c>
      <c r="G6">
        <v>30</v>
      </c>
      <c r="H6">
        <v>9.4</v>
      </c>
      <c r="I6">
        <v>0.4</v>
      </c>
      <c r="J6">
        <v>0.11</v>
      </c>
      <c r="K6">
        <v>0.69</v>
      </c>
      <c r="L6">
        <f t="shared" si="2"/>
        <v>0.14795918367346939</v>
      </c>
      <c r="M6">
        <f t="shared" si="3"/>
        <v>0.58652867469363945</v>
      </c>
      <c r="N6">
        <f t="shared" si="4"/>
        <v>0.68197859245147963</v>
      </c>
      <c r="O6">
        <f t="shared" si="0"/>
        <v>0.98765432098765427</v>
      </c>
      <c r="P6">
        <f t="shared" si="1"/>
        <v>0.67355910365578231</v>
      </c>
      <c r="Q6">
        <f>O6*L6/M6</f>
        <v>0.24914813783185827</v>
      </c>
    </row>
    <row r="7" spans="1:17" x14ac:dyDescent="0.25">
      <c r="A7" t="s">
        <v>4</v>
      </c>
      <c r="B7">
        <v>-0.14000000000000001</v>
      </c>
      <c r="C7">
        <v>0.76</v>
      </c>
      <c r="D7">
        <v>153</v>
      </c>
      <c r="E7">
        <v>-0.16</v>
      </c>
      <c r="F7">
        <v>0.8</v>
      </c>
      <c r="G7">
        <v>154</v>
      </c>
      <c r="H7">
        <v>20.7</v>
      </c>
      <c r="I7">
        <v>-0.02</v>
      </c>
      <c r="J7">
        <v>-0.19</v>
      </c>
      <c r="K7">
        <v>0.15</v>
      </c>
      <c r="L7">
        <f t="shared" si="2"/>
        <v>8.673469387755102E-2</v>
      </c>
      <c r="M7">
        <f t="shared" si="3"/>
        <v>0.75985327232968369</v>
      </c>
      <c r="N7">
        <f t="shared" si="4"/>
        <v>-2.6320871052750352E-2</v>
      </c>
      <c r="O7">
        <f t="shared" si="0"/>
        <v>0.99753896636587369</v>
      </c>
      <c r="P7">
        <f t="shared" si="1"/>
        <v>-2.6256094503810033E-2</v>
      </c>
      <c r="Q7">
        <f>O7*L7/M7</f>
        <v>0.11386571596040064</v>
      </c>
    </row>
    <row r="8" spans="1:17" x14ac:dyDescent="0.25">
      <c r="A8" t="s">
        <v>5</v>
      </c>
      <c r="B8">
        <v>-0.33</v>
      </c>
      <c r="C8">
        <v>0.67</v>
      </c>
      <c r="D8">
        <v>70</v>
      </c>
      <c r="E8">
        <v>-0.17</v>
      </c>
      <c r="F8">
        <v>0.52</v>
      </c>
      <c r="G8">
        <v>64</v>
      </c>
      <c r="H8">
        <v>16.7</v>
      </c>
      <c r="I8">
        <v>0.16</v>
      </c>
      <c r="J8">
        <v>-0.04</v>
      </c>
      <c r="K8">
        <v>0.36</v>
      </c>
      <c r="L8">
        <f t="shared" si="2"/>
        <v>0.1020408163265306</v>
      </c>
      <c r="M8">
        <f t="shared" si="3"/>
        <v>0.59001157540314353</v>
      </c>
      <c r="N8">
        <f t="shared" si="4"/>
        <v>0.27118112028679281</v>
      </c>
      <c r="O8">
        <f t="shared" si="0"/>
        <v>0.9943074003795066</v>
      </c>
      <c r="P8">
        <f t="shared" si="1"/>
        <v>0.26963739474436321</v>
      </c>
      <c r="Q8">
        <f>O8*L8/M8</f>
        <v>0.17196262419921124</v>
      </c>
    </row>
    <row r="9" spans="1:17" x14ac:dyDescent="0.25">
      <c r="A9" t="s">
        <v>6</v>
      </c>
      <c r="B9">
        <v>-0.28999999999999998</v>
      </c>
      <c r="C9">
        <v>1.1499999999999999</v>
      </c>
      <c r="D9">
        <v>67</v>
      </c>
      <c r="E9">
        <v>-0.15</v>
      </c>
      <c r="F9">
        <v>1</v>
      </c>
      <c r="G9">
        <v>71</v>
      </c>
      <c r="H9">
        <v>6.2</v>
      </c>
      <c r="I9">
        <v>0.14000000000000001</v>
      </c>
      <c r="J9">
        <v>-0.22</v>
      </c>
      <c r="K9">
        <v>0.5</v>
      </c>
      <c r="L9">
        <f t="shared" si="2"/>
        <v>0.18367346938775511</v>
      </c>
      <c r="M9">
        <f t="shared" si="3"/>
        <v>1.0783840653420322</v>
      </c>
      <c r="N9">
        <f t="shared" si="4"/>
        <v>0.12982387676100912</v>
      </c>
      <c r="O9">
        <f t="shared" si="0"/>
        <v>0.99447513812154698</v>
      </c>
      <c r="P9">
        <f t="shared" si="1"/>
        <v>0.12910661777337923</v>
      </c>
      <c r="Q9">
        <f>O9*L9/M9</f>
        <v>0.16938186005253836</v>
      </c>
    </row>
    <row r="10" spans="1:17" x14ac:dyDescent="0.25">
      <c r="A10" t="s">
        <v>7</v>
      </c>
      <c r="B10">
        <v>-0.2</v>
      </c>
      <c r="C10">
        <v>0.7</v>
      </c>
      <c r="D10">
        <v>17</v>
      </c>
      <c r="E10">
        <v>0.1</v>
      </c>
      <c r="F10">
        <v>0.9</v>
      </c>
      <c r="G10">
        <v>18</v>
      </c>
      <c r="H10">
        <v>3</v>
      </c>
      <c r="I10">
        <v>0.3</v>
      </c>
      <c r="J10">
        <v>-0.23</v>
      </c>
      <c r="K10">
        <v>0.83</v>
      </c>
      <c r="L10">
        <f t="shared" si="2"/>
        <v>0.27040816326530615</v>
      </c>
      <c r="M10">
        <f t="shared" si="3"/>
        <v>0.79955158641253488</v>
      </c>
      <c r="N10">
        <f t="shared" si="4"/>
        <v>0.37521031175243352</v>
      </c>
      <c r="O10">
        <f t="shared" si="0"/>
        <v>0.97709923664122134</v>
      </c>
      <c r="P10">
        <f t="shared" si="1"/>
        <v>0.36661770919321746</v>
      </c>
      <c r="Q10">
        <f>O10*L10/M10</f>
        <v>0.33045473787824031</v>
      </c>
    </row>
    <row r="11" spans="1:17" x14ac:dyDescent="0.25">
      <c r="A11" t="s">
        <v>8</v>
      </c>
      <c r="B11">
        <v>-0.47</v>
      </c>
      <c r="C11">
        <v>0.69</v>
      </c>
      <c r="D11">
        <v>24</v>
      </c>
      <c r="E11">
        <v>-0.31</v>
      </c>
      <c r="F11">
        <v>0.56000000000000005</v>
      </c>
      <c r="G11">
        <v>24</v>
      </c>
      <c r="H11">
        <v>6.4</v>
      </c>
      <c r="I11">
        <v>0.16</v>
      </c>
      <c r="J11">
        <v>-0.2</v>
      </c>
      <c r="K11">
        <v>0.52</v>
      </c>
      <c r="L11">
        <f t="shared" si="2"/>
        <v>0.18367346938775511</v>
      </c>
      <c r="M11">
        <f t="shared" si="3"/>
        <v>0.63626356196407741</v>
      </c>
      <c r="N11">
        <f t="shared" si="4"/>
        <v>0.25146811724703699</v>
      </c>
      <c r="O11">
        <f t="shared" si="0"/>
        <v>0.98360655737704916</v>
      </c>
      <c r="P11">
        <f t="shared" si="1"/>
        <v>0.24734568909544621</v>
      </c>
      <c r="Q11">
        <f>O11*L11/M11</f>
        <v>0.28394275533916019</v>
      </c>
    </row>
    <row r="12" spans="1:17" x14ac:dyDescent="0.25">
      <c r="A12" t="s">
        <v>9</v>
      </c>
      <c r="B12">
        <v>-0.25</v>
      </c>
      <c r="C12">
        <v>0.96</v>
      </c>
      <c r="D12">
        <v>81</v>
      </c>
      <c r="E12">
        <v>-0.03</v>
      </c>
      <c r="F12">
        <v>0.9</v>
      </c>
      <c r="G12">
        <v>90</v>
      </c>
      <c r="H12">
        <v>9.8000000000000007</v>
      </c>
      <c r="I12">
        <v>0.22</v>
      </c>
      <c r="J12">
        <v>-0.06</v>
      </c>
      <c r="K12">
        <v>0.5</v>
      </c>
      <c r="L12">
        <f t="shared" si="2"/>
        <v>0.14285714285714288</v>
      </c>
      <c r="M12">
        <f t="shared" si="3"/>
        <v>0.93275517871287228</v>
      </c>
      <c r="N12">
        <f t="shared" si="4"/>
        <v>0.2358603897579882</v>
      </c>
      <c r="O12">
        <f t="shared" si="0"/>
        <v>0.99555555555555553</v>
      </c>
      <c r="P12">
        <f t="shared" si="1"/>
        <v>0.23481212135906379</v>
      </c>
      <c r="Q12">
        <f>O12*L12/M12</f>
        <v>0.15247540347991159</v>
      </c>
    </row>
    <row r="13" spans="1:17" x14ac:dyDescent="0.25">
      <c r="A13" t="s">
        <v>10</v>
      </c>
      <c r="B13">
        <v>-0.66</v>
      </c>
      <c r="C13">
        <v>1.79</v>
      </c>
      <c r="D13">
        <v>44</v>
      </c>
      <c r="E13">
        <v>0.05</v>
      </c>
      <c r="F13">
        <v>0.96</v>
      </c>
      <c r="G13">
        <v>43</v>
      </c>
      <c r="H13">
        <v>2.4</v>
      </c>
      <c r="I13">
        <v>0.71</v>
      </c>
      <c r="J13">
        <v>0.11</v>
      </c>
      <c r="K13">
        <v>1.31</v>
      </c>
      <c r="L13">
        <f t="shared" si="2"/>
        <v>0.30612244897959184</v>
      </c>
      <c r="M13">
        <f t="shared" si="3"/>
        <v>1.4275657463428977</v>
      </c>
      <c r="N13">
        <f t="shared" si="4"/>
        <v>0.49735012332627077</v>
      </c>
      <c r="O13">
        <f t="shared" si="0"/>
        <v>0.99115044247787609</v>
      </c>
      <c r="P13">
        <f t="shared" si="1"/>
        <v>0.49294879480125953</v>
      </c>
      <c r="Q13">
        <f>O13*L13/M13</f>
        <v>0.21253900321985897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2025-12-28T21:02:20Z</dcterms:modified>
</cp:coreProperties>
</file>