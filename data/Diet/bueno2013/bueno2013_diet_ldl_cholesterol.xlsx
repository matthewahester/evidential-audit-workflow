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My Drive School\Nutrition Publication Bias\nutrition_publication_bias\data\Diet\bueno2013\"/>
    </mc:Choice>
  </mc:AlternateContent>
  <xr:revisionPtr revIDLastSave="0" documentId="13_ncr:1_{BC89EBF1-4B47-49B1-BE73-950C457ED805}" xr6:coauthVersionLast="47" xr6:coauthVersionMax="47" xr10:uidLastSave="{00000000-0000-0000-0000-000000000000}"/>
  <bookViews>
    <workbookView xWindow="38280" yWindow="2820" windowWidth="29040" windowHeight="164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2" i="1"/>
  <c r="Q3" i="1"/>
  <c r="Q4" i="1"/>
  <c r="Q5" i="1"/>
  <c r="Q6" i="1"/>
  <c r="Q7" i="1"/>
  <c r="Q8" i="1"/>
  <c r="Q9" i="1"/>
  <c r="Q10" i="1"/>
  <c r="Q11" i="1"/>
  <c r="Q12" i="1"/>
  <c r="Q13" i="1"/>
  <c r="Q2" i="1"/>
  <c r="O2" i="1"/>
  <c r="N2" i="1"/>
  <c r="M2" i="1"/>
  <c r="M3" i="1"/>
  <c r="M4" i="1"/>
  <c r="M5" i="1"/>
  <c r="M6" i="1"/>
  <c r="M7" i="1"/>
  <c r="M8" i="1"/>
  <c r="N8" i="1" s="1"/>
  <c r="M9" i="1"/>
  <c r="M10" i="1"/>
  <c r="N10" i="1" s="1"/>
  <c r="M11" i="1"/>
  <c r="M12" i="1"/>
  <c r="O12" i="1" s="1"/>
  <c r="M13" i="1"/>
  <c r="N4" i="1"/>
  <c r="L3" i="1"/>
  <c r="N3" i="1" s="1"/>
  <c r="L4" i="1"/>
  <c r="L5" i="1"/>
  <c r="N5" i="1" s="1"/>
  <c r="L6" i="1"/>
  <c r="N6" i="1"/>
  <c r="L7" i="1"/>
  <c r="L8" i="1"/>
  <c r="L9" i="1"/>
  <c r="L10" i="1"/>
  <c r="O10" i="1"/>
  <c r="L11" i="1"/>
  <c r="L12" i="1"/>
  <c r="L13" i="1"/>
  <c r="L2" i="1"/>
  <c r="N9" i="1" l="1"/>
  <c r="O4" i="1"/>
  <c r="N12" i="1"/>
  <c r="N13" i="1"/>
  <c r="N11" i="1"/>
  <c r="N7" i="1"/>
  <c r="O8" i="1"/>
  <c r="O6" i="1"/>
  <c r="O13" i="1"/>
  <c r="O11" i="1"/>
  <c r="O9" i="1"/>
  <c r="O7" i="1"/>
  <c r="O5" i="1"/>
  <c r="O3" i="1"/>
</calcChain>
</file>

<file path=xl/sharedStrings.xml><?xml version="1.0" encoding="utf-8"?>
<sst xmlns="http://schemas.openxmlformats.org/spreadsheetml/2006/main" count="29" uniqueCount="28">
  <si>
    <t>Brinkworth</t>
  </si>
  <si>
    <t>Dansinger</t>
  </si>
  <si>
    <t>Davis</t>
  </si>
  <si>
    <t>Dyson</t>
  </si>
  <si>
    <t>Foster</t>
  </si>
  <si>
    <t>Gardner</t>
  </si>
  <si>
    <t>Iqbal</t>
  </si>
  <si>
    <t>Lim</t>
  </si>
  <si>
    <t>McAuley</t>
  </si>
  <si>
    <t>Shai</t>
  </si>
  <si>
    <t>Stern</t>
  </si>
  <si>
    <t>Author</t>
  </si>
  <si>
    <t>LC_mean</t>
  </si>
  <si>
    <t>LC_sd</t>
  </si>
  <si>
    <t>n_LC</t>
  </si>
  <si>
    <t>LF_mean</t>
  </si>
  <si>
    <t>LF_sd</t>
  </si>
  <si>
    <t>n_LF</t>
  </si>
  <si>
    <t>weight</t>
  </si>
  <si>
    <t>md</t>
  </si>
  <si>
    <t>md_lCI</t>
  </si>
  <si>
    <t>md_uCI</t>
  </si>
  <si>
    <t>md_se</t>
  </si>
  <si>
    <t>pooled_sd</t>
  </si>
  <si>
    <t>d</t>
  </si>
  <si>
    <t>J</t>
  </si>
  <si>
    <t>g</t>
  </si>
  <si>
    <t>se_g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</si>
</sst>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"/>
  <sheetViews>
    <sheetView tabSelected="1" workbookViewId="0">
      <selection activeCell="O6" sqref="O6"/>
    </sheetView>
  </sheetViews>
  <sheetFormatPr defaultRowHeight="15" x14ac:dyDescent="0.25"/>
  <sheetData>
    <row r="1" spans="1:1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  <c r="M1" t="s">
        <v>23</v>
      </c>
      <c r="N1" t="s">
        <v>24</v>
      </c>
      <c r="O1" t="s">
        <v>25</v>
      </c>
      <c r="P1" t="s">
        <v>26</v>
      </c>
      <c r="Q1" t="s">
        <v>27</v>
      </c>
    </row>
    <row r="2" spans="1:17" x14ac:dyDescent="0.25">
      <c r="A2" t="s">
        <v>0</v>
      </c>
      <c r="B2">
        <v>0.6</v>
      </c>
      <c r="C2">
        <v>1.1499999999999999</v>
      </c>
      <c r="D2">
        <v>33</v>
      </c>
      <c r="E2">
        <v>0.1</v>
      </c>
      <c r="F2">
        <v>0.6</v>
      </c>
      <c r="G2">
        <v>36</v>
      </c>
      <c r="H2">
        <v>3.1</v>
      </c>
      <c r="I2">
        <v>0.5</v>
      </c>
      <c r="J2">
        <v>0.06</v>
      </c>
      <c r="K2">
        <v>0.94</v>
      </c>
      <c r="L2">
        <f>(K2-J2)/2/1.96</f>
        <v>0.22448979591836732</v>
      </c>
      <c r="M2">
        <f>L2/SQRT(1/D2+1/G2)</f>
        <v>0.93149446810890246</v>
      </c>
      <c r="N2">
        <f>I2/M2</f>
        <v>0.53677184043302795</v>
      </c>
      <c r="O2">
        <f>1-3/(4*(D2+G2-2)-1)</f>
        <v>0.9887640449438202</v>
      </c>
      <c r="P2">
        <f>O2*N2</f>
        <v>0.5307406961584995</v>
      </c>
      <c r="Q2">
        <f>O2*L2/M2</f>
        <v>0.23829174113238752</v>
      </c>
    </row>
    <row r="3" spans="1:17" x14ac:dyDescent="0.25">
      <c r="A3" t="s">
        <v>1</v>
      </c>
      <c r="B3">
        <v>-0.18</v>
      </c>
      <c r="C3">
        <v>0.62</v>
      </c>
      <c r="D3">
        <v>40</v>
      </c>
      <c r="E3">
        <v>-0.33</v>
      </c>
      <c r="F3">
        <v>0.49</v>
      </c>
      <c r="G3">
        <v>40</v>
      </c>
      <c r="H3">
        <v>10.1</v>
      </c>
      <c r="I3">
        <v>0.15</v>
      </c>
      <c r="J3">
        <v>-0.09</v>
      </c>
      <c r="K3">
        <v>0.39</v>
      </c>
      <c r="L3">
        <f t="shared" ref="L3:L13" si="0">(K3-J3)/2/1.96</f>
        <v>0.12244897959183673</v>
      </c>
      <c r="M3">
        <f t="shared" ref="M3:M13" si="1">L3/SQRT(1/D3+1/G3)</f>
        <v>0.54760848428566278</v>
      </c>
      <c r="N3">
        <f t="shared" ref="N3:N13" si="2">I3/M3</f>
        <v>0.27391832724372422</v>
      </c>
      <c r="O3">
        <f t="shared" ref="O3:O13" si="3">L3/M3</f>
        <v>0.22360679774997896</v>
      </c>
      <c r="P3">
        <f t="shared" ref="P3:P13" si="4">O3*N3</f>
        <v>6.1249999999999999E-2</v>
      </c>
      <c r="Q3">
        <f t="shared" ref="Q3:Q13" si="5">O3*L3/M3</f>
        <v>4.9999999999999996E-2</v>
      </c>
    </row>
    <row r="4" spans="1:17" x14ac:dyDescent="0.25">
      <c r="A4" t="s">
        <v>2</v>
      </c>
      <c r="B4">
        <v>-0.04</v>
      </c>
      <c r="C4">
        <v>0.63</v>
      </c>
      <c r="D4">
        <v>55</v>
      </c>
      <c r="E4">
        <v>-0.13</v>
      </c>
      <c r="F4">
        <v>0.66</v>
      </c>
      <c r="G4">
        <v>50</v>
      </c>
      <c r="H4">
        <v>9.9</v>
      </c>
      <c r="I4">
        <v>0.14000000000000001</v>
      </c>
      <c r="J4">
        <v>-0.11</v>
      </c>
      <c r="K4">
        <v>0.39</v>
      </c>
      <c r="L4">
        <f t="shared" si="0"/>
        <v>0.12755102040816327</v>
      </c>
      <c r="M4">
        <f t="shared" si="1"/>
        <v>0.65276315780504979</v>
      </c>
      <c r="N4">
        <f t="shared" si="2"/>
        <v>0.21447288856000593</v>
      </c>
      <c r="O4">
        <f t="shared" si="3"/>
        <v>0.19540168418367887</v>
      </c>
      <c r="P4">
        <f t="shared" si="4"/>
        <v>4.1908363636363632E-2</v>
      </c>
      <c r="Q4">
        <f t="shared" si="5"/>
        <v>3.8181818181818178E-2</v>
      </c>
    </row>
    <row r="5" spans="1:17" x14ac:dyDescent="0.25">
      <c r="A5" t="s">
        <v>3</v>
      </c>
      <c r="B5">
        <v>0</v>
      </c>
      <c r="C5">
        <v>0.51</v>
      </c>
      <c r="D5">
        <v>10</v>
      </c>
      <c r="E5">
        <v>-0.4</v>
      </c>
      <c r="F5">
        <v>0.77</v>
      </c>
      <c r="G5">
        <v>11</v>
      </c>
      <c r="H5">
        <v>2</v>
      </c>
      <c r="I5">
        <v>0.4</v>
      </c>
      <c r="J5">
        <v>-0.15</v>
      </c>
      <c r="K5">
        <v>0.95</v>
      </c>
      <c r="L5">
        <f t="shared" si="0"/>
        <v>0.28061224489795916</v>
      </c>
      <c r="M5">
        <f t="shared" si="1"/>
        <v>0.6422340293861859</v>
      </c>
      <c r="N5">
        <f t="shared" si="2"/>
        <v>0.62282591967650691</v>
      </c>
      <c r="O5">
        <f t="shared" si="3"/>
        <v>0.4369314487526515</v>
      </c>
      <c r="P5">
        <f t="shared" si="4"/>
        <v>0.27213223140495874</v>
      </c>
      <c r="Q5">
        <f t="shared" si="5"/>
        <v>0.19090909090909092</v>
      </c>
    </row>
    <row r="6" spans="1:17" x14ac:dyDescent="0.25">
      <c r="A6" t="s">
        <v>4</v>
      </c>
      <c r="B6">
        <v>0.02</v>
      </c>
      <c r="C6">
        <v>0.7</v>
      </c>
      <c r="D6">
        <v>33</v>
      </c>
      <c r="E6">
        <v>-0.18</v>
      </c>
      <c r="F6">
        <v>0.49</v>
      </c>
      <c r="G6">
        <v>30</v>
      </c>
      <c r="H6">
        <v>6.9</v>
      </c>
      <c r="I6">
        <v>0.2</v>
      </c>
      <c r="J6">
        <v>-0.1</v>
      </c>
      <c r="K6">
        <v>0.5</v>
      </c>
      <c r="L6">
        <f t="shared" si="0"/>
        <v>0.15306122448979592</v>
      </c>
      <c r="M6">
        <f t="shared" si="1"/>
        <v>0.60675380140721324</v>
      </c>
      <c r="N6">
        <f t="shared" si="2"/>
        <v>0.32962298635154846</v>
      </c>
      <c r="O6">
        <f t="shared" si="3"/>
        <v>0.2522624895547565</v>
      </c>
      <c r="P6">
        <f t="shared" si="4"/>
        <v>8.3151515151515143E-2</v>
      </c>
      <c r="Q6">
        <f t="shared" si="5"/>
        <v>6.3636363636363616E-2</v>
      </c>
    </row>
    <row r="7" spans="1:17" x14ac:dyDescent="0.25">
      <c r="A7" t="s">
        <v>4</v>
      </c>
      <c r="B7">
        <v>-0.12</v>
      </c>
      <c r="C7">
        <v>0.72</v>
      </c>
      <c r="D7">
        <v>153</v>
      </c>
      <c r="E7">
        <v>-0.21</v>
      </c>
      <c r="F7">
        <v>0.56000000000000005</v>
      </c>
      <c r="G7">
        <v>154</v>
      </c>
      <c r="H7">
        <v>29</v>
      </c>
      <c r="I7">
        <v>0.09</v>
      </c>
      <c r="J7">
        <v>-0.05</v>
      </c>
      <c r="K7">
        <v>0.23</v>
      </c>
      <c r="L7">
        <f t="shared" si="0"/>
        <v>7.1428571428571438E-2</v>
      </c>
      <c r="M7">
        <f t="shared" si="1"/>
        <v>0.62576151838915139</v>
      </c>
      <c r="N7">
        <f t="shared" si="2"/>
        <v>0.14382475968110009</v>
      </c>
      <c r="O7">
        <f t="shared" si="3"/>
        <v>0.11414663466753978</v>
      </c>
      <c r="P7">
        <f t="shared" si="4"/>
        <v>1.6417112299465238E-2</v>
      </c>
      <c r="Q7">
        <f t="shared" si="5"/>
        <v>1.3029454205924794E-2</v>
      </c>
    </row>
    <row r="8" spans="1:17" x14ac:dyDescent="0.25">
      <c r="A8" t="s">
        <v>5</v>
      </c>
      <c r="B8">
        <v>0.02</v>
      </c>
      <c r="C8">
        <v>0.59</v>
      </c>
      <c r="D8">
        <v>70</v>
      </c>
      <c r="E8">
        <v>-0.1</v>
      </c>
      <c r="F8">
        <v>0.49</v>
      </c>
      <c r="G8">
        <v>64</v>
      </c>
      <c r="H8">
        <v>18</v>
      </c>
      <c r="I8">
        <v>0.12</v>
      </c>
      <c r="J8">
        <v>-0.06</v>
      </c>
      <c r="K8">
        <v>0.3</v>
      </c>
      <c r="L8">
        <f t="shared" si="0"/>
        <v>9.1836734693877556E-2</v>
      </c>
      <c r="M8">
        <f t="shared" si="1"/>
        <v>0.53101041786282921</v>
      </c>
      <c r="N8">
        <f t="shared" si="2"/>
        <v>0.22598426690566067</v>
      </c>
      <c r="O8">
        <f t="shared" si="3"/>
        <v>0.17294714304004644</v>
      </c>
      <c r="P8">
        <f t="shared" si="4"/>
        <v>3.9083333333333331E-2</v>
      </c>
      <c r="Q8">
        <f t="shared" si="5"/>
        <v>2.991071428571428E-2</v>
      </c>
    </row>
    <row r="9" spans="1:17" x14ac:dyDescent="0.25">
      <c r="A9" t="s">
        <v>6</v>
      </c>
      <c r="B9">
        <v>-0.21</v>
      </c>
      <c r="C9">
        <v>1.29</v>
      </c>
      <c r="D9">
        <v>67</v>
      </c>
      <c r="E9">
        <v>-0.16</v>
      </c>
      <c r="F9">
        <v>1.2</v>
      </c>
      <c r="G9">
        <v>71</v>
      </c>
      <c r="H9">
        <v>3.5</v>
      </c>
      <c r="I9">
        <v>-0.05</v>
      </c>
      <c r="J9">
        <v>-0.47</v>
      </c>
      <c r="K9">
        <v>0.37</v>
      </c>
      <c r="L9">
        <f t="shared" si="0"/>
        <v>0.21428571428571427</v>
      </c>
      <c r="M9">
        <f t="shared" si="1"/>
        <v>1.2581147428990374</v>
      </c>
      <c r="N9">
        <f t="shared" si="2"/>
        <v>-3.9742003090104845E-2</v>
      </c>
      <c r="O9">
        <f t="shared" si="3"/>
        <v>0.17032287038616359</v>
      </c>
      <c r="P9">
        <f t="shared" si="4"/>
        <v>-6.7689720412024406E-3</v>
      </c>
      <c r="Q9">
        <f t="shared" si="5"/>
        <v>2.9009880176581883E-2</v>
      </c>
    </row>
    <row r="10" spans="1:17" x14ac:dyDescent="0.25">
      <c r="A10" t="s">
        <v>7</v>
      </c>
      <c r="B10">
        <v>-0.3</v>
      </c>
      <c r="C10">
        <v>0.7</v>
      </c>
      <c r="D10">
        <v>17</v>
      </c>
      <c r="E10">
        <v>-0.3</v>
      </c>
      <c r="F10">
        <v>0.7</v>
      </c>
      <c r="G10">
        <v>18</v>
      </c>
      <c r="H10">
        <v>2.8</v>
      </c>
      <c r="I10">
        <v>0</v>
      </c>
      <c r="J10">
        <v>-0.46</v>
      </c>
      <c r="K10">
        <v>0.46</v>
      </c>
      <c r="L10">
        <f t="shared" si="0"/>
        <v>0.23469387755102042</v>
      </c>
      <c r="M10">
        <f t="shared" si="1"/>
        <v>0.69395043349012453</v>
      </c>
      <c r="N10">
        <f t="shared" si="2"/>
        <v>0</v>
      </c>
      <c r="O10">
        <f t="shared" si="3"/>
        <v>0.33819977079726155</v>
      </c>
      <c r="P10">
        <f t="shared" si="4"/>
        <v>0</v>
      </c>
      <c r="Q10">
        <f t="shared" si="5"/>
        <v>0.11437908496732026</v>
      </c>
    </row>
    <row r="11" spans="1:17" x14ac:dyDescent="0.25">
      <c r="A11" t="s">
        <v>8</v>
      </c>
      <c r="B11">
        <v>-0.1</v>
      </c>
      <c r="C11">
        <v>1.07</v>
      </c>
      <c r="D11">
        <v>24</v>
      </c>
      <c r="E11">
        <v>-0.1</v>
      </c>
      <c r="F11">
        <v>0.57999999999999996</v>
      </c>
      <c r="G11">
        <v>24</v>
      </c>
      <c r="H11">
        <v>2.6</v>
      </c>
      <c r="I11">
        <v>0</v>
      </c>
      <c r="J11">
        <v>-0.48</v>
      </c>
      <c r="K11">
        <v>0.48</v>
      </c>
      <c r="L11">
        <f t="shared" si="0"/>
        <v>0.24489795918367346</v>
      </c>
      <c r="M11">
        <f t="shared" si="1"/>
        <v>0.84835141595210317</v>
      </c>
      <c r="N11">
        <f t="shared" si="2"/>
        <v>0</v>
      </c>
      <c r="O11">
        <f t="shared" si="3"/>
        <v>0.28867513459481287</v>
      </c>
      <c r="P11">
        <f t="shared" si="4"/>
        <v>0</v>
      </c>
      <c r="Q11">
        <f t="shared" si="5"/>
        <v>8.3333333333333329E-2</v>
      </c>
    </row>
    <row r="12" spans="1:17" x14ac:dyDescent="0.25">
      <c r="A12" t="s">
        <v>9</v>
      </c>
      <c r="B12">
        <v>-0.08</v>
      </c>
      <c r="C12">
        <v>1.02</v>
      </c>
      <c r="D12">
        <v>81</v>
      </c>
      <c r="E12">
        <v>0</v>
      </c>
      <c r="F12">
        <v>0.89</v>
      </c>
      <c r="G12">
        <v>90</v>
      </c>
      <c r="H12">
        <v>7.3</v>
      </c>
      <c r="I12">
        <v>-0.08</v>
      </c>
      <c r="J12">
        <v>-0.37</v>
      </c>
      <c r="K12">
        <v>0.21</v>
      </c>
      <c r="L12">
        <f t="shared" si="0"/>
        <v>0.14795918367346939</v>
      </c>
      <c r="M12">
        <f t="shared" si="1"/>
        <v>0.96606786366690334</v>
      </c>
      <c r="N12">
        <f t="shared" si="2"/>
        <v>-8.2809917407193359E-2</v>
      </c>
      <c r="O12">
        <f t="shared" si="3"/>
        <v>0.1531560972454469</v>
      </c>
      <c r="P12">
        <f t="shared" si="4"/>
        <v>-1.2682843763303532E-2</v>
      </c>
      <c r="Q12">
        <f t="shared" si="5"/>
        <v>2.3456790123456788E-2</v>
      </c>
    </row>
    <row r="13" spans="1:17" x14ac:dyDescent="0.25">
      <c r="A13" t="s">
        <v>10</v>
      </c>
      <c r="B13">
        <v>0.18</v>
      </c>
      <c r="C13">
        <v>0.91</v>
      </c>
      <c r="D13">
        <v>42</v>
      </c>
      <c r="E13">
        <v>-0.1</v>
      </c>
      <c r="F13">
        <v>0.75</v>
      </c>
      <c r="G13">
        <v>43</v>
      </c>
      <c r="H13">
        <v>4.8</v>
      </c>
      <c r="I13">
        <v>0.28000000000000003</v>
      </c>
      <c r="J13">
        <v>-7.0000000000000007E-2</v>
      </c>
      <c r="K13">
        <v>0.63</v>
      </c>
      <c r="L13">
        <f t="shared" si="0"/>
        <v>0.17857142857142858</v>
      </c>
      <c r="M13">
        <f t="shared" si="1"/>
        <v>0.82311664325498934</v>
      </c>
      <c r="N13">
        <f t="shared" si="2"/>
        <v>0.34017049988534875</v>
      </c>
      <c r="O13">
        <f t="shared" si="3"/>
        <v>0.2169454718656561</v>
      </c>
      <c r="P13">
        <f t="shared" si="4"/>
        <v>7.3798449612403103E-2</v>
      </c>
      <c r="Q13">
        <f t="shared" si="5"/>
        <v>4.706533776301218E-2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Hester</dc:creator>
  <cp:lastModifiedBy>Matt Hester</cp:lastModifiedBy>
  <dcterms:created xsi:type="dcterms:W3CDTF">2015-06-05T18:17:20Z</dcterms:created>
  <dcterms:modified xsi:type="dcterms:W3CDTF">2025-12-29T14:19:27Z</dcterms:modified>
</cp:coreProperties>
</file>