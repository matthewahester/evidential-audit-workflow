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laviadamolina2020\"/>
    </mc:Choice>
  </mc:AlternateContent>
  <xr:revisionPtr revIDLastSave="0" documentId="13_ncr:1_{27B08276-7B10-447D-B688-4BF962DC045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  <sheet name="exc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 l="1"/>
  <c r="N11" i="2"/>
  <c r="O11" i="2" s="1"/>
  <c r="M9" i="2"/>
  <c r="N9" i="2"/>
  <c r="O9" i="2" s="1"/>
  <c r="M10" i="2"/>
  <c r="N10" i="2"/>
  <c r="O10" i="2"/>
  <c r="P10" i="2"/>
  <c r="N8" i="2"/>
  <c r="M8" i="2"/>
  <c r="N7" i="2"/>
  <c r="M7" i="2"/>
  <c r="N6" i="2"/>
  <c r="M6" i="2"/>
  <c r="N5" i="2"/>
  <c r="M5" i="2"/>
  <c r="N4" i="2"/>
  <c r="M4" i="2"/>
  <c r="N3" i="2"/>
  <c r="M3" i="2"/>
  <c r="N2" i="2"/>
  <c r="O2" i="2" s="1"/>
  <c r="M2" i="2"/>
  <c r="N1" i="2"/>
  <c r="M1" i="2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N19" i="1"/>
  <c r="N20" i="1"/>
  <c r="O20" i="1" s="1"/>
  <c r="N21" i="1"/>
  <c r="O21" i="1" s="1"/>
  <c r="N2" i="1"/>
  <c r="O2" i="1" s="1"/>
  <c r="P11" i="2" l="1"/>
  <c r="P8" i="2"/>
  <c r="P3" i="2"/>
  <c r="P9" i="2"/>
  <c r="P1" i="2"/>
  <c r="P6" i="2"/>
  <c r="P7" i="2"/>
  <c r="O8" i="2"/>
  <c r="P4" i="2"/>
  <c r="P5" i="2"/>
  <c r="O6" i="2"/>
  <c r="O7" i="2"/>
  <c r="O5" i="2"/>
  <c r="P2" i="2"/>
  <c r="O3" i="2"/>
  <c r="O4" i="2"/>
  <c r="O19" i="1"/>
  <c r="O18" i="1"/>
  <c r="O1" i="2"/>
  <c r="M3" i="1" l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" i="1"/>
  <c r="P2" i="1" s="1"/>
</calcChain>
</file>

<file path=xl/sharedStrings.xml><?xml version="1.0" encoding="utf-8"?>
<sst xmlns="http://schemas.openxmlformats.org/spreadsheetml/2006/main" count="64" uniqueCount="47">
  <si>
    <t>Frey</t>
  </si>
  <si>
    <t>Knopp</t>
  </si>
  <si>
    <t>Kanders</t>
  </si>
  <si>
    <t>Blackburn</t>
  </si>
  <si>
    <t>Raben</t>
  </si>
  <si>
    <t>Ebbeling</t>
  </si>
  <si>
    <t>Reid</t>
  </si>
  <si>
    <t>Maki</t>
  </si>
  <si>
    <t>Maersk</t>
  </si>
  <si>
    <t>Tate</t>
  </si>
  <si>
    <t>Koyuncu</t>
  </si>
  <si>
    <t>Campos</t>
  </si>
  <si>
    <t>Peters</t>
  </si>
  <si>
    <t>Madjd</t>
  </si>
  <si>
    <t>Higgins</t>
  </si>
  <si>
    <t>DeRuyter</t>
  </si>
  <si>
    <t>2-3 years old</t>
  </si>
  <si>
    <t>4-6 years old</t>
  </si>
  <si>
    <t>7-9 years old</t>
  </si>
  <si>
    <t>10-12 years old</t>
  </si>
  <si>
    <t>13-21 years old</t>
  </si>
  <si>
    <t>F</t>
  </si>
  <si>
    <t>M</t>
  </si>
  <si>
    <t>Sucrose</t>
  </si>
  <si>
    <t>Water</t>
  </si>
  <si>
    <t>High dose Aspartame</t>
  </si>
  <si>
    <t>Low dose Aspartame</t>
  </si>
  <si>
    <t>Sucrose vs. RebA</t>
  </si>
  <si>
    <t>Sucrose vs. Saccharin</t>
  </si>
  <si>
    <t>Sucrose vs. Sucralose</t>
  </si>
  <si>
    <t>Sucrose vs. Aspartame</t>
  </si>
  <si>
    <t>group</t>
  </si>
  <si>
    <t>Year</t>
  </si>
  <si>
    <t>Author</t>
  </si>
  <si>
    <t>n_treat</t>
  </si>
  <si>
    <t>mean_treat</t>
  </si>
  <si>
    <t>sd_treat</t>
  </si>
  <si>
    <t>n_control</t>
  </si>
  <si>
    <t>mean_control</t>
  </si>
  <si>
    <t>sd_control</t>
  </si>
  <si>
    <t>d</t>
  </si>
  <si>
    <t>lCI</t>
  </si>
  <si>
    <t>uCI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</si>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</sst>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C9" sqref="C9"/>
    </sheetView>
  </sheetViews>
  <sheetFormatPr defaultRowHeight="15" x14ac:dyDescent="0.25"/>
  <cols>
    <col min="1" max="1" width="9.7109375" bestFit="1" customWidth="1"/>
    <col min="2" max="2" width="5" bestFit="1" customWidth="1"/>
    <col min="3" max="3" width="21" bestFit="1" customWidth="1"/>
    <col min="4" max="4" width="4" bestFit="1" customWidth="1"/>
    <col min="5" max="5" width="8.7109375" bestFit="1" customWidth="1"/>
    <col min="6" max="6" width="8.7109375" customWidth="1"/>
    <col min="7" max="7" width="4" bestFit="1" customWidth="1"/>
    <col min="8" max="8" width="5.7109375" bestFit="1" customWidth="1"/>
    <col min="9" max="9" width="5" bestFit="1" customWidth="1"/>
    <col min="10" max="12" width="5.7109375" bestFit="1" customWidth="1"/>
  </cols>
  <sheetData>
    <row r="1" spans="1:16" x14ac:dyDescent="0.25">
      <c r="A1" t="s">
        <v>33</v>
      </c>
      <c r="B1" t="s">
        <v>32</v>
      </c>
      <c r="C1" t="s">
        <v>31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</row>
    <row r="2" spans="1:16" x14ac:dyDescent="0.25">
      <c r="A2" t="s">
        <v>0</v>
      </c>
      <c r="B2">
        <v>1976</v>
      </c>
      <c r="C2" s="1" t="s">
        <v>16</v>
      </c>
      <c r="D2">
        <v>7</v>
      </c>
      <c r="E2">
        <v>0.2</v>
      </c>
      <c r="F2">
        <v>0.7</v>
      </c>
      <c r="G2">
        <v>6</v>
      </c>
      <c r="H2">
        <v>0.2</v>
      </c>
      <c r="I2">
        <v>1</v>
      </c>
      <c r="J2">
        <v>-0.04</v>
      </c>
      <c r="K2">
        <v>-1.1299999999999999</v>
      </c>
      <c r="L2">
        <v>1.05</v>
      </c>
      <c r="M2">
        <f>(L2-K2)/2/1.96</f>
        <v>0.55612244897959173</v>
      </c>
      <c r="N2">
        <f>1-3/(4*(G2+D2-2)-1)</f>
        <v>0.93023255813953487</v>
      </c>
      <c r="O2">
        <f>-N2*J2</f>
        <v>3.7209302325581395E-2</v>
      </c>
      <c r="P2">
        <f>N2*M2</f>
        <v>0.51732320835310863</v>
      </c>
    </row>
    <row r="3" spans="1:16" x14ac:dyDescent="0.25">
      <c r="A3" t="s">
        <v>0</v>
      </c>
      <c r="B3">
        <v>1976</v>
      </c>
      <c r="C3" s="1" t="s">
        <v>17</v>
      </c>
      <c r="D3">
        <v>11</v>
      </c>
      <c r="E3">
        <v>0.6</v>
      </c>
      <c r="F3">
        <v>1</v>
      </c>
      <c r="G3">
        <v>11</v>
      </c>
      <c r="H3">
        <v>0.6</v>
      </c>
      <c r="I3">
        <v>1.5</v>
      </c>
      <c r="J3">
        <v>-0.03</v>
      </c>
      <c r="K3">
        <v>-0.87</v>
      </c>
      <c r="L3">
        <v>0.81</v>
      </c>
      <c r="M3">
        <f>(L3-K3)/2/1.96</f>
        <v>0.4285714285714286</v>
      </c>
      <c r="N3">
        <f>1-3/(4*(G3+D3-2)-1)</f>
        <v>0.96202531645569622</v>
      </c>
      <c r="O3">
        <f>-N3*J3</f>
        <v>2.8860759493670885E-2</v>
      </c>
      <c r="P3">
        <f>N3*M3</f>
        <v>0.41229656419529842</v>
      </c>
    </row>
    <row r="4" spans="1:16" x14ac:dyDescent="0.25">
      <c r="A4" t="s">
        <v>0</v>
      </c>
      <c r="B4">
        <v>1976</v>
      </c>
      <c r="C4" s="1" t="s">
        <v>18</v>
      </c>
      <c r="D4">
        <v>11</v>
      </c>
      <c r="E4">
        <v>1.9</v>
      </c>
      <c r="F4">
        <v>2.7</v>
      </c>
      <c r="G4">
        <v>11</v>
      </c>
      <c r="H4">
        <v>1.6</v>
      </c>
      <c r="I4">
        <v>3.6</v>
      </c>
      <c r="J4">
        <v>0.1</v>
      </c>
      <c r="K4">
        <v>-0.74</v>
      </c>
      <c r="L4">
        <v>0.93</v>
      </c>
      <c r="M4">
        <f>(L4-K4)/2/1.96</f>
        <v>0.42602040816326531</v>
      </c>
      <c r="N4">
        <f>1-3/(4*(G4+D4-2)-1)</f>
        <v>0.96202531645569622</v>
      </c>
      <c r="O4">
        <f>-N4*J4</f>
        <v>-9.6202531645569633E-2</v>
      </c>
      <c r="P4">
        <f>N4*M4</f>
        <v>0.40984241797985016</v>
      </c>
    </row>
    <row r="5" spans="1:16" x14ac:dyDescent="0.25">
      <c r="A5" t="s">
        <v>0</v>
      </c>
      <c r="B5">
        <v>1976</v>
      </c>
      <c r="C5" s="1" t="s">
        <v>19</v>
      </c>
      <c r="D5">
        <v>12</v>
      </c>
      <c r="E5">
        <v>1.7</v>
      </c>
      <c r="F5">
        <v>5.3</v>
      </c>
      <c r="G5">
        <v>12</v>
      </c>
      <c r="H5">
        <v>2</v>
      </c>
      <c r="I5">
        <v>3.2</v>
      </c>
      <c r="J5">
        <v>-0.06</v>
      </c>
      <c r="K5">
        <v>-0.86</v>
      </c>
      <c r="L5">
        <v>0.74</v>
      </c>
      <c r="M5">
        <f>(L5-K5)/2/1.96</f>
        <v>0.40816326530612246</v>
      </c>
      <c r="N5">
        <f>1-3/(4*(G5+D5-2)-1)</f>
        <v>0.96551724137931039</v>
      </c>
      <c r="O5">
        <f>-N5*J5</f>
        <v>5.7931034482758624E-2</v>
      </c>
      <c r="P5">
        <f>N5*M5</f>
        <v>0.39408866995073893</v>
      </c>
    </row>
    <row r="6" spans="1:16" x14ac:dyDescent="0.25">
      <c r="A6" t="s">
        <v>0</v>
      </c>
      <c r="B6">
        <v>1976</v>
      </c>
      <c r="C6" s="1" t="s">
        <v>20</v>
      </c>
      <c r="D6">
        <v>20</v>
      </c>
      <c r="E6">
        <v>1</v>
      </c>
      <c r="F6">
        <v>1.1000000000000001</v>
      </c>
      <c r="G6">
        <v>25</v>
      </c>
      <c r="H6">
        <v>2.9</v>
      </c>
      <c r="I6">
        <v>1.1000000000000001</v>
      </c>
      <c r="J6">
        <v>-1.66</v>
      </c>
      <c r="K6">
        <v>-2.35</v>
      </c>
      <c r="L6">
        <v>-0.97</v>
      </c>
      <c r="M6">
        <f>(L6-K6)/2/1.96</f>
        <v>0.35204081632653067</v>
      </c>
      <c r="N6">
        <f>1-3/(4*(G6+D6-2)-1)</f>
        <v>0.98245614035087714</v>
      </c>
      <c r="O6">
        <f>-N6*J6</f>
        <v>1.6308771929824559</v>
      </c>
      <c r="P6">
        <f>N6*M6</f>
        <v>0.34586466165413537</v>
      </c>
    </row>
    <row r="7" spans="1:16" x14ac:dyDescent="0.25">
      <c r="A7" t="s">
        <v>3</v>
      </c>
      <c r="B7">
        <v>1997</v>
      </c>
      <c r="D7">
        <v>82</v>
      </c>
      <c r="E7">
        <v>-8.1999999999999993</v>
      </c>
      <c r="F7">
        <v>9.6999999999999993</v>
      </c>
      <c r="G7">
        <v>81</v>
      </c>
      <c r="H7">
        <v>-5.2</v>
      </c>
      <c r="I7">
        <v>8.5</v>
      </c>
      <c r="J7">
        <v>-0.33</v>
      </c>
      <c r="K7">
        <v>-0.64</v>
      </c>
      <c r="L7">
        <v>-0.02</v>
      </c>
      <c r="M7">
        <f>(L7-K7)/2/1.96</f>
        <v>0.15816326530612246</v>
      </c>
      <c r="N7">
        <f>1-3/(4*(G7+D7-2)-1)</f>
        <v>0.99533437013996895</v>
      </c>
      <c r="O7">
        <f>-N7*J7</f>
        <v>0.32846034214618974</v>
      </c>
      <c r="P7">
        <f>N7*M7</f>
        <v>0.15742533405275019</v>
      </c>
    </row>
    <row r="8" spans="1:16" x14ac:dyDescent="0.25">
      <c r="A8" t="s">
        <v>4</v>
      </c>
      <c r="B8">
        <v>2002</v>
      </c>
      <c r="D8">
        <v>20</v>
      </c>
      <c r="E8">
        <v>-1</v>
      </c>
      <c r="F8">
        <v>1.8</v>
      </c>
      <c r="G8">
        <v>21</v>
      </c>
      <c r="H8">
        <v>1.6</v>
      </c>
      <c r="I8">
        <v>1.8</v>
      </c>
      <c r="J8">
        <v>-1.41</v>
      </c>
      <c r="K8">
        <v>-2.1</v>
      </c>
      <c r="L8">
        <v>-0.72</v>
      </c>
      <c r="M8">
        <f>(L8-K8)/2/1.96</f>
        <v>0.35204081632653067</v>
      </c>
      <c r="N8">
        <f>1-3/(4*(G8+D8-2)-1)</f>
        <v>0.98064516129032253</v>
      </c>
      <c r="O8">
        <f>-N8*J8</f>
        <v>1.3827096774193548</v>
      </c>
      <c r="P8">
        <f>N8*M8</f>
        <v>0.34522712310730747</v>
      </c>
    </row>
    <row r="9" spans="1:16" x14ac:dyDescent="0.25">
      <c r="A9" t="s">
        <v>5</v>
      </c>
      <c r="B9">
        <v>2006</v>
      </c>
      <c r="D9">
        <v>53</v>
      </c>
      <c r="E9">
        <v>0.1</v>
      </c>
      <c r="F9">
        <v>1</v>
      </c>
      <c r="G9">
        <v>50</v>
      </c>
      <c r="H9">
        <v>0.2</v>
      </c>
      <c r="I9">
        <v>1.1000000000000001</v>
      </c>
      <c r="J9">
        <v>-0.13</v>
      </c>
      <c r="K9">
        <v>-0.52</v>
      </c>
      <c r="L9">
        <v>0.25</v>
      </c>
      <c r="M9">
        <f>(L9-K9)/2/1.96</f>
        <v>0.19642857142857142</v>
      </c>
      <c r="N9">
        <f>1-3/(4*(G9+D9-2)-1)</f>
        <v>0.99255583126550873</v>
      </c>
      <c r="O9">
        <f>-N9*J9</f>
        <v>0.12903225806451613</v>
      </c>
      <c r="P9">
        <f>N9*M9</f>
        <v>0.19496632399858208</v>
      </c>
    </row>
    <row r="10" spans="1:16" x14ac:dyDescent="0.25">
      <c r="A10" t="s">
        <v>6</v>
      </c>
      <c r="B10">
        <v>2007</v>
      </c>
      <c r="D10">
        <v>65</v>
      </c>
      <c r="E10">
        <v>-0.2</v>
      </c>
      <c r="F10">
        <v>1.5</v>
      </c>
      <c r="G10">
        <v>68</v>
      </c>
      <c r="H10">
        <v>0.1</v>
      </c>
      <c r="I10">
        <v>1.6</v>
      </c>
      <c r="J10">
        <v>-0.2</v>
      </c>
      <c r="K10">
        <v>-0.54</v>
      </c>
      <c r="L10">
        <v>0.14000000000000001</v>
      </c>
      <c r="M10">
        <f>(L10-K10)/2/1.96</f>
        <v>0.17346938775510207</v>
      </c>
      <c r="N10">
        <f>1-3/(4*(G10+D10-2)-1)</f>
        <v>0.99426386233269604</v>
      </c>
      <c r="O10">
        <f>-N10*J10</f>
        <v>0.19885277246653921</v>
      </c>
      <c r="P10">
        <f>N10*M10</f>
        <v>0.17247434346587587</v>
      </c>
    </row>
    <row r="11" spans="1:16" x14ac:dyDescent="0.25">
      <c r="A11" t="s">
        <v>6</v>
      </c>
      <c r="B11">
        <v>2010</v>
      </c>
      <c r="D11">
        <v>29</v>
      </c>
      <c r="E11">
        <v>-0.1</v>
      </c>
      <c r="F11">
        <v>0.8</v>
      </c>
      <c r="G11">
        <v>24</v>
      </c>
      <c r="H11">
        <v>0.3</v>
      </c>
      <c r="I11">
        <v>0.8</v>
      </c>
      <c r="J11">
        <v>-0.42</v>
      </c>
      <c r="K11">
        <v>-0.96</v>
      </c>
      <c r="L11">
        <v>0.13</v>
      </c>
      <c r="M11">
        <f>(L11-K11)/2/1.96</f>
        <v>0.27806122448979587</v>
      </c>
      <c r="N11">
        <f>1-3/(4*(G11+D11-2)-1)</f>
        <v>0.98522167487684731</v>
      </c>
      <c r="O11">
        <f>-N11*J11</f>
        <v>0.41379310344827586</v>
      </c>
      <c r="P11">
        <f>N11*M11</f>
        <v>0.27395194531014372</v>
      </c>
    </row>
    <row r="12" spans="1:16" x14ac:dyDescent="0.25">
      <c r="A12" t="s">
        <v>15</v>
      </c>
      <c r="B12">
        <v>2012</v>
      </c>
      <c r="D12">
        <v>319</v>
      </c>
      <c r="E12">
        <v>6.3</v>
      </c>
      <c r="F12">
        <v>3.1</v>
      </c>
      <c r="G12">
        <v>322</v>
      </c>
      <c r="H12">
        <v>7.4</v>
      </c>
      <c r="I12">
        <v>3.4</v>
      </c>
      <c r="J12">
        <v>-0.31</v>
      </c>
      <c r="K12">
        <v>-0.47</v>
      </c>
      <c r="L12">
        <v>-0.16</v>
      </c>
      <c r="M12">
        <f>(L12-K12)/2/1.96</f>
        <v>7.9081632653061215E-2</v>
      </c>
      <c r="N12">
        <f>1-3/(4*(G12+D12-2)-1)</f>
        <v>0.99882583170254402</v>
      </c>
      <c r="O12">
        <f>-N12*J12</f>
        <v>0.30963600782778866</v>
      </c>
      <c r="P12">
        <f>N12*M12</f>
        <v>7.8988777507088936E-2</v>
      </c>
    </row>
    <row r="13" spans="1:16" x14ac:dyDescent="0.25">
      <c r="A13" t="s">
        <v>5</v>
      </c>
      <c r="B13">
        <v>2012</v>
      </c>
      <c r="D13">
        <v>110</v>
      </c>
      <c r="E13">
        <v>4.9000000000000004</v>
      </c>
      <c r="F13">
        <v>9.9</v>
      </c>
      <c r="G13">
        <v>114</v>
      </c>
      <c r="H13">
        <v>6.2</v>
      </c>
      <c r="I13">
        <v>10.6</v>
      </c>
      <c r="J13">
        <v>-0.13</v>
      </c>
      <c r="K13">
        <v>-0.39</v>
      </c>
      <c r="L13">
        <v>0.14000000000000001</v>
      </c>
      <c r="M13">
        <f>(L13-K13)/2/1.96</f>
        <v>0.13520408163265307</v>
      </c>
      <c r="N13">
        <f>1-3/(4*(G13+D13-2)-1)</f>
        <v>0.99661781285231121</v>
      </c>
      <c r="O13">
        <f>-N13*J13</f>
        <v>0.12956031567080045</v>
      </c>
      <c r="P13">
        <f>N13*M13</f>
        <v>0.13474679612544005</v>
      </c>
    </row>
    <row r="14" spans="1:16" x14ac:dyDescent="0.25">
      <c r="A14" t="s">
        <v>8</v>
      </c>
      <c r="B14">
        <v>2012</v>
      </c>
      <c r="C14" t="s">
        <v>23</v>
      </c>
      <c r="D14">
        <v>6</v>
      </c>
      <c r="E14">
        <v>0.1</v>
      </c>
      <c r="F14">
        <v>2.5</v>
      </c>
      <c r="G14">
        <v>10</v>
      </c>
      <c r="H14">
        <v>1.3</v>
      </c>
      <c r="I14">
        <v>3.4</v>
      </c>
      <c r="J14">
        <v>-0.35</v>
      </c>
      <c r="K14">
        <v>-1.37</v>
      </c>
      <c r="L14">
        <v>0.67</v>
      </c>
      <c r="M14">
        <f>(L14-K14)/2/1.96</f>
        <v>0.52040816326530615</v>
      </c>
      <c r="N14">
        <f>1-3/(4*(G14+D14-2)-1)</f>
        <v>0.94545454545454544</v>
      </c>
      <c r="O14">
        <f>-N14*J14</f>
        <v>0.33090909090909087</v>
      </c>
      <c r="P14">
        <f>N14*M14</f>
        <v>0.49202226345083488</v>
      </c>
    </row>
    <row r="15" spans="1:16" x14ac:dyDescent="0.25">
      <c r="A15" t="s">
        <v>9</v>
      </c>
      <c r="B15">
        <v>2012</v>
      </c>
      <c r="C15" t="s">
        <v>23</v>
      </c>
      <c r="D15">
        <v>53</v>
      </c>
      <c r="E15">
        <v>-2.6</v>
      </c>
      <c r="F15">
        <v>1.8</v>
      </c>
      <c r="G15">
        <v>105</v>
      </c>
      <c r="H15">
        <v>-1.9</v>
      </c>
      <c r="I15">
        <v>1.7</v>
      </c>
      <c r="J15">
        <v>-0.4</v>
      </c>
      <c r="K15">
        <v>-0.74</v>
      </c>
      <c r="L15">
        <v>-7.0000000000000007E-2</v>
      </c>
      <c r="M15">
        <f>(L15-K15)/2/1.96</f>
        <v>0.17091836734693877</v>
      </c>
      <c r="N15">
        <f>1-3/(4*(G15+D15-2)-1)</f>
        <v>0.9951845906902087</v>
      </c>
      <c r="O15">
        <f>-N15*J15</f>
        <v>0.3980738362760835</v>
      </c>
      <c r="P15">
        <f>N15*M15</f>
        <v>0.17009532544960199</v>
      </c>
    </row>
    <row r="16" spans="1:16" x14ac:dyDescent="0.25">
      <c r="A16" t="s">
        <v>6</v>
      </c>
      <c r="B16">
        <v>2014</v>
      </c>
      <c r="D16">
        <v>21</v>
      </c>
      <c r="E16">
        <v>-0.3</v>
      </c>
      <c r="F16">
        <v>1.7</v>
      </c>
      <c r="G16">
        <v>20</v>
      </c>
      <c r="H16">
        <v>1.7</v>
      </c>
      <c r="I16">
        <v>2.1</v>
      </c>
      <c r="J16">
        <v>-1.04</v>
      </c>
      <c r="K16">
        <v>-1.7</v>
      </c>
      <c r="L16">
        <v>-0.38</v>
      </c>
      <c r="M16">
        <f>(L16-K16)/2/1.96</f>
        <v>0.33673469387755101</v>
      </c>
      <c r="N16">
        <f>1-3/(4*(G16+D16-2)-1)</f>
        <v>0.98064516129032253</v>
      </c>
      <c r="O16">
        <f>-N16*J16</f>
        <v>1.0198709677419355</v>
      </c>
      <c r="P16">
        <f>N16*M16</f>
        <v>0.33021724818959841</v>
      </c>
    </row>
    <row r="17" spans="1:16" x14ac:dyDescent="0.25">
      <c r="A17" t="s">
        <v>11</v>
      </c>
      <c r="B17">
        <v>2015</v>
      </c>
      <c r="D17">
        <v>14</v>
      </c>
      <c r="E17">
        <v>-1.4</v>
      </c>
      <c r="F17">
        <v>2</v>
      </c>
      <c r="G17">
        <v>13</v>
      </c>
      <c r="H17">
        <v>0.9</v>
      </c>
      <c r="I17">
        <v>2.1</v>
      </c>
      <c r="J17">
        <v>-1.0900000000000001</v>
      </c>
      <c r="K17">
        <v>-1.91</v>
      </c>
      <c r="L17">
        <v>-0.28000000000000003</v>
      </c>
      <c r="M17">
        <f>(L17-K17)/2/1.96</f>
        <v>0.41581632653061223</v>
      </c>
      <c r="N17">
        <f>1-3/(4*(G17+D17-2)-1)</f>
        <v>0.96969696969696972</v>
      </c>
      <c r="O17">
        <f>-N17*J17</f>
        <v>1.0569696969696971</v>
      </c>
      <c r="P17">
        <f>N17*M17</f>
        <v>0.40321583178726034</v>
      </c>
    </row>
    <row r="18" spans="1:16" x14ac:dyDescent="0.25">
      <c r="A18" t="s">
        <v>14</v>
      </c>
      <c r="B18">
        <v>2019</v>
      </c>
      <c r="C18" t="s">
        <v>27</v>
      </c>
      <c r="D18">
        <v>28</v>
      </c>
      <c r="E18">
        <v>0.6</v>
      </c>
      <c r="F18">
        <v>1.5</v>
      </c>
      <c r="G18">
        <v>39</v>
      </c>
      <c r="H18">
        <v>1.8</v>
      </c>
      <c r="I18">
        <v>1.3</v>
      </c>
      <c r="J18">
        <v>-0.87</v>
      </c>
      <c r="K18">
        <v>-1.38</v>
      </c>
      <c r="L18">
        <v>-0.36</v>
      </c>
      <c r="M18">
        <f>(L18-K18)/2/1.96</f>
        <v>0.26020408163265307</v>
      </c>
      <c r="N18">
        <f>1-3/(4*(G18+D18-2)-1)</f>
        <v>0.98841698841698844</v>
      </c>
      <c r="O18">
        <f>-N18*J18</f>
        <v>0.85992277992277999</v>
      </c>
      <c r="P18">
        <f>N18*M18</f>
        <v>0.25719013474115515</v>
      </c>
    </row>
    <row r="19" spans="1:16" x14ac:dyDescent="0.25">
      <c r="A19" t="s">
        <v>14</v>
      </c>
      <c r="B19">
        <v>2019</v>
      </c>
      <c r="C19" t="s">
        <v>28</v>
      </c>
      <c r="D19">
        <v>29</v>
      </c>
      <c r="E19">
        <v>1.2</v>
      </c>
      <c r="F19">
        <v>1.5</v>
      </c>
      <c r="G19">
        <v>39</v>
      </c>
      <c r="H19">
        <v>1.8</v>
      </c>
      <c r="I19">
        <v>1.3</v>
      </c>
      <c r="J19">
        <v>-0.45</v>
      </c>
      <c r="K19">
        <v>-0.93</v>
      </c>
      <c r="L19">
        <v>0.04</v>
      </c>
      <c r="M19">
        <f>(L19-K19)/2/1.96</f>
        <v>0.24744897959183676</v>
      </c>
      <c r="N19">
        <f>1-3/(4*(G19+D19-2)-1)</f>
        <v>0.98859315589353614</v>
      </c>
      <c r="O19">
        <f>-N19*J19</f>
        <v>0.44486692015209128</v>
      </c>
      <c r="P19">
        <f>N19*M19</f>
        <v>0.24462636765732912</v>
      </c>
    </row>
    <row r="20" spans="1:16" x14ac:dyDescent="0.25">
      <c r="A20" t="s">
        <v>14</v>
      </c>
      <c r="B20">
        <v>2019</v>
      </c>
      <c r="C20" t="s">
        <v>29</v>
      </c>
      <c r="D20">
        <v>28</v>
      </c>
      <c r="E20">
        <v>-0.8</v>
      </c>
      <c r="F20">
        <v>1.5</v>
      </c>
      <c r="G20">
        <v>39</v>
      </c>
      <c r="H20">
        <v>1.8</v>
      </c>
      <c r="I20">
        <v>1.3</v>
      </c>
      <c r="J20">
        <v>-1.8</v>
      </c>
      <c r="K20">
        <v>-2.38</v>
      </c>
      <c r="L20">
        <v>-1.22</v>
      </c>
      <c r="M20">
        <f>(L20-K20)/2/1.96</f>
        <v>0.29591836734693877</v>
      </c>
      <c r="N20">
        <f>1-3/(4*(G20+D20-2)-1)</f>
        <v>0.98841698841698844</v>
      </c>
      <c r="O20">
        <f>-N20*J20</f>
        <v>1.7791505791505793</v>
      </c>
      <c r="P20">
        <f>N20*M20</f>
        <v>0.29249074147033333</v>
      </c>
    </row>
    <row r="21" spans="1:16" x14ac:dyDescent="0.25">
      <c r="A21" t="s">
        <v>14</v>
      </c>
      <c r="B21">
        <v>2019</v>
      </c>
      <c r="C21" t="s">
        <v>30</v>
      </c>
      <c r="D21">
        <v>30</v>
      </c>
      <c r="E21">
        <v>0.7</v>
      </c>
      <c r="F21">
        <v>1.5</v>
      </c>
      <c r="G21">
        <v>39</v>
      </c>
      <c r="H21">
        <v>1.8</v>
      </c>
      <c r="I21">
        <v>1.3</v>
      </c>
      <c r="J21">
        <v>-0.81</v>
      </c>
      <c r="K21">
        <v>-1.31</v>
      </c>
      <c r="L21">
        <v>-0.32</v>
      </c>
      <c r="M21">
        <f>(L21-K21)/2/1.96</f>
        <v>0.25255102040816324</v>
      </c>
      <c r="N21">
        <f>1-3/(4*(G21+D21-2)-1)</f>
        <v>0.9887640449438202</v>
      </c>
      <c r="O21">
        <f>-N21*J21</f>
        <v>0.80089887640449442</v>
      </c>
      <c r="P21">
        <f>N21*M21</f>
        <v>0.24971336849346476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5264-BFD8-4210-ACF2-DA998EA3782E}">
  <dimension ref="A1:P11"/>
  <sheetViews>
    <sheetView workbookViewId="0">
      <selection activeCell="A11" sqref="A11:XFD11"/>
    </sheetView>
  </sheetViews>
  <sheetFormatPr defaultRowHeight="15" x14ac:dyDescent="0.25"/>
  <sheetData>
    <row r="1" spans="1:16" x14ac:dyDescent="0.25">
      <c r="A1" t="s">
        <v>14</v>
      </c>
      <c r="B1">
        <v>2018</v>
      </c>
      <c r="C1" t="s">
        <v>25</v>
      </c>
      <c r="D1">
        <v>31</v>
      </c>
      <c r="E1">
        <v>0.2</v>
      </c>
      <c r="F1">
        <v>5.3</v>
      </c>
      <c r="G1">
        <v>16</v>
      </c>
      <c r="H1">
        <v>-0.5</v>
      </c>
      <c r="I1">
        <v>3.8</v>
      </c>
      <c r="J1">
        <v>0.14000000000000001</v>
      </c>
      <c r="K1">
        <v>-0.46</v>
      </c>
      <c r="L1">
        <v>0.75</v>
      </c>
      <c r="M1">
        <f>(L1-K1)/2/1.96</f>
        <v>0.30867346938775508</v>
      </c>
      <c r="N1">
        <f>1-3/(4*(G1+D1-2)-1)</f>
        <v>0.98324022346368711</v>
      </c>
      <c r="O1">
        <f>-N1*J1</f>
        <v>-0.1376536312849162</v>
      </c>
      <c r="P1">
        <f>N1*M1</f>
        <v>0.30350017101812787</v>
      </c>
    </row>
    <row r="2" spans="1:16" x14ac:dyDescent="0.25">
      <c r="A2" t="s">
        <v>14</v>
      </c>
      <c r="B2">
        <v>2018</v>
      </c>
      <c r="C2" t="s">
        <v>26</v>
      </c>
      <c r="D2">
        <v>31</v>
      </c>
      <c r="E2">
        <v>0.3</v>
      </c>
      <c r="F2">
        <v>5.3</v>
      </c>
      <c r="G2">
        <v>15</v>
      </c>
      <c r="H2">
        <v>-0.5</v>
      </c>
      <c r="I2">
        <v>3.7</v>
      </c>
      <c r="J2">
        <v>0.16</v>
      </c>
      <c r="K2">
        <v>-0.46</v>
      </c>
      <c r="L2">
        <v>0.78</v>
      </c>
      <c r="M2">
        <f>(L2-K2)/2/1.96</f>
        <v>0.31632653061224492</v>
      </c>
      <c r="N2">
        <f>1-3/(4*(G2+D2-2)-1)</f>
        <v>0.98285714285714287</v>
      </c>
      <c r="O2">
        <f>-N2*J2</f>
        <v>-0.15725714285714287</v>
      </c>
      <c r="P2">
        <f>N2*M2</f>
        <v>0.31090379008746361</v>
      </c>
    </row>
    <row r="3" spans="1:16" x14ac:dyDescent="0.25">
      <c r="A3" t="s">
        <v>12</v>
      </c>
      <c r="B3">
        <v>2016</v>
      </c>
      <c r="D3">
        <v>154</v>
      </c>
      <c r="E3">
        <v>-6.2</v>
      </c>
      <c r="F3">
        <v>7.7</v>
      </c>
      <c r="G3">
        <v>149</v>
      </c>
      <c r="H3">
        <v>-2.5</v>
      </c>
      <c r="I3">
        <v>5.6</v>
      </c>
      <c r="J3">
        <v>-0.56000000000000005</v>
      </c>
      <c r="K3">
        <v>-0.79</v>
      </c>
      <c r="L3">
        <v>-0.33</v>
      </c>
      <c r="M3">
        <f>(L3-K3)/2/1.96</f>
        <v>0.11734693877551021</v>
      </c>
      <c r="N3">
        <f>1-3/(4*(G3+D3-2)-1)</f>
        <v>0.99750623441396513</v>
      </c>
      <c r="O3">
        <f>-N3*J3</f>
        <v>0.55860349127182052</v>
      </c>
      <c r="P3">
        <f>N3*M3</f>
        <v>0.11705430301796531</v>
      </c>
    </row>
    <row r="4" spans="1:16" x14ac:dyDescent="0.25">
      <c r="A4" t="s">
        <v>13</v>
      </c>
      <c r="B4">
        <v>2018</v>
      </c>
      <c r="D4">
        <v>36</v>
      </c>
      <c r="E4">
        <v>-7.8</v>
      </c>
      <c r="F4">
        <v>5</v>
      </c>
      <c r="G4">
        <v>35</v>
      </c>
      <c r="H4">
        <v>-10.199999999999999</v>
      </c>
      <c r="I4">
        <v>4.7</v>
      </c>
      <c r="J4">
        <v>0.49</v>
      </c>
      <c r="K4">
        <v>0.01</v>
      </c>
      <c r="L4">
        <v>0.96</v>
      </c>
      <c r="M4">
        <f>(L4-K4)/2/1.96</f>
        <v>0.2423469387755102</v>
      </c>
      <c r="N4">
        <f>1-3/(4*(G4+D4-2)-1)</f>
        <v>0.98909090909090913</v>
      </c>
      <c r="O4">
        <f>-N4*J4</f>
        <v>-0.48465454545454545</v>
      </c>
      <c r="P4">
        <f>N4*M4</f>
        <v>0.23970315398886827</v>
      </c>
    </row>
    <row r="5" spans="1:16" x14ac:dyDescent="0.25">
      <c r="A5" t="s">
        <v>9</v>
      </c>
      <c r="B5">
        <v>2012</v>
      </c>
      <c r="C5" t="s">
        <v>24</v>
      </c>
      <c r="D5">
        <v>53</v>
      </c>
      <c r="E5">
        <v>-2.6</v>
      </c>
      <c r="F5">
        <v>1.8</v>
      </c>
      <c r="G5">
        <v>108</v>
      </c>
      <c r="H5">
        <v>-1.9</v>
      </c>
      <c r="I5">
        <v>1.7</v>
      </c>
      <c r="J5">
        <v>-0.4</v>
      </c>
      <c r="K5">
        <v>-0.74</v>
      </c>
      <c r="L5">
        <v>-7.0000000000000007E-2</v>
      </c>
      <c r="M5">
        <f>(L5-K5)/2/1.96</f>
        <v>0.17091836734693877</v>
      </c>
      <c r="N5">
        <f>1-3/(4*(G5+D5-2)-1)</f>
        <v>0.99527559055118109</v>
      </c>
      <c r="O5">
        <f>-N5*J5</f>
        <v>0.39811023622047248</v>
      </c>
      <c r="P5">
        <f>N5*M5</f>
        <v>0.17011087899726821</v>
      </c>
    </row>
    <row r="6" spans="1:16" x14ac:dyDescent="0.25">
      <c r="A6" t="s">
        <v>10</v>
      </c>
      <c r="B6">
        <v>2014</v>
      </c>
      <c r="D6">
        <v>26</v>
      </c>
      <c r="E6">
        <v>-3.7</v>
      </c>
      <c r="F6">
        <v>6.2</v>
      </c>
      <c r="G6">
        <v>28</v>
      </c>
      <c r="H6">
        <v>-3.2</v>
      </c>
      <c r="I6">
        <v>6.7</v>
      </c>
      <c r="J6">
        <v>-0.08</v>
      </c>
      <c r="K6">
        <v>-0.61</v>
      </c>
      <c r="L6">
        <v>0.46</v>
      </c>
      <c r="M6">
        <f>(L6-K6)/2/1.96</f>
        <v>0.27295918367346939</v>
      </c>
      <c r="N6">
        <f>1-3/(4*(G6+D6-2)-1)</f>
        <v>0.98550724637681164</v>
      </c>
      <c r="O6">
        <f>-N6*J6</f>
        <v>7.8840579710144937E-2</v>
      </c>
      <c r="P6">
        <f>N6*M6</f>
        <v>0.26900325347530318</v>
      </c>
    </row>
    <row r="7" spans="1:16" x14ac:dyDescent="0.25">
      <c r="A7" t="s">
        <v>8</v>
      </c>
      <c r="B7">
        <v>2012</v>
      </c>
      <c r="C7" t="s">
        <v>24</v>
      </c>
      <c r="D7">
        <v>6</v>
      </c>
      <c r="E7">
        <v>0.1</v>
      </c>
      <c r="F7">
        <v>2.5</v>
      </c>
      <c r="G7">
        <v>13</v>
      </c>
      <c r="H7">
        <v>0.6</v>
      </c>
      <c r="I7">
        <v>3.7</v>
      </c>
      <c r="J7">
        <v>-0.14000000000000001</v>
      </c>
      <c r="K7">
        <v>-1.1100000000000001</v>
      </c>
      <c r="L7">
        <v>0.83</v>
      </c>
      <c r="M7">
        <f>(L7-K7)/2/1.96</f>
        <v>0.49489795918367346</v>
      </c>
      <c r="N7">
        <f>1-3/(4*(G7+D7-2)-1)</f>
        <v>0.95522388059701491</v>
      </c>
      <c r="O7">
        <f>-N7*J7</f>
        <v>0.1337313432835821</v>
      </c>
      <c r="P7">
        <f>N7*M7</f>
        <v>0.47273834907097168</v>
      </c>
    </row>
    <row r="8" spans="1:16" x14ac:dyDescent="0.25">
      <c r="A8" t="s">
        <v>7</v>
      </c>
      <c r="B8">
        <v>2008</v>
      </c>
      <c r="D8">
        <v>50</v>
      </c>
      <c r="E8">
        <v>0.2</v>
      </c>
      <c r="F8">
        <v>1.3</v>
      </c>
      <c r="G8">
        <v>50</v>
      </c>
      <c r="H8">
        <v>0.1</v>
      </c>
      <c r="I8">
        <v>1</v>
      </c>
      <c r="J8">
        <v>0.03</v>
      </c>
      <c r="K8">
        <v>-0.37</v>
      </c>
      <c r="L8">
        <v>0.42</v>
      </c>
      <c r="M8">
        <f>(L8-K8)/2/1.96</f>
        <v>0.20153061224489796</v>
      </c>
      <c r="N8">
        <f>1-3/(4*(G8+D8-2)-1)</f>
        <v>0.99232736572890023</v>
      </c>
      <c r="O8">
        <f>-N8*J8</f>
        <v>-2.9769820971867006E-2</v>
      </c>
      <c r="P8">
        <f>N8*M8</f>
        <v>0.19998434156271203</v>
      </c>
    </row>
    <row r="9" spans="1:16" x14ac:dyDescent="0.25">
      <c r="A9" t="s">
        <v>2</v>
      </c>
      <c r="B9">
        <v>1988</v>
      </c>
      <c r="C9" s="1" t="s">
        <v>21</v>
      </c>
      <c r="D9">
        <v>24</v>
      </c>
      <c r="E9">
        <v>-7.4</v>
      </c>
      <c r="F9">
        <v>3.4</v>
      </c>
      <c r="G9">
        <v>22</v>
      </c>
      <c r="H9">
        <v>-5.8</v>
      </c>
      <c r="I9">
        <v>3.4</v>
      </c>
      <c r="J9">
        <v>-0.46</v>
      </c>
      <c r="K9">
        <v>-1.04</v>
      </c>
      <c r="L9">
        <v>0.13</v>
      </c>
      <c r="M9">
        <f>(L9-K9)/2/1.96</f>
        <v>0.29846938775510201</v>
      </c>
      <c r="N9">
        <f>1-3/(4*(G9+D9-2)-1)</f>
        <v>0.98285714285714287</v>
      </c>
      <c r="O9">
        <f>-N9*J9</f>
        <v>0.45211428571428575</v>
      </c>
      <c r="P9">
        <f>N9*M9</f>
        <v>0.29335276967930024</v>
      </c>
    </row>
    <row r="10" spans="1:16" x14ac:dyDescent="0.25">
      <c r="A10" t="s">
        <v>2</v>
      </c>
      <c r="B10">
        <v>1988</v>
      </c>
      <c r="C10" s="1" t="s">
        <v>22</v>
      </c>
      <c r="D10">
        <v>5</v>
      </c>
      <c r="E10">
        <v>-10.4</v>
      </c>
      <c r="F10">
        <v>3.4</v>
      </c>
      <c r="G10">
        <v>8</v>
      </c>
      <c r="H10">
        <v>-12.2</v>
      </c>
      <c r="I10">
        <v>3.4</v>
      </c>
      <c r="J10">
        <v>0.49</v>
      </c>
      <c r="K10">
        <v>-0.65</v>
      </c>
      <c r="L10">
        <v>1.63</v>
      </c>
      <c r="M10">
        <f>(L10-K10)/2/1.96</f>
        <v>0.58163265306122447</v>
      </c>
      <c r="N10">
        <f>1-3/(4*(G10+D10-2)-1)</f>
        <v>0.93023255813953487</v>
      </c>
      <c r="O10">
        <f>-N10*J10</f>
        <v>-0.45581395348837206</v>
      </c>
      <c r="P10">
        <f>N10*M10</f>
        <v>0.54105363075462742</v>
      </c>
    </row>
    <row r="11" spans="1:16" x14ac:dyDescent="0.25">
      <c r="A11" t="s">
        <v>1</v>
      </c>
      <c r="B11">
        <v>1976</v>
      </c>
      <c r="D11">
        <v>24</v>
      </c>
      <c r="E11">
        <v>-3.1</v>
      </c>
      <c r="F11">
        <v>3.3</v>
      </c>
      <c r="G11">
        <v>33</v>
      </c>
      <c r="H11">
        <v>-2</v>
      </c>
      <c r="I11">
        <v>3.2</v>
      </c>
      <c r="J11">
        <v>-0.33</v>
      </c>
      <c r="K11">
        <v>-0.86</v>
      </c>
      <c r="L11">
        <v>0.2</v>
      </c>
      <c r="M11">
        <f>(L11-K11)/2/1.96</f>
        <v>0.27040816326530615</v>
      </c>
      <c r="N11">
        <f>1-3/(4*(G11+D11-2)-1)</f>
        <v>0.98630136986301364</v>
      </c>
      <c r="O11">
        <f>-N11*J11</f>
        <v>0.3254794520547945</v>
      </c>
      <c r="P11">
        <f>N11*M11</f>
        <v>0.26670394185071289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2026-02-01T03:17:48Z</dcterms:modified>
</cp:coreProperties>
</file>