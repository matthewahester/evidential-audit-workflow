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Diet\brandmiller2003\"/>
    </mc:Choice>
  </mc:AlternateContent>
  <xr:revisionPtr revIDLastSave="0" documentId="13_ncr:1_{FD51E4FE-952C-4615-9F38-7A5B2501E51F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M2" i="1"/>
  <c r="K2" i="1"/>
  <c r="K14" i="1"/>
  <c r="K9" i="1"/>
  <c r="K5" i="1"/>
  <c r="K3" i="1"/>
  <c r="K8" i="1"/>
  <c r="K4" i="1"/>
  <c r="K7" i="1"/>
  <c r="K6" i="1"/>
  <c r="K10" i="1"/>
  <c r="K11" i="1"/>
  <c r="K12" i="1"/>
  <c r="K15" i="1"/>
  <c r="K13" i="1"/>
  <c r="H15" i="1" l="1"/>
  <c r="I15" i="1" s="1"/>
  <c r="H12" i="1"/>
  <c r="H9" i="1"/>
  <c r="H5" i="1"/>
  <c r="H3" i="1"/>
  <c r="H2" i="1"/>
  <c r="I2" i="1" s="1"/>
  <c r="H8" i="1"/>
  <c r="H4" i="1"/>
  <c r="H14" i="1"/>
  <c r="H7" i="1"/>
  <c r="I7" i="1" s="1"/>
  <c r="J7" i="1" s="1"/>
  <c r="L7" i="1" s="1"/>
  <c r="H6" i="1"/>
  <c r="H10" i="1"/>
  <c r="I10" i="1" s="1"/>
  <c r="J10" i="1" s="1"/>
  <c r="L10" i="1" s="1"/>
  <c r="H11" i="1"/>
  <c r="I11" i="1" s="1"/>
  <c r="J11" i="1" s="1"/>
  <c r="L11" i="1" s="1"/>
  <c r="H13" i="1"/>
  <c r="M11" i="1" l="1"/>
  <c r="M7" i="1"/>
  <c r="M10" i="1"/>
  <c r="M15" i="1"/>
  <c r="I14" i="1"/>
  <c r="J14" i="1" s="1"/>
  <c r="L14" i="1" s="1"/>
  <c r="I13" i="1"/>
  <c r="I6" i="1"/>
  <c r="J6" i="1" s="1"/>
  <c r="L6" i="1" s="1"/>
  <c r="I3" i="1"/>
  <c r="J3" i="1" s="1"/>
  <c r="L3" i="1" s="1"/>
  <c r="I4" i="1"/>
  <c r="J4" i="1" s="1"/>
  <c r="L4" i="1" s="1"/>
  <c r="I5" i="1"/>
  <c r="J5" i="1" s="1"/>
  <c r="L5" i="1" s="1"/>
  <c r="J2" i="1"/>
  <c r="I9" i="1"/>
  <c r="J9" i="1" s="1"/>
  <c r="L9" i="1" s="1"/>
  <c r="I12" i="1"/>
  <c r="J12" i="1" s="1"/>
  <c r="L12" i="1" s="1"/>
  <c r="I8" i="1"/>
  <c r="J15" i="1"/>
  <c r="L15" i="1" s="1"/>
  <c r="M5" i="1" l="1"/>
  <c r="J8" i="1"/>
  <c r="L8" i="1" s="1"/>
  <c r="M8" i="1"/>
  <c r="M12" i="1"/>
  <c r="M4" i="1"/>
  <c r="M6" i="1"/>
  <c r="M9" i="1"/>
  <c r="J13" i="1"/>
  <c r="L13" i="1" s="1"/>
  <c r="M13" i="1"/>
  <c r="M3" i="1"/>
  <c r="M14" i="1"/>
</calcChain>
</file>

<file path=xl/sharedStrings.xml><?xml version="1.0" encoding="utf-8"?>
<sst xmlns="http://schemas.openxmlformats.org/spreadsheetml/2006/main" count="41" uniqueCount="40">
  <si>
    <t>Author</t>
  </si>
  <si>
    <t>Parallel (79 vs. 77)</t>
  </si>
  <si>
    <t>Parallel (90 vs. 70)</t>
  </si>
  <si>
    <t>Crossover (99 vs. 63)</t>
  </si>
  <si>
    <t>Crossover (90 vs. 53)</t>
  </si>
  <si>
    <t>Crossover (84 vs. 65)</t>
  </si>
  <si>
    <t>Crossover (82 vs. 69)</t>
  </si>
  <si>
    <t>Crossover (106 vs. 70)</t>
  </si>
  <si>
    <t>Crossover (88 vs. 60)</t>
  </si>
  <si>
    <t>Crossover (83 vs. 57)</t>
  </si>
  <si>
    <t>Parallel (82 vs. 77)</t>
  </si>
  <si>
    <t>Crossover (87 vs. 60)</t>
  </si>
  <si>
    <t>Crossover (86 vs. 58)</t>
  </si>
  <si>
    <t>Crossover (90 vs. 77)</t>
  </si>
  <si>
    <t>Crossover (91 vs. 67)</t>
  </si>
  <si>
    <t>n</t>
  </si>
  <si>
    <t>duration</t>
  </si>
  <si>
    <t>type</t>
  </si>
  <si>
    <t>Gilbertson</t>
  </si>
  <si>
    <t>Giacco</t>
  </si>
  <si>
    <t>Lafrance</t>
  </si>
  <si>
    <t>Fontvieille</t>
  </si>
  <si>
    <t>Collier</t>
  </si>
  <si>
    <t>Komindr</t>
  </si>
  <si>
    <t>Luscombe</t>
  </si>
  <si>
    <t>Jarvi</t>
  </si>
  <si>
    <t>Frost</t>
  </si>
  <si>
    <t>Wolever</t>
  </si>
  <si>
    <t>Brand</t>
  </si>
  <si>
    <t>Jenkins</t>
  </si>
  <si>
    <t>CI_lower</t>
  </si>
  <si>
    <t>CI_upper</t>
  </si>
  <si>
    <t>Woleverb</t>
  </si>
  <si>
    <t>pooled_sd</t>
  </si>
  <si>
    <t>d</t>
  </si>
  <si>
    <t>J</t>
  </si>
  <si>
    <t>g</t>
  </si>
  <si>
    <t>se_g</t>
  </si>
  <si>
    <t>md</t>
  </si>
  <si>
    <t>se_md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</si>
</sst>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G10" sqref="G10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20.140625" bestFit="1" customWidth="1"/>
    <col min="4" max="4" width="8.5703125" bestFit="1" customWidth="1"/>
    <col min="5" max="5" width="8.85546875" bestFit="1" customWidth="1"/>
    <col min="6" max="6" width="8" bestFit="1" customWidth="1"/>
    <col min="7" max="7" width="9" bestFit="1" customWidth="1"/>
    <col min="8" max="8" width="12" bestFit="1" customWidth="1"/>
    <col min="9" max="9" width="9.28515625" customWidth="1"/>
  </cols>
  <sheetData>
    <row r="1" spans="1:13" ht="30" x14ac:dyDescent="0.25">
      <c r="A1" s="1" t="s">
        <v>0</v>
      </c>
      <c r="B1" t="s">
        <v>15</v>
      </c>
      <c r="C1" t="s">
        <v>17</v>
      </c>
      <c r="D1" t="s">
        <v>16</v>
      </c>
      <c r="E1" s="1" t="s">
        <v>30</v>
      </c>
      <c r="F1" s="1" t="s">
        <v>38</v>
      </c>
      <c r="G1" s="1" t="s">
        <v>31</v>
      </c>
      <c r="H1" s="1" t="s">
        <v>39</v>
      </c>
      <c r="I1" s="1" t="s">
        <v>33</v>
      </c>
      <c r="J1" t="s">
        <v>34</v>
      </c>
      <c r="K1" t="s">
        <v>35</v>
      </c>
      <c r="L1" t="s">
        <v>36</v>
      </c>
      <c r="M1" t="s">
        <v>37</v>
      </c>
    </row>
    <row r="2" spans="1:13" x14ac:dyDescent="0.25">
      <c r="A2" t="s">
        <v>23</v>
      </c>
      <c r="B2">
        <v>10</v>
      </c>
      <c r="C2" t="s">
        <v>7</v>
      </c>
      <c r="D2">
        <v>4</v>
      </c>
      <c r="E2">
        <v>-5.3163999999999998</v>
      </c>
      <c r="F2">
        <v>2.1806000000000001</v>
      </c>
      <c r="G2">
        <v>9.2645</v>
      </c>
      <c r="H2">
        <f t="shared" ref="H2:H15" si="0">(G2-E2)/1.96/2</f>
        <v>3.7196173469387754</v>
      </c>
      <c r="I2">
        <f>H2*SQRT(B2)</f>
        <v>11.762462840599266</v>
      </c>
      <c r="J2">
        <f t="shared" ref="J2:J15" si="1">F2/I2</f>
        <v>0.18538634549164743</v>
      </c>
      <c r="K2">
        <f t="shared" ref="K2:K12" si="2">1-3/(4*(B2-1)-1)</f>
        <v>0.91428571428571426</v>
      </c>
      <c r="L2">
        <f>K2*J2</f>
        <v>0.16949608730664906</v>
      </c>
      <c r="M2">
        <f>K2*H2/I2</f>
        <v>0.28912252892968038</v>
      </c>
    </row>
    <row r="3" spans="1:13" x14ac:dyDescent="0.25">
      <c r="A3" t="s">
        <v>22</v>
      </c>
      <c r="B3">
        <v>7</v>
      </c>
      <c r="C3" t="s">
        <v>6</v>
      </c>
      <c r="D3">
        <v>6</v>
      </c>
      <c r="E3">
        <v>10.151199999999999</v>
      </c>
      <c r="F3">
        <v>26.208400000000001</v>
      </c>
      <c r="G3">
        <v>39.844799999999999</v>
      </c>
      <c r="H3">
        <f t="shared" si="0"/>
        <v>7.5748979591836738</v>
      </c>
      <c r="I3">
        <f t="shared" ref="I3:I12" si="3">H3*SQRT(B3)</f>
        <v>20.041296206690699</v>
      </c>
      <c r="J3">
        <f t="shared" si="1"/>
        <v>1.3077198066285973</v>
      </c>
      <c r="K3">
        <f t="shared" si="2"/>
        <v>0.86956521739130432</v>
      </c>
      <c r="L3">
        <f t="shared" ref="L2:L15" si="4">K3*J3</f>
        <v>1.1371476579379107</v>
      </c>
      <c r="M3">
        <f t="shared" ref="M2:M14" si="5">K3*H3/I3</f>
        <v>0.32866475913845844</v>
      </c>
    </row>
    <row r="4" spans="1:13" x14ac:dyDescent="0.25">
      <c r="A4" t="s">
        <v>25</v>
      </c>
      <c r="B4">
        <v>20</v>
      </c>
      <c r="C4" t="s">
        <v>9</v>
      </c>
      <c r="D4">
        <v>3.5</v>
      </c>
      <c r="E4">
        <v>-2.3641000000000001</v>
      </c>
      <c r="F4">
        <v>2.2406999999999999</v>
      </c>
      <c r="G4">
        <v>6.7267999999999999</v>
      </c>
      <c r="H4">
        <f t="shared" si="0"/>
        <v>2.3191071428571428</v>
      </c>
      <c r="I4">
        <f t="shared" si="3"/>
        <v>10.371362437067775</v>
      </c>
      <c r="J4">
        <f t="shared" si="1"/>
        <v>0.21604683218779672</v>
      </c>
      <c r="K4">
        <f t="shared" si="2"/>
        <v>0.96</v>
      </c>
      <c r="L4">
        <f t="shared" si="4"/>
        <v>0.20740495890028485</v>
      </c>
      <c r="M4">
        <f t="shared" si="5"/>
        <v>0.21466252583997977</v>
      </c>
    </row>
    <row r="5" spans="1:13" x14ac:dyDescent="0.25">
      <c r="A5" t="s">
        <v>21</v>
      </c>
      <c r="B5">
        <v>8</v>
      </c>
      <c r="C5" t="s">
        <v>5</v>
      </c>
      <c r="D5">
        <v>3</v>
      </c>
      <c r="E5">
        <v>11.2346</v>
      </c>
      <c r="F5">
        <v>21.270600000000002</v>
      </c>
      <c r="G5">
        <v>30.7742</v>
      </c>
      <c r="H5">
        <f t="shared" si="0"/>
        <v>4.984591836734694</v>
      </c>
      <c r="I5">
        <f t="shared" si="3"/>
        <v>14.098554756808841</v>
      </c>
      <c r="J5">
        <f t="shared" si="1"/>
        <v>1.5087078333137267</v>
      </c>
      <c r="K5">
        <f t="shared" si="2"/>
        <v>0.88888888888888884</v>
      </c>
      <c r="L5">
        <f t="shared" si="4"/>
        <v>1.3410736296122014</v>
      </c>
      <c r="M5">
        <f t="shared" si="5"/>
        <v>0.31426968052735443</v>
      </c>
    </row>
    <row r="6" spans="1:13" x14ac:dyDescent="0.25">
      <c r="A6" t="s">
        <v>32</v>
      </c>
      <c r="B6">
        <v>6</v>
      </c>
      <c r="C6" t="s">
        <v>12</v>
      </c>
      <c r="D6">
        <v>6</v>
      </c>
      <c r="E6">
        <v>-1.8531</v>
      </c>
      <c r="F6">
        <v>9.6580999999999992</v>
      </c>
      <c r="G6">
        <v>19.8706</v>
      </c>
      <c r="H6">
        <f t="shared" si="0"/>
        <v>5.5417602040816334</v>
      </c>
      <c r="I6">
        <f t="shared" si="3"/>
        <v>13.574484776861972</v>
      </c>
      <c r="J6">
        <f t="shared" si="1"/>
        <v>0.71148925051376222</v>
      </c>
      <c r="K6">
        <f t="shared" si="2"/>
        <v>0.84210526315789469</v>
      </c>
      <c r="L6">
        <f t="shared" si="4"/>
        <v>0.59914884253790501</v>
      </c>
      <c r="M6">
        <f t="shared" si="5"/>
        <v>0.34378803407483199</v>
      </c>
    </row>
    <row r="7" spans="1:13" x14ac:dyDescent="0.25">
      <c r="A7" t="s">
        <v>27</v>
      </c>
      <c r="B7">
        <v>15</v>
      </c>
      <c r="C7" t="s">
        <v>11</v>
      </c>
      <c r="D7">
        <v>2</v>
      </c>
      <c r="E7">
        <v>-0.88729999999999998</v>
      </c>
      <c r="F7">
        <v>3.1861999999999999</v>
      </c>
      <c r="G7">
        <v>7.1410999999999998</v>
      </c>
      <c r="H7">
        <f t="shared" si="0"/>
        <v>2.0480612244897958</v>
      </c>
      <c r="I7">
        <f t="shared" si="3"/>
        <v>7.9321070144621491</v>
      </c>
      <c r="J7">
        <f t="shared" si="1"/>
        <v>0.40168394024321491</v>
      </c>
      <c r="K7">
        <f t="shared" si="2"/>
        <v>0.94545454545454544</v>
      </c>
      <c r="L7">
        <f t="shared" si="4"/>
        <v>0.37977390713903952</v>
      </c>
      <c r="M7">
        <f t="shared" si="5"/>
        <v>0.24411531394277053</v>
      </c>
    </row>
    <row r="8" spans="1:13" x14ac:dyDescent="0.25">
      <c r="A8" t="s">
        <v>24</v>
      </c>
      <c r="B8">
        <v>21</v>
      </c>
      <c r="C8" t="s">
        <v>8</v>
      </c>
      <c r="D8">
        <v>4</v>
      </c>
      <c r="E8">
        <v>-1.8725000000000001</v>
      </c>
      <c r="F8">
        <v>1.67</v>
      </c>
      <c r="G8">
        <v>5.6836000000000002</v>
      </c>
      <c r="H8">
        <f t="shared" si="0"/>
        <v>1.9275765306122452</v>
      </c>
      <c r="I8">
        <f t="shared" si="3"/>
        <v>8.8332653593509765</v>
      </c>
      <c r="J8">
        <f t="shared" si="1"/>
        <v>0.18905805860707248</v>
      </c>
      <c r="K8">
        <f t="shared" si="2"/>
        <v>0.96202531645569622</v>
      </c>
      <c r="L8">
        <f t="shared" si="4"/>
        <v>0.18187863865996845</v>
      </c>
      <c r="M8">
        <f t="shared" si="5"/>
        <v>0.20993113491057494</v>
      </c>
    </row>
    <row r="9" spans="1:13" x14ac:dyDescent="0.25">
      <c r="A9" t="s">
        <v>21</v>
      </c>
      <c r="B9">
        <v>12</v>
      </c>
      <c r="C9" t="s">
        <v>4</v>
      </c>
      <c r="D9">
        <v>5</v>
      </c>
      <c r="E9">
        <v>11.1744</v>
      </c>
      <c r="F9">
        <v>19.202999999999999</v>
      </c>
      <c r="G9">
        <v>26.168500000000002</v>
      </c>
      <c r="H9">
        <f t="shared" si="0"/>
        <v>3.8250255102040822</v>
      </c>
      <c r="I9">
        <f t="shared" si="3"/>
        <v>13.250277047841074</v>
      </c>
      <c r="J9">
        <f t="shared" si="1"/>
        <v>1.4492527160501016</v>
      </c>
      <c r="K9">
        <f t="shared" si="2"/>
        <v>0.93023255813953487</v>
      </c>
      <c r="L9">
        <f t="shared" si="4"/>
        <v>1.348142061441955</v>
      </c>
      <c r="M9">
        <f t="shared" si="5"/>
        <v>0.26853500892540733</v>
      </c>
    </row>
    <row r="10" spans="1:13" x14ac:dyDescent="0.25">
      <c r="A10" t="s">
        <v>28</v>
      </c>
      <c r="B10">
        <v>16</v>
      </c>
      <c r="C10" t="s">
        <v>13</v>
      </c>
      <c r="D10">
        <v>12</v>
      </c>
      <c r="E10">
        <v>4.6035000000000004</v>
      </c>
      <c r="F10">
        <v>11.215299999999999</v>
      </c>
      <c r="G10">
        <v>17.6495</v>
      </c>
      <c r="H10">
        <f t="shared" si="0"/>
        <v>3.328061224489796</v>
      </c>
      <c r="I10">
        <f t="shared" si="3"/>
        <v>13.312244897959184</v>
      </c>
      <c r="J10">
        <f t="shared" si="1"/>
        <v>0.84247999386785211</v>
      </c>
      <c r="K10">
        <f t="shared" si="2"/>
        <v>0.94915254237288138</v>
      </c>
      <c r="L10">
        <f t="shared" si="4"/>
        <v>0.79964202807796136</v>
      </c>
      <c r="M10">
        <f t="shared" si="5"/>
        <v>0.23728813559322032</v>
      </c>
    </row>
    <row r="11" spans="1:13" x14ac:dyDescent="0.25">
      <c r="A11" t="s">
        <v>29</v>
      </c>
      <c r="B11">
        <v>8</v>
      </c>
      <c r="C11" t="s">
        <v>14</v>
      </c>
      <c r="D11">
        <v>2</v>
      </c>
      <c r="E11">
        <v>-4.3906999999999998</v>
      </c>
      <c r="F11">
        <v>1.1579999999999999</v>
      </c>
      <c r="G11">
        <v>6.117</v>
      </c>
      <c r="H11">
        <f t="shared" si="0"/>
        <v>2.6805357142857145</v>
      </c>
      <c r="I11">
        <f t="shared" si="3"/>
        <v>7.5816999231366191</v>
      </c>
      <c r="J11">
        <f t="shared" si="1"/>
        <v>0.15273619527808016</v>
      </c>
      <c r="K11">
        <f t="shared" si="2"/>
        <v>0.88888888888888884</v>
      </c>
      <c r="L11">
        <f t="shared" si="4"/>
        <v>0.13576550691384903</v>
      </c>
      <c r="M11">
        <f t="shared" si="5"/>
        <v>0.31426968052735443</v>
      </c>
    </row>
    <row r="12" spans="1:13" x14ac:dyDescent="0.25">
      <c r="A12" t="s">
        <v>20</v>
      </c>
      <c r="B12">
        <v>9</v>
      </c>
      <c r="C12" t="s">
        <v>3</v>
      </c>
      <c r="D12">
        <v>1.9</v>
      </c>
      <c r="E12">
        <v>-8.1199999999999994E-2</v>
      </c>
      <c r="F12">
        <v>5.173</v>
      </c>
      <c r="G12">
        <v>11.253</v>
      </c>
      <c r="H12">
        <f t="shared" si="0"/>
        <v>2.8913775510204083</v>
      </c>
      <c r="I12">
        <f t="shared" si="3"/>
        <v>8.6741326530612248</v>
      </c>
      <c r="J12">
        <f t="shared" si="1"/>
        <v>0.59637086575732445</v>
      </c>
      <c r="K12">
        <f t="shared" si="2"/>
        <v>0.90322580645161288</v>
      </c>
      <c r="L12">
        <f t="shared" si="4"/>
        <v>0.53865755616790589</v>
      </c>
      <c r="M12">
        <f t="shared" si="5"/>
        <v>0.30107526881720431</v>
      </c>
    </row>
    <row r="13" spans="1:13" x14ac:dyDescent="0.25">
      <c r="A13" t="s">
        <v>18</v>
      </c>
      <c r="B13">
        <v>104</v>
      </c>
      <c r="C13" t="s">
        <v>1</v>
      </c>
      <c r="D13">
        <v>52</v>
      </c>
      <c r="E13">
        <v>-0.86909999999999998</v>
      </c>
      <c r="F13">
        <v>6.2146999999999997</v>
      </c>
      <c r="G13">
        <v>12.767300000000001</v>
      </c>
      <c r="H13">
        <f t="shared" si="0"/>
        <v>3.478673469387755</v>
      </c>
      <c r="I13">
        <f>H13*SQRT(B13/4)</f>
        <v>17.737823901825674</v>
      </c>
      <c r="J13">
        <f t="shared" si="1"/>
        <v>0.35036428563034433</v>
      </c>
      <c r="K13">
        <f>1-3/(4*(B13-2)-1)</f>
        <v>0.99262899262899262</v>
      </c>
      <c r="L13">
        <f t="shared" si="4"/>
        <v>0.34778174789842531</v>
      </c>
      <c r="M13">
        <f t="shared" si="5"/>
        <v>0.19467056166050703</v>
      </c>
    </row>
    <row r="14" spans="1:13" x14ac:dyDescent="0.25">
      <c r="A14" t="s">
        <v>26</v>
      </c>
      <c r="B14">
        <v>51</v>
      </c>
      <c r="C14" t="s">
        <v>10</v>
      </c>
      <c r="D14">
        <v>12</v>
      </c>
      <c r="E14">
        <v>-4.1200000000000001E-2</v>
      </c>
      <c r="F14">
        <v>10.702299999999999</v>
      </c>
      <c r="G14">
        <v>21.269300000000001</v>
      </c>
      <c r="H14">
        <f t="shared" si="0"/>
        <v>5.4363520408163266</v>
      </c>
      <c r="I14">
        <f t="shared" ref="I14:I15" si="6">H14*SQRT(B14/4)</f>
        <v>19.41165950592633</v>
      </c>
      <c r="J14">
        <f t="shared" si="1"/>
        <v>0.55133359395329462</v>
      </c>
      <c r="K14">
        <f>1-3/(4*(B14-2)-1)</f>
        <v>0.98461538461538467</v>
      </c>
      <c r="L14">
        <f t="shared" si="4"/>
        <v>0.54285153866170555</v>
      </c>
      <c r="M14">
        <f t="shared" si="5"/>
        <v>0.27574746270090039</v>
      </c>
    </row>
    <row r="15" spans="1:13" x14ac:dyDescent="0.25">
      <c r="A15" t="s">
        <v>19</v>
      </c>
      <c r="B15">
        <v>63</v>
      </c>
      <c r="C15" t="s">
        <v>2</v>
      </c>
      <c r="D15">
        <v>24</v>
      </c>
      <c r="E15">
        <v>0.6855</v>
      </c>
      <c r="F15">
        <v>5.7622999999999998</v>
      </c>
      <c r="G15">
        <v>11.193199999999999</v>
      </c>
      <c r="H15">
        <f t="shared" si="0"/>
        <v>2.6805357142857145</v>
      </c>
      <c r="I15">
        <f t="shared" si="6"/>
        <v>10.638046320640333</v>
      </c>
      <c r="J15">
        <f t="shared" si="1"/>
        <v>0.54166900822943131</v>
      </c>
      <c r="K15">
        <f>1-3/(4*(B15-2)-1)</f>
        <v>0.98765432098765427</v>
      </c>
      <c r="L15">
        <f t="shared" si="4"/>
        <v>0.53498173652289505</v>
      </c>
      <c r="M15">
        <f t="shared" ref="M15" si="7">K15*H15/I15</f>
        <v>0.24886549663158988</v>
      </c>
    </row>
  </sheetData>
  <sortState xmlns:xlrd2="http://schemas.microsoft.com/office/spreadsheetml/2017/richdata2" ref="A2:L15">
    <sortCondition ref="C2:C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2025-12-28T21:01:06Z</dcterms:modified>
</cp:coreProperties>
</file>