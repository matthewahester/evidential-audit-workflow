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li2025_NNS\"/>
    </mc:Choice>
  </mc:AlternateContent>
  <xr:revisionPtr revIDLastSave="0" documentId="13_ncr:1_{D268E508-991E-4935-ADFF-252C09FBB173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O3" i="1"/>
  <c r="M4" i="1"/>
  <c r="N4" i="1" s="1"/>
  <c r="P4" i="1" s="1"/>
  <c r="O4" i="1"/>
  <c r="Q4" i="1"/>
  <c r="M5" i="1"/>
  <c r="N5" i="1"/>
  <c r="O5" i="1"/>
  <c r="P5" i="1" s="1"/>
  <c r="M6" i="1"/>
  <c r="N6" i="1" s="1"/>
  <c r="O6" i="1"/>
  <c r="P6" i="1" s="1"/>
  <c r="M7" i="1"/>
  <c r="N7" i="1" s="1"/>
  <c r="P7" i="1" s="1"/>
  <c r="O7" i="1"/>
  <c r="Q7" i="1" s="1"/>
  <c r="M8" i="1"/>
  <c r="N8" i="1"/>
  <c r="O8" i="1"/>
  <c r="P8" i="1" s="1"/>
  <c r="M9" i="1"/>
  <c r="N9" i="1"/>
  <c r="O9" i="1"/>
  <c r="P9" i="1" s="1"/>
  <c r="Q9" i="1"/>
  <c r="M10" i="1"/>
  <c r="N10" i="1" s="1"/>
  <c r="P10" i="1" s="1"/>
  <c r="O10" i="1"/>
  <c r="M11" i="1"/>
  <c r="N11" i="1"/>
  <c r="O11" i="1"/>
  <c r="P11" i="1"/>
  <c r="Q11" i="1"/>
  <c r="M12" i="1"/>
  <c r="N12" i="1"/>
  <c r="O12" i="1"/>
  <c r="P12" i="1" s="1"/>
  <c r="M13" i="1"/>
  <c r="N13" i="1"/>
  <c r="P13" i="1" s="1"/>
  <c r="O13" i="1"/>
  <c r="Q13" i="1" s="1"/>
  <c r="M14" i="1"/>
  <c r="N14" i="1"/>
  <c r="O14" i="1"/>
  <c r="P14" i="1"/>
  <c r="Q14" i="1"/>
  <c r="M15" i="1"/>
  <c r="N15" i="1" s="1"/>
  <c r="P15" i="1" s="1"/>
  <c r="O15" i="1"/>
  <c r="Q15" i="1" s="1"/>
  <c r="M16" i="1"/>
  <c r="N16" i="1" s="1"/>
  <c r="P16" i="1" s="1"/>
  <c r="O16" i="1"/>
  <c r="Q16" i="1"/>
  <c r="M17" i="1"/>
  <c r="Q17" i="1" s="1"/>
  <c r="N17" i="1"/>
  <c r="O17" i="1"/>
  <c r="P17" i="1" s="1"/>
  <c r="M18" i="1"/>
  <c r="N18" i="1" s="1"/>
  <c r="O18" i="1"/>
  <c r="P18" i="1" s="1"/>
  <c r="M19" i="1"/>
  <c r="N19" i="1" s="1"/>
  <c r="P19" i="1" s="1"/>
  <c r="O19" i="1"/>
  <c r="Q19" i="1" s="1"/>
  <c r="M20" i="1"/>
  <c r="N20" i="1"/>
  <c r="O20" i="1"/>
  <c r="P20" i="1" s="1"/>
  <c r="N2" i="1"/>
  <c r="P2" i="1"/>
  <c r="Q2" i="1"/>
  <c r="O2" i="1"/>
  <c r="P3" i="1" l="1"/>
  <c r="Q18" i="1"/>
  <c r="Q6" i="1"/>
  <c r="Q20" i="1"/>
  <c r="Q8" i="1"/>
  <c r="Q3" i="1"/>
  <c r="Q10" i="1"/>
  <c r="Q5" i="1"/>
  <c r="Q12" i="1"/>
  <c r="M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</calcChain>
</file>

<file path=xl/sharedStrings.xml><?xml version="1.0" encoding="utf-8"?>
<sst xmlns="http://schemas.openxmlformats.org/spreadsheetml/2006/main" count="36" uniqueCount="34">
  <si>
    <t>E A Chantelau</t>
  </si>
  <si>
    <t>P L Cooper</t>
  </si>
  <si>
    <t>S Colagiuri</t>
  </si>
  <si>
    <t>George L Blackburn</t>
  </si>
  <si>
    <t>Nadia Y. Reyna</t>
  </si>
  <si>
    <t>Deborah F Tate</t>
  </si>
  <si>
    <t>Janne C. de Ruyter</t>
  </si>
  <si>
    <t>Ameneh Madjd</t>
  </si>
  <si>
    <t>Vanessa Campos</t>
  </si>
  <si>
    <t>John C. Peters</t>
  </si>
  <si>
    <t>A Madjd</t>
  </si>
  <si>
    <t>Emad A.S. AI-Dujaili</t>
  </si>
  <si>
    <t>Kelly A Higgins</t>
  </si>
  <si>
    <t>Desiree M. Sigala</t>
  </si>
  <si>
    <t>Nikoleta S. Stamataki</t>
  </si>
  <si>
    <t>Paulina E. Viveros-Wattya</t>
  </si>
  <si>
    <t>Joanne A.Harrold</t>
  </si>
  <si>
    <t>Author</t>
  </si>
  <si>
    <t>Year</t>
  </si>
  <si>
    <t>mean_treat</t>
  </si>
  <si>
    <t>sd_treat</t>
  </si>
  <si>
    <t>n_treat</t>
  </si>
  <si>
    <t>mean_control</t>
  </si>
  <si>
    <t>sd_control</t>
  </si>
  <si>
    <t>n_control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</si>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</sst>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H17" sqref="H17"/>
    </sheetView>
  </sheetViews>
  <sheetFormatPr defaultRowHeight="15" x14ac:dyDescent="0.25"/>
  <cols>
    <col min="1" max="1" width="24.140625" bestFit="1" customWidth="1"/>
    <col min="2" max="2" width="5" bestFit="1" customWidth="1"/>
    <col min="3" max="3" width="5.7109375" bestFit="1" customWidth="1"/>
    <col min="4" max="4" width="6" bestFit="1" customWidth="1"/>
    <col min="5" max="5" width="4" bestFit="1" customWidth="1"/>
    <col min="6" max="6" width="5.7109375" bestFit="1" customWidth="1"/>
    <col min="7" max="7" width="6" bestFit="1" customWidth="1"/>
    <col min="8" max="8" width="4" bestFit="1" customWidth="1"/>
    <col min="9" max="9" width="5.7109375" bestFit="1" customWidth="1"/>
    <col min="10" max="10" width="7.7109375" bestFit="1" customWidth="1"/>
    <col min="11" max="11" width="6.71093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0</v>
      </c>
      <c r="B2">
        <v>1985</v>
      </c>
      <c r="C2">
        <v>0.9</v>
      </c>
      <c r="D2">
        <v>7.81</v>
      </c>
      <c r="E2">
        <v>10</v>
      </c>
      <c r="F2">
        <v>0.1</v>
      </c>
      <c r="G2">
        <v>7.41</v>
      </c>
      <c r="H2">
        <v>10</v>
      </c>
      <c r="I2">
        <v>0.8</v>
      </c>
      <c r="J2">
        <v>-5.8730000000000002</v>
      </c>
      <c r="K2">
        <v>7.4729999999999999</v>
      </c>
      <c r="L2">
        <f>(K2-J2)/2/1.96</f>
        <v>3.4045918367346939</v>
      </c>
      <c r="M2">
        <f>L2*SQRT((H2+E2)/4)</f>
        <v>7.6128987825796415</v>
      </c>
      <c r="N2">
        <f>I2/M2</f>
        <v>0.10508480709485001</v>
      </c>
      <c r="O2">
        <f>1-3/(4*(H2+E2-2)-1)</f>
        <v>0.95774647887323949</v>
      </c>
      <c r="P2">
        <f>-O2*N2</f>
        <v>-0.10064460397816621</v>
      </c>
      <c r="Q2">
        <f>O2*L2/M2</f>
        <v>0.42831724639432589</v>
      </c>
    </row>
    <row r="3" spans="1:17" x14ac:dyDescent="0.25">
      <c r="A3" t="s">
        <v>1</v>
      </c>
      <c r="B3">
        <v>1988</v>
      </c>
      <c r="C3">
        <v>-0.2</v>
      </c>
      <c r="D3">
        <v>7.4</v>
      </c>
      <c r="E3">
        <v>17</v>
      </c>
      <c r="F3">
        <v>0.2</v>
      </c>
      <c r="G3">
        <v>7.35</v>
      </c>
      <c r="H3">
        <v>17</v>
      </c>
      <c r="I3">
        <v>-0.4</v>
      </c>
      <c r="J3">
        <v>-5.3579999999999997</v>
      </c>
      <c r="K3">
        <v>4.5579999999999998</v>
      </c>
      <c r="L3">
        <f t="shared" ref="L3:L20" si="0">(K3-J3)/2/1.96</f>
        <v>2.5295918367346939</v>
      </c>
      <c r="M3">
        <f t="shared" ref="M3:M20" si="1">L3*SQRT((H3+E3)/4)</f>
        <v>7.3749641567966844</v>
      </c>
      <c r="N3">
        <f t="shared" ref="N3:N20" si="2">I3/M3</f>
        <v>-5.4237551735267009E-2</v>
      </c>
      <c r="O3">
        <f t="shared" ref="O3:O20" si="3">1-3/(4*(H3+E3-2)-1)</f>
        <v>0.97637795275590555</v>
      </c>
      <c r="P3">
        <f t="shared" ref="P3:P20" si="4">-O3*N3</f>
        <v>5.2956349725772518E-2</v>
      </c>
      <c r="Q3">
        <f t="shared" ref="Q3:Q20" si="5">O3*L3/M3</f>
        <v>0.3348948749239542</v>
      </c>
    </row>
    <row r="4" spans="1:17" x14ac:dyDescent="0.25">
      <c r="A4" t="s">
        <v>2</v>
      </c>
      <c r="B4">
        <v>1989</v>
      </c>
      <c r="C4">
        <v>-0.4</v>
      </c>
      <c r="D4">
        <v>8.1199999999999992</v>
      </c>
      <c r="E4">
        <v>9</v>
      </c>
      <c r="F4">
        <v>0.2</v>
      </c>
      <c r="G4">
        <v>8.4600000000000009</v>
      </c>
      <c r="H4">
        <v>9</v>
      </c>
      <c r="I4">
        <v>-0.6</v>
      </c>
      <c r="J4">
        <v>-8.2609999999999992</v>
      </c>
      <c r="K4">
        <v>7.0609999999999999</v>
      </c>
      <c r="L4">
        <f t="shared" si="0"/>
        <v>3.9086734693877552</v>
      </c>
      <c r="M4">
        <f t="shared" si="1"/>
        <v>8.2915485469440924</v>
      </c>
      <c r="N4">
        <f t="shared" si="2"/>
        <v>-7.2362839896913361E-2</v>
      </c>
      <c r="O4">
        <f t="shared" si="3"/>
        <v>0.95238095238095233</v>
      </c>
      <c r="P4">
        <f t="shared" si="4"/>
        <v>6.8916990378012716E-2</v>
      </c>
      <c r="Q4">
        <f t="shared" si="5"/>
        <v>0.44895668646764925</v>
      </c>
    </row>
    <row r="5" spans="1:17" x14ac:dyDescent="0.25">
      <c r="A5" t="s">
        <v>3</v>
      </c>
      <c r="B5">
        <v>1997</v>
      </c>
      <c r="C5">
        <v>-9.9</v>
      </c>
      <c r="D5">
        <v>6.1</v>
      </c>
      <c r="E5">
        <v>82</v>
      </c>
      <c r="F5">
        <v>-9.8000000000000007</v>
      </c>
      <c r="G5">
        <v>6.5</v>
      </c>
      <c r="H5">
        <v>81</v>
      </c>
      <c r="I5">
        <v>-0.1</v>
      </c>
      <c r="J5">
        <v>-2.036</v>
      </c>
      <c r="K5">
        <v>1.8360000000000001</v>
      </c>
      <c r="L5">
        <f t="shared" si="0"/>
        <v>0.98775510204081629</v>
      </c>
      <c r="M5">
        <f t="shared" si="1"/>
        <v>6.3054064714744822</v>
      </c>
      <c r="N5">
        <f t="shared" si="2"/>
        <v>-1.5859405805541286E-2</v>
      </c>
      <c r="O5">
        <f t="shared" si="3"/>
        <v>0.99533437013996895</v>
      </c>
      <c r="P5">
        <f t="shared" si="4"/>
        <v>1.5785411688252603E-2</v>
      </c>
      <c r="Q5">
        <f t="shared" si="5"/>
        <v>0.15592120932886244</v>
      </c>
    </row>
    <row r="6" spans="1:17" x14ac:dyDescent="0.25">
      <c r="A6" t="s">
        <v>4</v>
      </c>
      <c r="B6">
        <v>2003</v>
      </c>
      <c r="C6">
        <v>-3.2</v>
      </c>
      <c r="D6">
        <v>1.1000000000000001</v>
      </c>
      <c r="E6">
        <v>8</v>
      </c>
      <c r="F6">
        <v>-1.5</v>
      </c>
      <c r="G6">
        <v>1.1000000000000001</v>
      </c>
      <c r="H6">
        <v>8</v>
      </c>
      <c r="I6">
        <v>-1.7</v>
      </c>
      <c r="J6">
        <v>-2.778</v>
      </c>
      <c r="K6">
        <v>-0.622</v>
      </c>
      <c r="L6">
        <f t="shared" si="0"/>
        <v>0.55000000000000004</v>
      </c>
      <c r="M6">
        <f t="shared" si="1"/>
        <v>1.1000000000000001</v>
      </c>
      <c r="N6">
        <f t="shared" si="2"/>
        <v>-1.5454545454545452</v>
      </c>
      <c r="O6">
        <f t="shared" si="3"/>
        <v>0.94545454545454544</v>
      </c>
      <c r="P6">
        <f t="shared" si="4"/>
        <v>1.461157024793388</v>
      </c>
      <c r="Q6">
        <f t="shared" si="5"/>
        <v>0.47272727272727272</v>
      </c>
    </row>
    <row r="7" spans="1:17" x14ac:dyDescent="0.25">
      <c r="A7" t="s">
        <v>5</v>
      </c>
      <c r="B7">
        <v>2012</v>
      </c>
      <c r="C7">
        <v>-2.6</v>
      </c>
      <c r="D7">
        <v>19.899999999999999</v>
      </c>
      <c r="E7">
        <v>105</v>
      </c>
      <c r="F7">
        <v>-1.9</v>
      </c>
      <c r="G7">
        <v>17</v>
      </c>
      <c r="H7">
        <v>108</v>
      </c>
      <c r="I7">
        <v>-0.7</v>
      </c>
      <c r="J7">
        <v>-5.6769999999999996</v>
      </c>
      <c r="K7">
        <v>4.2770000000000001</v>
      </c>
      <c r="L7">
        <f t="shared" si="0"/>
        <v>2.5392857142857146</v>
      </c>
      <c r="M7">
        <f t="shared" si="1"/>
        <v>18.529827461144802</v>
      </c>
      <c r="N7">
        <f t="shared" si="2"/>
        <v>-3.7776930274598081E-2</v>
      </c>
      <c r="O7">
        <f t="shared" si="3"/>
        <v>0.99644128113879005</v>
      </c>
      <c r="P7">
        <f t="shared" si="4"/>
        <v>3.7642492800311254E-2</v>
      </c>
      <c r="Q7">
        <f t="shared" si="5"/>
        <v>0.13655006316847607</v>
      </c>
    </row>
    <row r="8" spans="1:17" x14ac:dyDescent="0.25">
      <c r="A8" t="s">
        <v>6</v>
      </c>
      <c r="B8">
        <v>2012</v>
      </c>
      <c r="C8">
        <v>6.33</v>
      </c>
      <c r="D8">
        <v>2.71</v>
      </c>
      <c r="E8">
        <v>319</v>
      </c>
      <c r="F8">
        <v>7.3</v>
      </c>
      <c r="G8">
        <v>3.39</v>
      </c>
      <c r="H8">
        <v>322</v>
      </c>
      <c r="I8">
        <v>-0.97</v>
      </c>
      <c r="J8">
        <v>-1.4450000000000001</v>
      </c>
      <c r="K8">
        <v>-0.495</v>
      </c>
      <c r="L8">
        <f t="shared" si="0"/>
        <v>0.24234693877551022</v>
      </c>
      <c r="M8">
        <f t="shared" si="1"/>
        <v>3.0678672081922338</v>
      </c>
      <c r="N8">
        <f t="shared" si="2"/>
        <v>-0.31618056916211196</v>
      </c>
      <c r="O8">
        <f t="shared" si="3"/>
        <v>0.99882583170254402</v>
      </c>
      <c r="P8">
        <f t="shared" si="4"/>
        <v>0.31580931996153022</v>
      </c>
      <c r="Q8">
        <f t="shared" si="5"/>
        <v>7.8902496834487107E-2</v>
      </c>
    </row>
    <row r="9" spans="1:17" x14ac:dyDescent="0.25">
      <c r="A9" t="s">
        <v>7</v>
      </c>
      <c r="B9">
        <v>2015</v>
      </c>
      <c r="C9">
        <v>-7.6</v>
      </c>
      <c r="D9">
        <v>2.1</v>
      </c>
      <c r="E9">
        <v>32</v>
      </c>
      <c r="F9">
        <v>-880</v>
      </c>
      <c r="G9">
        <v>1.9</v>
      </c>
      <c r="H9">
        <v>30</v>
      </c>
      <c r="I9">
        <v>1.2</v>
      </c>
      <c r="J9">
        <v>0.20399999999999999</v>
      </c>
      <c r="K9">
        <v>2.1960000000000002</v>
      </c>
      <c r="L9">
        <f t="shared" si="0"/>
        <v>0.50816326530612255</v>
      </c>
      <c r="M9">
        <f t="shared" si="1"/>
        <v>2.0006407761519811</v>
      </c>
      <c r="N9">
        <f t="shared" si="2"/>
        <v>0.59980782872379113</v>
      </c>
      <c r="O9">
        <f t="shared" si="3"/>
        <v>0.9874476987447699</v>
      </c>
      <c r="P9">
        <f t="shared" si="4"/>
        <v>-0.59227886016240461</v>
      </c>
      <c r="Q9">
        <f t="shared" si="5"/>
        <v>0.25081196629326324</v>
      </c>
    </row>
    <row r="10" spans="1:17" x14ac:dyDescent="0.25">
      <c r="A10" t="s">
        <v>8</v>
      </c>
      <c r="B10">
        <v>2015</v>
      </c>
      <c r="C10">
        <v>-1.4</v>
      </c>
      <c r="D10">
        <v>14</v>
      </c>
      <c r="E10">
        <v>14</v>
      </c>
      <c r="F10">
        <v>0.9</v>
      </c>
      <c r="G10">
        <v>14.2</v>
      </c>
      <c r="H10">
        <v>13</v>
      </c>
      <c r="I10">
        <v>-2.2999999999999998</v>
      </c>
      <c r="J10">
        <v>-12.946999999999999</v>
      </c>
      <c r="K10">
        <v>8.3469999999999995</v>
      </c>
      <c r="L10">
        <f t="shared" si="0"/>
        <v>5.4321428571428561</v>
      </c>
      <c r="M10">
        <f t="shared" si="1"/>
        <v>14.113121133815689</v>
      </c>
      <c r="N10">
        <f t="shared" si="2"/>
        <v>-0.16296891227618629</v>
      </c>
      <c r="O10">
        <f t="shared" si="3"/>
        <v>0.96969696969696972</v>
      </c>
      <c r="P10">
        <f t="shared" si="4"/>
        <v>0.15803046038902913</v>
      </c>
      <c r="Q10">
        <f t="shared" si="5"/>
        <v>0.37323653765793985</v>
      </c>
    </row>
    <row r="11" spans="1:17" x14ac:dyDescent="0.25">
      <c r="A11" t="s">
        <v>9</v>
      </c>
      <c r="B11">
        <v>2016</v>
      </c>
      <c r="C11">
        <v>-8.39</v>
      </c>
      <c r="D11">
        <v>7.79</v>
      </c>
      <c r="E11">
        <v>158</v>
      </c>
      <c r="F11">
        <v>-3.39</v>
      </c>
      <c r="G11">
        <v>6.33</v>
      </c>
      <c r="H11">
        <v>150</v>
      </c>
      <c r="I11">
        <v>-5</v>
      </c>
      <c r="J11">
        <v>-6.5819999999999999</v>
      </c>
      <c r="K11">
        <v>-3.4180000000000001</v>
      </c>
      <c r="L11">
        <f t="shared" si="0"/>
        <v>0.80714285714285705</v>
      </c>
      <c r="M11">
        <f t="shared" si="1"/>
        <v>7.0826498269664979</v>
      </c>
      <c r="N11">
        <f t="shared" si="2"/>
        <v>-0.70595047364377495</v>
      </c>
      <c r="O11">
        <f t="shared" si="3"/>
        <v>0.99754701553556824</v>
      </c>
      <c r="P11">
        <f t="shared" si="4"/>
        <v>0.70421878809926852</v>
      </c>
      <c r="Q11">
        <f t="shared" si="5"/>
        <v>0.11368103293602477</v>
      </c>
    </row>
    <row r="12" spans="1:17" x14ac:dyDescent="0.25">
      <c r="A12" t="s">
        <v>10</v>
      </c>
      <c r="B12">
        <v>2017</v>
      </c>
      <c r="C12">
        <v>-0.1</v>
      </c>
      <c r="D12">
        <v>2.7</v>
      </c>
      <c r="E12">
        <v>36</v>
      </c>
      <c r="F12">
        <v>-1.7</v>
      </c>
      <c r="G12">
        <v>2.8</v>
      </c>
      <c r="H12">
        <v>35</v>
      </c>
      <c r="I12">
        <v>1.6</v>
      </c>
      <c r="J12">
        <v>0.32</v>
      </c>
      <c r="K12">
        <v>2.88</v>
      </c>
      <c r="L12">
        <f t="shared" si="0"/>
        <v>0.65306122448979598</v>
      </c>
      <c r="M12">
        <f t="shared" si="1"/>
        <v>2.7513958443024848</v>
      </c>
      <c r="N12">
        <f t="shared" si="2"/>
        <v>0.58152301251498806</v>
      </c>
      <c r="O12">
        <f t="shared" si="3"/>
        <v>0.98909090909090913</v>
      </c>
      <c r="P12">
        <f t="shared" si="4"/>
        <v>-0.57517912510573366</v>
      </c>
      <c r="Q12">
        <f t="shared" si="5"/>
        <v>0.23476698983907499</v>
      </c>
    </row>
    <row r="13" spans="1:17" x14ac:dyDescent="0.25">
      <c r="A13" t="s">
        <v>11</v>
      </c>
      <c r="B13">
        <v>2017</v>
      </c>
      <c r="C13">
        <v>-0.62</v>
      </c>
      <c r="D13">
        <v>16.3</v>
      </c>
      <c r="E13">
        <v>16</v>
      </c>
      <c r="F13">
        <v>0.28000000000000003</v>
      </c>
      <c r="G13">
        <v>16.600000000000001</v>
      </c>
      <c r="H13">
        <v>16</v>
      </c>
      <c r="I13">
        <v>-0.9</v>
      </c>
      <c r="J13">
        <v>-12.3</v>
      </c>
      <c r="K13">
        <v>10.5</v>
      </c>
      <c r="L13">
        <f t="shared" si="0"/>
        <v>5.8163265306122449</v>
      </c>
      <c r="M13">
        <f t="shared" si="1"/>
        <v>16.451055725564576</v>
      </c>
      <c r="N13">
        <f t="shared" si="2"/>
        <v>-5.4707735176011831E-2</v>
      </c>
      <c r="O13">
        <f t="shared" si="3"/>
        <v>0.97478991596638653</v>
      </c>
      <c r="P13">
        <f t="shared" si="4"/>
        <v>5.3328548574935901E-2</v>
      </c>
      <c r="Q13">
        <f t="shared" si="5"/>
        <v>0.34464027990604834</v>
      </c>
    </row>
    <row r="14" spans="1:17" x14ac:dyDescent="0.25">
      <c r="A14" t="s">
        <v>12</v>
      </c>
      <c r="B14">
        <v>2018</v>
      </c>
      <c r="C14">
        <v>0.2</v>
      </c>
      <c r="D14">
        <v>10.02</v>
      </c>
      <c r="E14">
        <v>62</v>
      </c>
      <c r="F14">
        <v>-0.5</v>
      </c>
      <c r="G14">
        <v>10.02</v>
      </c>
      <c r="H14">
        <v>31</v>
      </c>
      <c r="I14">
        <v>0.7</v>
      </c>
      <c r="J14">
        <v>-3.62</v>
      </c>
      <c r="K14">
        <v>5.0199999999999996</v>
      </c>
      <c r="L14">
        <f t="shared" si="0"/>
        <v>2.2040816326530615</v>
      </c>
      <c r="M14">
        <f t="shared" si="1"/>
        <v>10.627696757012645</v>
      </c>
      <c r="N14">
        <f t="shared" si="2"/>
        <v>6.586563542454367E-2</v>
      </c>
      <c r="O14">
        <f t="shared" si="3"/>
        <v>0.99173553719008267</v>
      </c>
      <c r="P14">
        <f t="shared" si="4"/>
        <v>-6.5321291330125958E-2</v>
      </c>
      <c r="Q14">
        <f t="shared" si="5"/>
        <v>0.20567636920272897</v>
      </c>
    </row>
    <row r="15" spans="1:17" x14ac:dyDescent="0.25">
      <c r="A15" t="s">
        <v>12</v>
      </c>
      <c r="B15">
        <v>2019</v>
      </c>
      <c r="C15">
        <v>-0.78</v>
      </c>
      <c r="D15">
        <v>1.9</v>
      </c>
      <c r="E15">
        <v>115</v>
      </c>
      <c r="F15">
        <v>1.85</v>
      </c>
      <c r="G15">
        <v>2.2000000000000002</v>
      </c>
      <c r="H15">
        <v>39</v>
      </c>
      <c r="I15">
        <v>-2.63</v>
      </c>
      <c r="J15">
        <v>-3.403</v>
      </c>
      <c r="K15">
        <v>-1.857</v>
      </c>
      <c r="L15">
        <f t="shared" si="0"/>
        <v>0.39438775510204083</v>
      </c>
      <c r="M15">
        <f t="shared" si="1"/>
        <v>2.4471116653956462</v>
      </c>
      <c r="N15">
        <f t="shared" si="2"/>
        <v>-1.0747364074923751</v>
      </c>
      <c r="O15">
        <f t="shared" si="3"/>
        <v>0.99505766062602963</v>
      </c>
      <c r="P15">
        <f t="shared" si="4"/>
        <v>1.0694246954289861</v>
      </c>
      <c r="Q15">
        <f t="shared" si="5"/>
        <v>0.16036806269236561</v>
      </c>
    </row>
    <row r="16" spans="1:17" x14ac:dyDescent="0.25">
      <c r="A16" t="s">
        <v>13</v>
      </c>
      <c r="B16">
        <v>2020</v>
      </c>
      <c r="C16">
        <v>-0.1</v>
      </c>
      <c r="D16">
        <v>10.6</v>
      </c>
      <c r="E16">
        <v>23</v>
      </c>
      <c r="F16">
        <v>0.5</v>
      </c>
      <c r="G16">
        <v>12.5</v>
      </c>
      <c r="H16">
        <v>24</v>
      </c>
      <c r="I16">
        <v>-0.6</v>
      </c>
      <c r="J16">
        <v>-7.2160000000000002</v>
      </c>
      <c r="K16">
        <v>6.016</v>
      </c>
      <c r="L16">
        <f t="shared" si="0"/>
        <v>3.3755102040816327</v>
      </c>
      <c r="M16">
        <f t="shared" si="1"/>
        <v>11.570666029656456</v>
      </c>
      <c r="N16">
        <f t="shared" si="2"/>
        <v>-5.1855269045200721E-2</v>
      </c>
      <c r="O16">
        <f t="shared" si="3"/>
        <v>0.98324022346368711</v>
      </c>
      <c r="P16">
        <f t="shared" si="4"/>
        <v>5.0986186323772775E-2</v>
      </c>
      <c r="Q16">
        <f t="shared" si="5"/>
        <v>0.28684065367183736</v>
      </c>
    </row>
    <row r="17" spans="1:17" x14ac:dyDescent="0.25">
      <c r="A17" t="s">
        <v>14</v>
      </c>
      <c r="B17">
        <v>2020</v>
      </c>
      <c r="C17">
        <v>-0.22</v>
      </c>
      <c r="D17">
        <v>1.4</v>
      </c>
      <c r="E17">
        <v>14</v>
      </c>
      <c r="F17">
        <v>0.89</v>
      </c>
      <c r="G17">
        <v>1.4</v>
      </c>
      <c r="H17">
        <v>14</v>
      </c>
      <c r="I17">
        <v>-1.1100000000000001</v>
      </c>
      <c r="J17">
        <v>-2.1469999999999998</v>
      </c>
      <c r="K17">
        <v>-7.2999999999999995E-2</v>
      </c>
      <c r="L17">
        <f t="shared" si="0"/>
        <v>0.52908163265306118</v>
      </c>
      <c r="M17">
        <f t="shared" si="1"/>
        <v>1.3998184232520308</v>
      </c>
      <c r="N17">
        <f t="shared" si="2"/>
        <v>-0.79295998792562672</v>
      </c>
      <c r="O17">
        <f t="shared" si="3"/>
        <v>0.970873786407767</v>
      </c>
      <c r="P17">
        <f t="shared" si="4"/>
        <v>0.76986406594721046</v>
      </c>
      <c r="Q17">
        <f t="shared" si="5"/>
        <v>0.36695579903808473</v>
      </c>
    </row>
    <row r="18" spans="1:17" x14ac:dyDescent="0.25">
      <c r="A18" t="s">
        <v>15</v>
      </c>
      <c r="B18">
        <v>2022</v>
      </c>
      <c r="C18">
        <v>-0.56000000000000005</v>
      </c>
      <c r="D18">
        <v>0.7</v>
      </c>
      <c r="E18">
        <v>24</v>
      </c>
      <c r="F18">
        <v>-0.9</v>
      </c>
      <c r="G18">
        <v>0.6</v>
      </c>
      <c r="H18">
        <v>21</v>
      </c>
      <c r="I18">
        <v>0.34</v>
      </c>
      <c r="J18">
        <v>-0.04</v>
      </c>
      <c r="K18">
        <v>0.72</v>
      </c>
      <c r="L18">
        <f t="shared" si="0"/>
        <v>0.19387755102040816</v>
      </c>
      <c r="M18">
        <f t="shared" si="1"/>
        <v>0.65028507508922462</v>
      </c>
      <c r="N18">
        <f t="shared" si="2"/>
        <v>0.52284761410731928</v>
      </c>
      <c r="O18">
        <f t="shared" si="3"/>
        <v>0.98245614035087714</v>
      </c>
      <c r="P18">
        <f t="shared" si="4"/>
        <v>-0.51367484894754167</v>
      </c>
      <c r="Q18">
        <f t="shared" si="5"/>
        <v>0.29291182863155135</v>
      </c>
    </row>
    <row r="19" spans="1:17" x14ac:dyDescent="0.25">
      <c r="A19" t="s">
        <v>16</v>
      </c>
      <c r="B19">
        <v>2023</v>
      </c>
      <c r="C19">
        <v>-7.5</v>
      </c>
      <c r="D19">
        <v>5.9</v>
      </c>
      <c r="E19">
        <v>125</v>
      </c>
      <c r="F19">
        <v>-6.1</v>
      </c>
      <c r="G19">
        <v>5.8</v>
      </c>
      <c r="H19">
        <v>137</v>
      </c>
      <c r="I19">
        <v>-1.4</v>
      </c>
      <c r="J19">
        <v>-2.819</v>
      </c>
      <c r="K19">
        <v>1.9E-2</v>
      </c>
      <c r="L19">
        <f t="shared" si="0"/>
        <v>0.72397959183673477</v>
      </c>
      <c r="M19">
        <f t="shared" si="1"/>
        <v>5.859316720868021</v>
      </c>
      <c r="N19">
        <f t="shared" si="2"/>
        <v>-0.23893570986082463</v>
      </c>
      <c r="O19">
        <f t="shared" si="3"/>
        <v>0.99711260827718962</v>
      </c>
      <c r="P19">
        <f t="shared" si="4"/>
        <v>0.23824580886988866</v>
      </c>
      <c r="Q19">
        <f t="shared" si="5"/>
        <v>0.12320364533031053</v>
      </c>
    </row>
    <row r="20" spans="1:17" x14ac:dyDescent="0.25">
      <c r="A20" t="s">
        <v>16</v>
      </c>
      <c r="B20">
        <v>2023</v>
      </c>
      <c r="C20">
        <v>-5.8</v>
      </c>
      <c r="D20">
        <v>3</v>
      </c>
      <c r="E20">
        <v>192</v>
      </c>
      <c r="F20">
        <v>-560</v>
      </c>
      <c r="G20">
        <v>3</v>
      </c>
      <c r="H20">
        <v>191</v>
      </c>
      <c r="I20">
        <v>-0.2</v>
      </c>
      <c r="J20">
        <v>-0.80100000000000005</v>
      </c>
      <c r="K20">
        <v>0.40100000000000002</v>
      </c>
      <c r="L20">
        <f t="shared" si="0"/>
        <v>0.3066326530612245</v>
      </c>
      <c r="M20">
        <f t="shared" si="1"/>
        <v>3.0004596582294227</v>
      </c>
      <c r="N20">
        <f t="shared" si="2"/>
        <v>-6.6656453604185567E-2</v>
      </c>
      <c r="O20">
        <f t="shared" si="3"/>
        <v>0.99803020354563365</v>
      </c>
      <c r="P20">
        <f t="shared" si="4"/>
        <v>6.6525153958215413E-2</v>
      </c>
      <c r="Q20">
        <f t="shared" si="5"/>
        <v>0.10199392226757005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2026-01-31T22:48:29Z</dcterms:modified>
</cp:coreProperties>
</file>