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NNS\rogers2020\"/>
    </mc:Choice>
  </mc:AlternateContent>
  <xr:revisionPtr revIDLastSave="0" documentId="13_ncr:1_{FF60D1EC-3C3D-49EE-A4EA-8AEFE660FEEF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 s="1"/>
  <c r="I4" i="1"/>
  <c r="J4" i="1" s="1"/>
  <c r="K4" i="1"/>
  <c r="I5" i="1"/>
  <c r="J5" i="1" s="1"/>
  <c r="I6" i="1"/>
  <c r="J6" i="1"/>
  <c r="K6" i="1"/>
  <c r="I7" i="1"/>
  <c r="J7" i="1" s="1"/>
  <c r="I8" i="1"/>
  <c r="J8" i="1"/>
  <c r="K8" i="1"/>
  <c r="I9" i="1"/>
  <c r="J9" i="1" s="1"/>
  <c r="I10" i="1"/>
  <c r="J10" i="1"/>
  <c r="K10" i="1"/>
  <c r="I11" i="1"/>
  <c r="J11" i="1" s="1"/>
  <c r="I12" i="1"/>
  <c r="J12" i="1"/>
  <c r="K12" i="1"/>
  <c r="I13" i="1"/>
  <c r="J13" i="1" s="1"/>
  <c r="I14" i="1"/>
  <c r="J14" i="1"/>
  <c r="K14" i="1"/>
  <c r="I15" i="1"/>
  <c r="J15" i="1" s="1"/>
  <c r="I16" i="1"/>
  <c r="J16" i="1"/>
  <c r="K16" i="1"/>
  <c r="I17" i="1"/>
  <c r="J17" i="1" s="1"/>
  <c r="I18" i="1"/>
  <c r="J18" i="1"/>
  <c r="K18" i="1"/>
  <c r="I19" i="1"/>
  <c r="J19" i="1" s="1"/>
  <c r="I20" i="1"/>
  <c r="J20" i="1"/>
  <c r="K20" i="1"/>
  <c r="I21" i="1"/>
  <c r="J21" i="1" s="1"/>
  <c r="I22" i="1"/>
  <c r="J22" i="1"/>
  <c r="K22" i="1"/>
  <c r="I23" i="1"/>
  <c r="J23" i="1" s="1"/>
  <c r="I24" i="1"/>
  <c r="J24" i="1" s="1"/>
  <c r="K24" i="1"/>
  <c r="I25" i="1"/>
  <c r="J25" i="1" s="1"/>
  <c r="I26" i="1"/>
  <c r="J26" i="1"/>
  <c r="K26" i="1"/>
  <c r="I27" i="1"/>
  <c r="J27" i="1" s="1"/>
  <c r="I28" i="1"/>
  <c r="J28" i="1" s="1"/>
  <c r="I29" i="1"/>
  <c r="J29" i="1" s="1"/>
  <c r="I30" i="1"/>
  <c r="J30" i="1"/>
  <c r="K30" i="1"/>
  <c r="K2" i="1"/>
  <c r="J2" i="1"/>
  <c r="I2" i="1"/>
  <c r="K29" i="1" l="1"/>
  <c r="K25" i="1"/>
  <c r="K21" i="1"/>
  <c r="K17" i="1"/>
  <c r="K13" i="1"/>
  <c r="K9" i="1"/>
  <c r="K5" i="1"/>
  <c r="K28" i="1"/>
  <c r="K27" i="1"/>
  <c r="K23" i="1"/>
  <c r="K19" i="1"/>
  <c r="K15" i="1"/>
  <c r="K11" i="1"/>
  <c r="K7" i="1"/>
  <c r="K3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</calcChain>
</file>

<file path=xl/sharedStrings.xml><?xml version="1.0" encoding="utf-8"?>
<sst xmlns="http://schemas.openxmlformats.org/spreadsheetml/2006/main" count="59" uniqueCount="43">
  <si>
    <t>Author</t>
  </si>
  <si>
    <t>Group</t>
  </si>
  <si>
    <t>lCI</t>
  </si>
  <si>
    <t>uCI</t>
  </si>
  <si>
    <t>de Ruyter</t>
  </si>
  <si>
    <t>Blackburn</t>
  </si>
  <si>
    <t>Ebbeling</t>
  </si>
  <si>
    <t>Taljaard</t>
  </si>
  <si>
    <t>micronutrients</t>
  </si>
  <si>
    <t>no micronutrients</t>
  </si>
  <si>
    <t>Engel</t>
  </si>
  <si>
    <t>Vásquez-Duran</t>
  </si>
  <si>
    <t>Tate</t>
  </si>
  <si>
    <t>Frey</t>
  </si>
  <si>
    <t>2-3 yr olds</t>
  </si>
  <si>
    <t>4-6 yr olds</t>
  </si>
  <si>
    <t>7-9 yr olds</t>
  </si>
  <si>
    <t>10-12 yr olds</t>
  </si>
  <si>
    <t>Higgins</t>
  </si>
  <si>
    <t>saccharin</t>
  </si>
  <si>
    <t>aspartame</t>
  </si>
  <si>
    <t>Reb. A</t>
  </si>
  <si>
    <t>sucralose</t>
  </si>
  <si>
    <t>Campos</t>
  </si>
  <si>
    <t>Raben</t>
  </si>
  <si>
    <t>Berryman</t>
  </si>
  <si>
    <t>females</t>
  </si>
  <si>
    <t>males</t>
  </si>
  <si>
    <t>Reid</t>
  </si>
  <si>
    <t>Kim</t>
  </si>
  <si>
    <t>told sugar</t>
  </si>
  <si>
    <t>told LCS</t>
  </si>
  <si>
    <t>Stanhope</t>
  </si>
  <si>
    <t>10% energy</t>
  </si>
  <si>
    <t>17.5% energy</t>
  </si>
  <si>
    <t>25% energy</t>
  </si>
  <si>
    <t>d</t>
  </si>
  <si>
    <t>se_d</t>
  </si>
  <si>
    <t>n_treat</t>
  </si>
  <si>
    <t>n_control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</si>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</sst>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H15" sqref="H15"/>
    </sheetView>
  </sheetViews>
  <sheetFormatPr defaultRowHeight="15" x14ac:dyDescent="0.25"/>
  <cols>
    <col min="1" max="1" width="14.5703125" bestFit="1" customWidth="1"/>
    <col min="2" max="2" width="17" bestFit="1" customWidth="1"/>
    <col min="3" max="3" width="7.42578125" bestFit="1" customWidth="1"/>
    <col min="4" max="4" width="9.42578125" customWidth="1"/>
    <col min="5" max="7" width="5.7109375" bestFit="1" customWidth="1"/>
    <col min="8" max="8" width="12" bestFit="1" customWidth="1"/>
  </cols>
  <sheetData>
    <row r="1" spans="1:11" x14ac:dyDescent="0.25">
      <c r="A1" t="s">
        <v>0</v>
      </c>
      <c r="B1" t="s">
        <v>1</v>
      </c>
      <c r="C1" t="s">
        <v>38</v>
      </c>
      <c r="D1" t="s">
        <v>39</v>
      </c>
      <c r="E1" t="s">
        <v>36</v>
      </c>
      <c r="F1" t="s">
        <v>2</v>
      </c>
      <c r="G1" t="s">
        <v>3</v>
      </c>
      <c r="H1" t="s">
        <v>37</v>
      </c>
      <c r="I1" t="s">
        <v>40</v>
      </c>
      <c r="J1" t="s">
        <v>41</v>
      </c>
      <c r="K1" t="s">
        <v>42</v>
      </c>
    </row>
    <row r="2" spans="1:11" x14ac:dyDescent="0.25">
      <c r="A2" t="s">
        <v>4</v>
      </c>
      <c r="C2">
        <v>319</v>
      </c>
      <c r="D2">
        <v>322</v>
      </c>
      <c r="E2">
        <v>-0.32</v>
      </c>
      <c r="F2">
        <v>-0.47</v>
      </c>
      <c r="G2">
        <v>-0.16</v>
      </c>
      <c r="H2">
        <f>(G2-F2)/2/1.96</f>
        <v>7.9081632653061215E-2</v>
      </c>
      <c r="I2">
        <f>1-3/(4*(C2+D2-2)-1)</f>
        <v>0.99882583170254402</v>
      </c>
      <c r="J2">
        <f>-I2*E2</f>
        <v>0.3196242661448141</v>
      </c>
      <c r="K2">
        <f>I2*H2</f>
        <v>7.8988777507088936E-2</v>
      </c>
    </row>
    <row r="3" spans="1:11" x14ac:dyDescent="0.25">
      <c r="A3" t="s">
        <v>5</v>
      </c>
      <c r="C3">
        <v>82</v>
      </c>
      <c r="D3">
        <v>81</v>
      </c>
      <c r="E3">
        <v>-0.38</v>
      </c>
      <c r="F3">
        <v>-0.74</v>
      </c>
      <c r="G3">
        <v>-0.03</v>
      </c>
      <c r="H3">
        <f t="shared" ref="H3:H30" si="0">(G3-F3)/2/1.96</f>
        <v>0.18112244897959184</v>
      </c>
      <c r="I3">
        <f t="shared" ref="I3:I30" si="1">1-3/(4*(C3+D3-2)-1)</f>
        <v>0.99533437013996895</v>
      </c>
      <c r="J3">
        <f t="shared" ref="J3:J30" si="2">-I3*E3</f>
        <v>0.37822706065318823</v>
      </c>
      <c r="K3">
        <f t="shared" ref="K3:K30" si="3">I3*H3</f>
        <v>0.18027739867331072</v>
      </c>
    </row>
    <row r="4" spans="1:11" x14ac:dyDescent="0.25">
      <c r="A4" t="s">
        <v>6</v>
      </c>
      <c r="C4">
        <v>67</v>
      </c>
      <c r="D4">
        <v>67</v>
      </c>
      <c r="E4">
        <v>-0.15</v>
      </c>
      <c r="F4">
        <v>-0.5</v>
      </c>
      <c r="G4">
        <v>0.21</v>
      </c>
      <c r="H4">
        <f t="shared" si="0"/>
        <v>0.18112244897959184</v>
      </c>
      <c r="I4">
        <f t="shared" si="1"/>
        <v>0.9943074003795066</v>
      </c>
      <c r="J4">
        <f t="shared" si="2"/>
        <v>0.14914611005692599</v>
      </c>
      <c r="K4">
        <f t="shared" si="3"/>
        <v>0.18009139139526778</v>
      </c>
    </row>
    <row r="5" spans="1:11" x14ac:dyDescent="0.25">
      <c r="A5" t="s">
        <v>7</v>
      </c>
      <c r="B5" t="s">
        <v>8</v>
      </c>
      <c r="C5">
        <v>91</v>
      </c>
      <c r="D5">
        <v>87</v>
      </c>
      <c r="E5">
        <v>-0.13</v>
      </c>
      <c r="F5">
        <v>-0.42</v>
      </c>
      <c r="G5">
        <v>0.16</v>
      </c>
      <c r="H5">
        <f t="shared" si="0"/>
        <v>0.14795918367346939</v>
      </c>
      <c r="I5">
        <f t="shared" si="1"/>
        <v>0.99573257467994314</v>
      </c>
      <c r="J5">
        <f t="shared" si="2"/>
        <v>0.12944523470839261</v>
      </c>
      <c r="K5">
        <f t="shared" si="3"/>
        <v>0.14732777890672627</v>
      </c>
    </row>
    <row r="6" spans="1:11" x14ac:dyDescent="0.25">
      <c r="A6" t="s">
        <v>7</v>
      </c>
      <c r="B6" t="s">
        <v>9</v>
      </c>
      <c r="C6">
        <v>88</v>
      </c>
      <c r="D6">
        <v>91</v>
      </c>
      <c r="E6">
        <v>0.3</v>
      </c>
      <c r="F6">
        <v>0</v>
      </c>
      <c r="G6">
        <v>0.59</v>
      </c>
      <c r="H6">
        <f t="shared" si="0"/>
        <v>0.15051020408163265</v>
      </c>
      <c r="I6">
        <f t="shared" si="1"/>
        <v>0.99575671852899572</v>
      </c>
      <c r="J6">
        <f t="shared" si="2"/>
        <v>-0.29872701555869868</v>
      </c>
      <c r="K6">
        <f t="shared" si="3"/>
        <v>0.14987154692145599</v>
      </c>
    </row>
    <row r="7" spans="1:11" x14ac:dyDescent="0.25">
      <c r="A7" t="s">
        <v>10</v>
      </c>
      <c r="C7">
        <v>15</v>
      </c>
      <c r="D7">
        <v>14</v>
      </c>
      <c r="E7">
        <v>-0.28000000000000003</v>
      </c>
      <c r="F7">
        <v>-1.01</v>
      </c>
      <c r="G7">
        <v>0.46</v>
      </c>
      <c r="H7">
        <f t="shared" si="0"/>
        <v>0.375</v>
      </c>
      <c r="I7">
        <f t="shared" si="1"/>
        <v>0.9719626168224299</v>
      </c>
      <c r="J7">
        <f t="shared" si="2"/>
        <v>0.27214953271028042</v>
      </c>
      <c r="K7">
        <f t="shared" si="3"/>
        <v>0.3644859813084112</v>
      </c>
    </row>
    <row r="8" spans="1:11" x14ac:dyDescent="0.25">
      <c r="A8" t="s">
        <v>11</v>
      </c>
      <c r="C8">
        <v>50</v>
      </c>
      <c r="D8">
        <v>49</v>
      </c>
      <c r="E8">
        <v>-0.12</v>
      </c>
      <c r="F8">
        <v>-0.52</v>
      </c>
      <c r="G8">
        <v>0.27</v>
      </c>
      <c r="H8">
        <f t="shared" si="0"/>
        <v>0.20153061224489796</v>
      </c>
      <c r="I8">
        <f t="shared" si="1"/>
        <v>0.99224806201550386</v>
      </c>
      <c r="J8">
        <f t="shared" si="2"/>
        <v>0.11906976744186046</v>
      </c>
      <c r="K8">
        <f t="shared" si="3"/>
        <v>0.19996835943679797</v>
      </c>
    </row>
    <row r="9" spans="1:11" x14ac:dyDescent="0.25">
      <c r="A9" t="s">
        <v>12</v>
      </c>
      <c r="C9">
        <v>105</v>
      </c>
      <c r="D9">
        <v>105</v>
      </c>
      <c r="E9">
        <v>-0.17</v>
      </c>
      <c r="F9">
        <v>-0.44</v>
      </c>
      <c r="G9">
        <v>0.09</v>
      </c>
      <c r="H9">
        <f t="shared" si="0"/>
        <v>0.13520408163265307</v>
      </c>
      <c r="I9">
        <f t="shared" si="1"/>
        <v>0.99638989169675085</v>
      </c>
      <c r="J9">
        <f t="shared" si="2"/>
        <v>0.16938628158844765</v>
      </c>
      <c r="K9">
        <f t="shared" si="3"/>
        <v>0.13471598025491785</v>
      </c>
    </row>
    <row r="10" spans="1:11" x14ac:dyDescent="0.25">
      <c r="A10" t="s">
        <v>13</v>
      </c>
      <c r="B10" t="s">
        <v>14</v>
      </c>
      <c r="C10">
        <v>7</v>
      </c>
      <c r="D10">
        <v>6</v>
      </c>
      <c r="E10">
        <v>-0.02</v>
      </c>
      <c r="F10">
        <v>-1.1100000000000001</v>
      </c>
      <c r="G10">
        <v>1.07</v>
      </c>
      <c r="H10">
        <f t="shared" si="0"/>
        <v>0.55612244897959184</v>
      </c>
      <c r="I10">
        <f t="shared" si="1"/>
        <v>0.93023255813953487</v>
      </c>
      <c r="J10">
        <f t="shared" si="2"/>
        <v>1.8604651162790697E-2</v>
      </c>
      <c r="K10">
        <f t="shared" si="3"/>
        <v>0.51732320835310863</v>
      </c>
    </row>
    <row r="11" spans="1:11" x14ac:dyDescent="0.25">
      <c r="A11" t="s">
        <v>13</v>
      </c>
      <c r="B11" t="s">
        <v>15</v>
      </c>
      <c r="C11">
        <v>11</v>
      </c>
      <c r="D11">
        <v>11</v>
      </c>
      <c r="E11">
        <v>-0.02</v>
      </c>
      <c r="F11">
        <v>-0.86</v>
      </c>
      <c r="G11">
        <v>0.81</v>
      </c>
      <c r="H11">
        <f t="shared" si="0"/>
        <v>0.42602040816326531</v>
      </c>
      <c r="I11">
        <f t="shared" si="1"/>
        <v>0.96202531645569622</v>
      </c>
      <c r="J11">
        <f t="shared" si="2"/>
        <v>1.9240506329113925E-2</v>
      </c>
      <c r="K11">
        <f t="shared" si="3"/>
        <v>0.40984241797985016</v>
      </c>
    </row>
    <row r="12" spans="1:11" x14ac:dyDescent="0.25">
      <c r="A12" t="s">
        <v>13</v>
      </c>
      <c r="B12" t="s">
        <v>16</v>
      </c>
      <c r="C12">
        <v>11</v>
      </c>
      <c r="D12">
        <v>11</v>
      </c>
      <c r="E12">
        <v>0.13</v>
      </c>
      <c r="F12">
        <v>-0.7</v>
      </c>
      <c r="G12">
        <v>0.97</v>
      </c>
      <c r="H12">
        <f t="shared" si="0"/>
        <v>0.42602040816326531</v>
      </c>
      <c r="I12">
        <f t="shared" si="1"/>
        <v>0.96202531645569622</v>
      </c>
      <c r="J12">
        <f t="shared" si="2"/>
        <v>-0.1250632911392405</v>
      </c>
      <c r="K12">
        <f t="shared" si="3"/>
        <v>0.40984241797985016</v>
      </c>
    </row>
    <row r="13" spans="1:11" x14ac:dyDescent="0.25">
      <c r="A13" t="s">
        <v>13</v>
      </c>
      <c r="B13" t="s">
        <v>17</v>
      </c>
      <c r="C13">
        <v>12</v>
      </c>
      <c r="D13">
        <v>12</v>
      </c>
      <c r="E13">
        <v>-0.1</v>
      </c>
      <c r="F13">
        <v>-0.9</v>
      </c>
      <c r="G13">
        <v>0.7</v>
      </c>
      <c r="H13">
        <f t="shared" si="0"/>
        <v>0.40816326530612246</v>
      </c>
      <c r="I13">
        <f t="shared" si="1"/>
        <v>0.96551724137931039</v>
      </c>
      <c r="J13">
        <f t="shared" si="2"/>
        <v>9.6551724137931047E-2</v>
      </c>
      <c r="K13">
        <f t="shared" si="3"/>
        <v>0.39408866995073893</v>
      </c>
    </row>
    <row r="14" spans="1:11" x14ac:dyDescent="0.25">
      <c r="A14" t="s">
        <v>18</v>
      </c>
      <c r="B14" t="s">
        <v>19</v>
      </c>
      <c r="C14">
        <v>29</v>
      </c>
      <c r="D14">
        <v>39</v>
      </c>
      <c r="E14">
        <v>-0.34</v>
      </c>
      <c r="F14">
        <v>-1.06</v>
      </c>
      <c r="G14">
        <v>0.39</v>
      </c>
      <c r="H14">
        <f t="shared" si="0"/>
        <v>0.36989795918367352</v>
      </c>
      <c r="I14">
        <f t="shared" si="1"/>
        <v>0.98859315589353614</v>
      </c>
      <c r="J14">
        <f t="shared" si="2"/>
        <v>0.3361216730038023</v>
      </c>
      <c r="K14">
        <f t="shared" si="3"/>
        <v>0.36567859082796622</v>
      </c>
    </row>
    <row r="15" spans="1:11" x14ac:dyDescent="0.25">
      <c r="A15" t="s">
        <v>18</v>
      </c>
      <c r="B15" t="s">
        <v>20</v>
      </c>
      <c r="C15">
        <v>30</v>
      </c>
      <c r="D15">
        <v>39</v>
      </c>
      <c r="E15">
        <v>-0.56000000000000005</v>
      </c>
      <c r="F15">
        <v>-1.29</v>
      </c>
      <c r="G15">
        <v>0.16</v>
      </c>
      <c r="H15">
        <f t="shared" si="0"/>
        <v>0.36989795918367346</v>
      </c>
      <c r="I15">
        <f t="shared" si="1"/>
        <v>0.9887640449438202</v>
      </c>
      <c r="J15">
        <f t="shared" si="2"/>
        <v>0.55370786516853931</v>
      </c>
      <c r="K15">
        <f t="shared" si="3"/>
        <v>0.36574180233891307</v>
      </c>
    </row>
    <row r="16" spans="1:11" x14ac:dyDescent="0.25">
      <c r="A16" t="s">
        <v>18</v>
      </c>
      <c r="B16" t="s">
        <v>21</v>
      </c>
      <c r="C16">
        <v>28</v>
      </c>
      <c r="D16">
        <v>39</v>
      </c>
      <c r="E16">
        <v>-0.63</v>
      </c>
      <c r="F16">
        <v>-1.36</v>
      </c>
      <c r="G16">
        <v>0.11</v>
      </c>
      <c r="H16">
        <f t="shared" si="0"/>
        <v>0.37500000000000006</v>
      </c>
      <c r="I16">
        <f t="shared" si="1"/>
        <v>0.98841698841698844</v>
      </c>
      <c r="J16">
        <f t="shared" si="2"/>
        <v>0.62270270270270267</v>
      </c>
      <c r="K16">
        <f t="shared" si="3"/>
        <v>0.37065637065637069</v>
      </c>
    </row>
    <row r="17" spans="1:11" x14ac:dyDescent="0.25">
      <c r="A17" t="s">
        <v>18</v>
      </c>
      <c r="B17" t="s">
        <v>22</v>
      </c>
      <c r="C17">
        <v>28</v>
      </c>
      <c r="D17">
        <v>39</v>
      </c>
      <c r="E17">
        <v>-1.32</v>
      </c>
      <c r="F17">
        <v>-2.14</v>
      </c>
      <c r="G17">
        <v>-0.51</v>
      </c>
      <c r="H17">
        <f t="shared" si="0"/>
        <v>0.41581632653061229</v>
      </c>
      <c r="I17">
        <f t="shared" si="1"/>
        <v>0.98841698841698844</v>
      </c>
      <c r="J17">
        <f t="shared" si="2"/>
        <v>1.3047104247104249</v>
      </c>
      <c r="K17">
        <f t="shared" si="3"/>
        <v>0.41099992120400292</v>
      </c>
    </row>
    <row r="18" spans="1:11" x14ac:dyDescent="0.25">
      <c r="A18" t="s">
        <v>23</v>
      </c>
      <c r="C18">
        <v>14</v>
      </c>
      <c r="D18">
        <v>13</v>
      </c>
      <c r="E18">
        <v>-1.02</v>
      </c>
      <c r="F18">
        <v>-1.83</v>
      </c>
      <c r="G18">
        <v>-0.22</v>
      </c>
      <c r="H18">
        <f t="shared" si="0"/>
        <v>0.41071428571428575</v>
      </c>
      <c r="I18">
        <f t="shared" si="1"/>
        <v>0.96969696969696972</v>
      </c>
      <c r="J18">
        <f t="shared" si="2"/>
        <v>0.98909090909090913</v>
      </c>
      <c r="K18">
        <f t="shared" si="3"/>
        <v>0.39826839826839833</v>
      </c>
    </row>
    <row r="19" spans="1:11" x14ac:dyDescent="0.25">
      <c r="A19" t="s">
        <v>24</v>
      </c>
      <c r="C19">
        <v>20</v>
      </c>
      <c r="D19">
        <v>21</v>
      </c>
      <c r="E19">
        <v>-1.44</v>
      </c>
      <c r="F19">
        <v>-2.14</v>
      </c>
      <c r="G19">
        <v>-0.75</v>
      </c>
      <c r="H19">
        <f t="shared" si="0"/>
        <v>0.35459183673469391</v>
      </c>
      <c r="I19">
        <f t="shared" si="1"/>
        <v>0.98064516129032253</v>
      </c>
      <c r="J19">
        <f t="shared" si="2"/>
        <v>1.4121290322580644</v>
      </c>
      <c r="K19">
        <f t="shared" si="3"/>
        <v>0.34772876892692561</v>
      </c>
    </row>
    <row r="20" spans="1:11" x14ac:dyDescent="0.25">
      <c r="A20" t="s">
        <v>25</v>
      </c>
      <c r="B20" t="s">
        <v>26</v>
      </c>
      <c r="C20">
        <v>15</v>
      </c>
      <c r="D20">
        <v>15</v>
      </c>
      <c r="E20">
        <v>-0.7</v>
      </c>
      <c r="F20">
        <v>-1.6</v>
      </c>
      <c r="G20">
        <v>0.21</v>
      </c>
      <c r="H20">
        <f t="shared" si="0"/>
        <v>0.46173469387755106</v>
      </c>
      <c r="I20">
        <f t="shared" si="1"/>
        <v>0.97297297297297303</v>
      </c>
      <c r="J20">
        <f t="shared" si="2"/>
        <v>0.68108108108108112</v>
      </c>
      <c r="K20">
        <f t="shared" si="3"/>
        <v>0.44925537782680647</v>
      </c>
    </row>
    <row r="21" spans="1:11" x14ac:dyDescent="0.25">
      <c r="A21" t="s">
        <v>25</v>
      </c>
      <c r="B21" t="s">
        <v>27</v>
      </c>
      <c r="C21">
        <v>10</v>
      </c>
      <c r="D21">
        <v>10</v>
      </c>
      <c r="E21">
        <v>-1.18</v>
      </c>
      <c r="F21">
        <v>-1.95</v>
      </c>
      <c r="G21">
        <v>-0.4</v>
      </c>
      <c r="H21">
        <f t="shared" si="0"/>
        <v>0.39540816326530609</v>
      </c>
      <c r="I21">
        <f t="shared" si="1"/>
        <v>0.95774647887323949</v>
      </c>
      <c r="J21">
        <f t="shared" si="2"/>
        <v>1.1301408450704225</v>
      </c>
      <c r="K21">
        <f t="shared" si="3"/>
        <v>0.3787007760850819</v>
      </c>
    </row>
    <row r="22" spans="1:11" x14ac:dyDescent="0.25">
      <c r="A22" t="s">
        <v>28</v>
      </c>
      <c r="C22">
        <v>21</v>
      </c>
      <c r="D22">
        <v>20</v>
      </c>
      <c r="E22">
        <v>0.09</v>
      </c>
      <c r="F22">
        <v>-0.52</v>
      </c>
      <c r="G22">
        <v>0.7</v>
      </c>
      <c r="H22">
        <f t="shared" si="0"/>
        <v>0.31122448979591838</v>
      </c>
      <c r="I22">
        <f t="shared" si="1"/>
        <v>0.98064516129032253</v>
      </c>
      <c r="J22">
        <f t="shared" si="2"/>
        <v>-8.8258064516129026E-2</v>
      </c>
      <c r="K22">
        <f t="shared" si="3"/>
        <v>0.30520078999341671</v>
      </c>
    </row>
    <row r="23" spans="1:11" x14ac:dyDescent="0.25">
      <c r="A23" t="s">
        <v>29</v>
      </c>
      <c r="C23">
        <v>9</v>
      </c>
      <c r="D23">
        <v>12</v>
      </c>
      <c r="E23">
        <v>-0.47</v>
      </c>
      <c r="F23">
        <v>-1.34</v>
      </c>
      <c r="G23">
        <v>0.41</v>
      </c>
      <c r="H23">
        <f t="shared" si="0"/>
        <v>0.44642857142857145</v>
      </c>
      <c r="I23">
        <f t="shared" si="1"/>
        <v>0.96</v>
      </c>
      <c r="J23">
        <f t="shared" si="2"/>
        <v>0.45119999999999993</v>
      </c>
      <c r="K23">
        <f t="shared" si="3"/>
        <v>0.4285714285714286</v>
      </c>
    </row>
    <row r="24" spans="1:11" x14ac:dyDescent="0.25">
      <c r="A24" t="s">
        <v>28</v>
      </c>
      <c r="B24" t="s">
        <v>30</v>
      </c>
      <c r="C24">
        <v>14</v>
      </c>
      <c r="D24">
        <v>9</v>
      </c>
      <c r="E24">
        <v>-0.67</v>
      </c>
      <c r="F24">
        <v>-1.4</v>
      </c>
      <c r="G24">
        <v>7.0000000000000007E-2</v>
      </c>
      <c r="H24">
        <f t="shared" si="0"/>
        <v>0.375</v>
      </c>
      <c r="I24">
        <f t="shared" si="1"/>
        <v>0.96385542168674698</v>
      </c>
      <c r="J24">
        <f t="shared" si="2"/>
        <v>0.64578313253012054</v>
      </c>
      <c r="K24">
        <f t="shared" si="3"/>
        <v>0.36144578313253012</v>
      </c>
    </row>
    <row r="25" spans="1:11" x14ac:dyDescent="0.25">
      <c r="A25" t="s">
        <v>28</v>
      </c>
      <c r="B25" t="s">
        <v>31</v>
      </c>
      <c r="C25">
        <v>15</v>
      </c>
      <c r="D25">
        <v>15</v>
      </c>
      <c r="E25">
        <v>-0.06</v>
      </c>
      <c r="F25">
        <v>-0.89</v>
      </c>
      <c r="G25">
        <v>0.78</v>
      </c>
      <c r="H25">
        <f t="shared" si="0"/>
        <v>0.42602040816326531</v>
      </c>
      <c r="I25">
        <f t="shared" si="1"/>
        <v>0.97297297297297303</v>
      </c>
      <c r="J25">
        <f t="shared" si="2"/>
        <v>5.8378378378378379E-2</v>
      </c>
      <c r="K25">
        <f t="shared" si="3"/>
        <v>0.41450634307777168</v>
      </c>
    </row>
    <row r="26" spans="1:11" x14ac:dyDescent="0.25">
      <c r="A26" t="s">
        <v>28</v>
      </c>
      <c r="B26" t="s">
        <v>30</v>
      </c>
      <c r="C26">
        <v>33</v>
      </c>
      <c r="D26">
        <v>35</v>
      </c>
      <c r="E26">
        <v>-0.86</v>
      </c>
      <c r="F26">
        <v>-1.36</v>
      </c>
      <c r="G26">
        <v>-0.35</v>
      </c>
      <c r="H26">
        <f t="shared" si="0"/>
        <v>0.25765306122448983</v>
      </c>
      <c r="I26">
        <f t="shared" si="1"/>
        <v>0.98859315589353614</v>
      </c>
      <c r="J26">
        <f t="shared" si="2"/>
        <v>0.85019011406844103</v>
      </c>
      <c r="K26">
        <f t="shared" si="3"/>
        <v>0.25471405292154886</v>
      </c>
    </row>
    <row r="27" spans="1:11" x14ac:dyDescent="0.25">
      <c r="A27" t="s">
        <v>28</v>
      </c>
      <c r="B27" t="s">
        <v>31</v>
      </c>
      <c r="C27">
        <v>32</v>
      </c>
      <c r="D27">
        <v>33</v>
      </c>
      <c r="E27">
        <v>-0.28999999999999998</v>
      </c>
      <c r="F27">
        <v>-0.77</v>
      </c>
      <c r="G27">
        <v>0.18</v>
      </c>
      <c r="H27">
        <f t="shared" si="0"/>
        <v>0.2423469387755102</v>
      </c>
      <c r="I27">
        <f t="shared" si="1"/>
        <v>0.98804780876494025</v>
      </c>
      <c r="J27">
        <f t="shared" si="2"/>
        <v>0.28653386454183266</v>
      </c>
      <c r="K27">
        <f t="shared" si="3"/>
        <v>0.23945036181803397</v>
      </c>
    </row>
    <row r="28" spans="1:11" x14ac:dyDescent="0.25">
      <c r="A28" t="s">
        <v>32</v>
      </c>
      <c r="B28" t="s">
        <v>33</v>
      </c>
      <c r="C28">
        <v>23</v>
      </c>
      <c r="D28">
        <v>19</v>
      </c>
      <c r="E28">
        <v>-0.08</v>
      </c>
      <c r="F28">
        <v>-0.91</v>
      </c>
      <c r="G28">
        <v>0.75</v>
      </c>
      <c r="H28">
        <f t="shared" si="0"/>
        <v>0.42346938775510207</v>
      </c>
      <c r="I28">
        <f t="shared" si="1"/>
        <v>0.98113207547169812</v>
      </c>
      <c r="J28">
        <f t="shared" si="2"/>
        <v>7.8490566037735854E-2</v>
      </c>
      <c r="K28">
        <f t="shared" si="3"/>
        <v>0.41547939930689259</v>
      </c>
    </row>
    <row r="29" spans="1:11" x14ac:dyDescent="0.25">
      <c r="A29" t="s">
        <v>32</v>
      </c>
      <c r="B29" t="s">
        <v>34</v>
      </c>
      <c r="C29">
        <v>23</v>
      </c>
      <c r="D29">
        <v>16</v>
      </c>
      <c r="E29">
        <v>-0.31</v>
      </c>
      <c r="F29">
        <v>-1.21</v>
      </c>
      <c r="G29">
        <v>0.57999999999999996</v>
      </c>
      <c r="H29">
        <f t="shared" si="0"/>
        <v>0.45663265306122452</v>
      </c>
      <c r="I29">
        <f t="shared" si="1"/>
        <v>0.97959183673469385</v>
      </c>
      <c r="J29">
        <f t="shared" si="2"/>
        <v>0.30367346938775508</v>
      </c>
      <c r="K29">
        <f t="shared" si="3"/>
        <v>0.44731361932528113</v>
      </c>
    </row>
    <row r="30" spans="1:11" x14ac:dyDescent="0.25">
      <c r="A30" t="s">
        <v>32</v>
      </c>
      <c r="B30" t="s">
        <v>35</v>
      </c>
      <c r="C30">
        <v>23</v>
      </c>
      <c r="D30">
        <v>28</v>
      </c>
      <c r="E30">
        <v>-0.7</v>
      </c>
      <c r="F30">
        <v>-1.51</v>
      </c>
      <c r="G30">
        <v>0.1</v>
      </c>
      <c r="H30">
        <f t="shared" si="0"/>
        <v>0.41071428571428575</v>
      </c>
      <c r="I30">
        <f t="shared" si="1"/>
        <v>0.98461538461538467</v>
      </c>
      <c r="J30">
        <f t="shared" si="2"/>
        <v>0.6892307692307692</v>
      </c>
      <c r="K30">
        <f t="shared" si="3"/>
        <v>0.40439560439560446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2026-02-01T23:33:43Z</dcterms:modified>
</cp:coreProperties>
</file>