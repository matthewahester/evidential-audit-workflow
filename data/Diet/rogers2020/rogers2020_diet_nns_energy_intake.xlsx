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rogers2020\"/>
    </mc:Choice>
  </mc:AlternateContent>
  <xr:revisionPtr revIDLastSave="0" documentId="13_ncr:1_{FD3A250C-AF46-4441-8AE6-837A641A6F58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 s="1"/>
  <c r="H4" i="1"/>
  <c r="I4" i="1"/>
  <c r="J4" i="1"/>
  <c r="K4" i="1"/>
  <c r="H5" i="1"/>
  <c r="I5" i="1"/>
  <c r="J5" i="1" s="1"/>
  <c r="K5" i="1"/>
  <c r="H6" i="1"/>
  <c r="I6" i="1"/>
  <c r="J6" i="1" s="1"/>
  <c r="H7" i="1"/>
  <c r="I7" i="1"/>
  <c r="J7" i="1"/>
  <c r="K7" i="1"/>
  <c r="H8" i="1"/>
  <c r="I8" i="1"/>
  <c r="J8" i="1"/>
  <c r="K8" i="1"/>
  <c r="H9" i="1"/>
  <c r="I9" i="1"/>
  <c r="J9" i="1" s="1"/>
  <c r="H10" i="1"/>
  <c r="I10" i="1"/>
  <c r="J10" i="1"/>
  <c r="K10" i="1"/>
  <c r="H11" i="1"/>
  <c r="I11" i="1"/>
  <c r="J11" i="1"/>
  <c r="K11" i="1"/>
  <c r="H12" i="1"/>
  <c r="I12" i="1"/>
  <c r="J12" i="1" s="1"/>
  <c r="H13" i="1"/>
  <c r="I13" i="1"/>
  <c r="J13" i="1"/>
  <c r="K13" i="1"/>
  <c r="H14" i="1"/>
  <c r="I14" i="1"/>
  <c r="J14" i="1"/>
  <c r="K14" i="1"/>
  <c r="H15" i="1"/>
  <c r="I15" i="1"/>
  <c r="J15" i="1" s="1"/>
  <c r="H16" i="1"/>
  <c r="I16" i="1"/>
  <c r="J16" i="1"/>
  <c r="K16" i="1"/>
  <c r="H17" i="1"/>
  <c r="I17" i="1"/>
  <c r="J17" i="1"/>
  <c r="K17" i="1"/>
  <c r="H18" i="1"/>
  <c r="I18" i="1"/>
  <c r="J18" i="1" s="1"/>
  <c r="H19" i="1"/>
  <c r="I19" i="1"/>
  <c r="J19" i="1"/>
  <c r="K19" i="1"/>
  <c r="H20" i="1"/>
  <c r="I20" i="1"/>
  <c r="J20" i="1"/>
  <c r="K20" i="1"/>
  <c r="H21" i="1"/>
  <c r="I21" i="1"/>
  <c r="J21" i="1" s="1"/>
  <c r="H22" i="1"/>
  <c r="I22" i="1"/>
  <c r="J22" i="1"/>
  <c r="K22" i="1"/>
  <c r="H23" i="1"/>
  <c r="I23" i="1"/>
  <c r="J23" i="1"/>
  <c r="K23" i="1"/>
  <c r="I2" i="1"/>
  <c r="K2" i="1" s="1"/>
  <c r="H2" i="1"/>
  <c r="K21" i="1" l="1"/>
  <c r="K18" i="1"/>
  <c r="K15" i="1"/>
  <c r="K12" i="1"/>
  <c r="K9" i="1"/>
  <c r="K6" i="1"/>
  <c r="K3" i="1"/>
  <c r="J2" i="1"/>
</calcChain>
</file>

<file path=xl/sharedStrings.xml><?xml version="1.0" encoding="utf-8"?>
<sst xmlns="http://schemas.openxmlformats.org/spreadsheetml/2006/main" count="47" uniqueCount="33">
  <si>
    <t>Author</t>
  </si>
  <si>
    <t>Group</t>
  </si>
  <si>
    <t>lCI</t>
  </si>
  <si>
    <t>uCI</t>
  </si>
  <si>
    <t>Blackburn</t>
  </si>
  <si>
    <t>Ebbeling</t>
  </si>
  <si>
    <t>Taljaard</t>
  </si>
  <si>
    <t>micronutrients</t>
  </si>
  <si>
    <t>no micronutrients</t>
  </si>
  <si>
    <t>Engel</t>
  </si>
  <si>
    <t>Vásquez-Duran</t>
  </si>
  <si>
    <t>Tate</t>
  </si>
  <si>
    <t>Higgins</t>
  </si>
  <si>
    <t>saccharin</t>
  </si>
  <si>
    <t>aspartame</t>
  </si>
  <si>
    <t>Reb. A</t>
  </si>
  <si>
    <t>sucralose</t>
  </si>
  <si>
    <t>Campos</t>
  </si>
  <si>
    <t>Raben</t>
  </si>
  <si>
    <t>Sánchez-Delgado</t>
  </si>
  <si>
    <t>stevia</t>
  </si>
  <si>
    <t>Reid</t>
  </si>
  <si>
    <t>told sugar</t>
  </si>
  <si>
    <t>told LCS</t>
  </si>
  <si>
    <t>females</t>
  </si>
  <si>
    <t>males</t>
  </si>
  <si>
    <t>n_treat</t>
  </si>
  <si>
    <t>n_control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</si>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</sst>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J8" sqref="J8"/>
    </sheetView>
  </sheetViews>
  <sheetFormatPr defaultRowHeight="15" x14ac:dyDescent="0.25"/>
  <cols>
    <col min="1" max="1" width="16.28515625" bestFit="1" customWidth="1"/>
    <col min="2" max="2" width="17" bestFit="1" customWidth="1"/>
    <col min="3" max="4" width="17" customWidth="1"/>
    <col min="5" max="7" width="5.7109375" bestFit="1" customWidth="1"/>
  </cols>
  <sheetData>
    <row r="1" spans="1:1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</v>
      </c>
      <c r="G1" t="s">
        <v>3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25">
      <c r="A2" t="s">
        <v>4</v>
      </c>
      <c r="C2">
        <v>82</v>
      </c>
      <c r="D2">
        <v>81</v>
      </c>
      <c r="E2">
        <v>0.08</v>
      </c>
      <c r="F2">
        <v>-0.4</v>
      </c>
      <c r="G2">
        <v>0.56000000000000005</v>
      </c>
      <c r="H2">
        <f>(G2-F2)/2/1.96</f>
        <v>0.24489795918367349</v>
      </c>
      <c r="I2">
        <f>1-3/(4*(C2+D2-2)-1)</f>
        <v>0.99533437013996895</v>
      </c>
      <c r="J2">
        <f>-I2*E2</f>
        <v>-7.962674961119752E-2</v>
      </c>
      <c r="K2">
        <f>I2*H2</f>
        <v>0.24375535595264547</v>
      </c>
    </row>
    <row r="3" spans="1:11" x14ac:dyDescent="0.25">
      <c r="A3" t="s">
        <v>5</v>
      </c>
      <c r="C3">
        <v>67</v>
      </c>
      <c r="D3">
        <v>67</v>
      </c>
      <c r="E3">
        <v>-0.54</v>
      </c>
      <c r="F3">
        <v>-0.91</v>
      </c>
      <c r="G3">
        <v>-0.18</v>
      </c>
      <c r="H3">
        <f t="shared" ref="H3:H23" si="0">(G3-F3)/2/1.96</f>
        <v>0.18622448979591838</v>
      </c>
      <c r="I3">
        <f t="shared" ref="I3:I23" si="1">1-3/(4*(C3+D3-2)-1)</f>
        <v>0.9943074003795066</v>
      </c>
      <c r="J3">
        <f t="shared" ref="J3:J23" si="2">-I3*E3</f>
        <v>0.53692599620493364</v>
      </c>
      <c r="K3">
        <f t="shared" ref="K3:K23" si="3">I3*H3</f>
        <v>0.18516438833597956</v>
      </c>
    </row>
    <row r="4" spans="1:11" x14ac:dyDescent="0.25">
      <c r="A4" t="s">
        <v>6</v>
      </c>
      <c r="B4" t="s">
        <v>7</v>
      </c>
      <c r="C4">
        <v>91</v>
      </c>
      <c r="D4">
        <v>87</v>
      </c>
      <c r="E4">
        <v>-0.33</v>
      </c>
      <c r="F4">
        <v>-0.63</v>
      </c>
      <c r="G4">
        <v>-0.04</v>
      </c>
      <c r="H4">
        <f t="shared" si="0"/>
        <v>0.15051020408163265</v>
      </c>
      <c r="I4">
        <f t="shared" si="1"/>
        <v>0.99573257467994314</v>
      </c>
      <c r="J4">
        <f t="shared" si="2"/>
        <v>0.32859174964438126</v>
      </c>
      <c r="K4">
        <f t="shared" si="3"/>
        <v>0.14986791302580776</v>
      </c>
    </row>
    <row r="5" spans="1:11" x14ac:dyDescent="0.25">
      <c r="A5" t="s">
        <v>6</v>
      </c>
      <c r="B5" t="s">
        <v>8</v>
      </c>
      <c r="C5">
        <v>88</v>
      </c>
      <c r="D5">
        <v>91</v>
      </c>
      <c r="E5">
        <v>-0.08</v>
      </c>
      <c r="F5">
        <v>-0.37</v>
      </c>
      <c r="G5">
        <v>0.21</v>
      </c>
      <c r="H5">
        <f t="shared" si="0"/>
        <v>0.14795918367346939</v>
      </c>
      <c r="I5">
        <f t="shared" si="1"/>
        <v>0.99575671852899572</v>
      </c>
      <c r="J5">
        <f t="shared" si="2"/>
        <v>7.966053748231966E-2</v>
      </c>
      <c r="K5">
        <f t="shared" si="3"/>
        <v>0.14733135121092283</v>
      </c>
    </row>
    <row r="6" spans="1:11" x14ac:dyDescent="0.25">
      <c r="A6" t="s">
        <v>9</v>
      </c>
      <c r="C6">
        <v>15</v>
      </c>
      <c r="D6">
        <v>14</v>
      </c>
      <c r="E6">
        <v>-0.06</v>
      </c>
      <c r="F6">
        <v>-0.83</v>
      </c>
      <c r="G6">
        <v>0.72</v>
      </c>
      <c r="H6">
        <f t="shared" si="0"/>
        <v>0.39540816326530609</v>
      </c>
      <c r="I6">
        <f t="shared" si="1"/>
        <v>0.9719626168224299</v>
      </c>
      <c r="J6">
        <f t="shared" si="2"/>
        <v>5.8317757009345793E-2</v>
      </c>
      <c r="K6">
        <f t="shared" si="3"/>
        <v>0.38432195308029748</v>
      </c>
    </row>
    <row r="7" spans="1:11" x14ac:dyDescent="0.25">
      <c r="A7" t="s">
        <v>10</v>
      </c>
      <c r="C7">
        <v>50</v>
      </c>
      <c r="D7">
        <v>49</v>
      </c>
      <c r="E7">
        <v>0.09</v>
      </c>
      <c r="F7">
        <v>-0.3</v>
      </c>
      <c r="G7">
        <v>0.49</v>
      </c>
      <c r="H7">
        <f t="shared" si="0"/>
        <v>0.20153061224489796</v>
      </c>
      <c r="I7">
        <f t="shared" si="1"/>
        <v>0.99224806201550386</v>
      </c>
      <c r="J7">
        <f t="shared" si="2"/>
        <v>-8.930232558139535E-2</v>
      </c>
      <c r="K7">
        <f t="shared" si="3"/>
        <v>0.19996835943679797</v>
      </c>
    </row>
    <row r="8" spans="1:11" x14ac:dyDescent="0.25">
      <c r="A8" t="s">
        <v>11</v>
      </c>
      <c r="C8">
        <v>105</v>
      </c>
      <c r="D8">
        <v>105</v>
      </c>
      <c r="E8">
        <v>0.02</v>
      </c>
      <c r="F8">
        <v>-0.24</v>
      </c>
      <c r="G8">
        <v>0.28999999999999998</v>
      </c>
      <c r="H8">
        <f t="shared" si="0"/>
        <v>0.13520408163265307</v>
      </c>
      <c r="I8">
        <f t="shared" si="1"/>
        <v>0.99638989169675085</v>
      </c>
      <c r="J8">
        <f t="shared" si="2"/>
        <v>-1.9927797833935019E-2</v>
      </c>
      <c r="K8">
        <f t="shared" si="3"/>
        <v>0.13471598025491785</v>
      </c>
    </row>
    <row r="9" spans="1:11" x14ac:dyDescent="0.25">
      <c r="A9" t="s">
        <v>12</v>
      </c>
      <c r="B9" t="s">
        <v>13</v>
      </c>
      <c r="C9">
        <v>29</v>
      </c>
      <c r="D9">
        <v>39</v>
      </c>
      <c r="E9">
        <v>-0.86</v>
      </c>
      <c r="F9">
        <v>-1.61</v>
      </c>
      <c r="G9">
        <v>-0.12</v>
      </c>
      <c r="H9">
        <f t="shared" si="0"/>
        <v>0.38010204081632659</v>
      </c>
      <c r="I9">
        <f t="shared" si="1"/>
        <v>0.98859315589353614</v>
      </c>
      <c r="J9">
        <f t="shared" si="2"/>
        <v>0.85019011406844103</v>
      </c>
      <c r="K9">
        <f t="shared" si="3"/>
        <v>0.37576627609218599</v>
      </c>
    </row>
    <row r="10" spans="1:11" x14ac:dyDescent="0.25">
      <c r="A10" t="s">
        <v>12</v>
      </c>
      <c r="B10" t="s">
        <v>14</v>
      </c>
      <c r="C10">
        <v>30</v>
      </c>
      <c r="D10">
        <v>39</v>
      </c>
      <c r="E10">
        <v>-0.55000000000000004</v>
      </c>
      <c r="F10">
        <v>-1.28</v>
      </c>
      <c r="G10">
        <v>0.18</v>
      </c>
      <c r="H10">
        <f t="shared" si="0"/>
        <v>0.37244897959183676</v>
      </c>
      <c r="I10">
        <f t="shared" si="1"/>
        <v>0.9887640449438202</v>
      </c>
      <c r="J10">
        <f t="shared" si="2"/>
        <v>0.54382022471910119</v>
      </c>
      <c r="K10">
        <f t="shared" si="3"/>
        <v>0.36826415959642284</v>
      </c>
    </row>
    <row r="11" spans="1:11" x14ac:dyDescent="0.25">
      <c r="A11" t="s">
        <v>12</v>
      </c>
      <c r="B11" t="s">
        <v>15</v>
      </c>
      <c r="C11">
        <v>28</v>
      </c>
      <c r="D11">
        <v>39</v>
      </c>
      <c r="E11">
        <v>-0.8</v>
      </c>
      <c r="F11">
        <v>-1.54</v>
      </c>
      <c r="G11">
        <v>-0.05</v>
      </c>
      <c r="H11">
        <f t="shared" si="0"/>
        <v>0.38010204081632654</v>
      </c>
      <c r="I11">
        <f t="shared" si="1"/>
        <v>0.98841698841698844</v>
      </c>
      <c r="J11">
        <f t="shared" si="2"/>
        <v>0.79073359073359084</v>
      </c>
      <c r="K11">
        <f t="shared" si="3"/>
        <v>0.37569931447482469</v>
      </c>
    </row>
    <row r="12" spans="1:11" x14ac:dyDescent="0.25">
      <c r="A12" t="s">
        <v>12</v>
      </c>
      <c r="B12" t="s">
        <v>16</v>
      </c>
      <c r="C12">
        <v>28</v>
      </c>
      <c r="D12">
        <v>39</v>
      </c>
      <c r="E12">
        <v>-0.9</v>
      </c>
      <c r="F12">
        <v>-1.69</v>
      </c>
      <c r="G12">
        <v>-0.12</v>
      </c>
      <c r="H12">
        <f t="shared" si="0"/>
        <v>0.40051020408163263</v>
      </c>
      <c r="I12">
        <f t="shared" si="1"/>
        <v>0.98841698841698844</v>
      </c>
      <c r="J12">
        <f t="shared" si="2"/>
        <v>0.88957528957528964</v>
      </c>
      <c r="K12">
        <f t="shared" si="3"/>
        <v>0.39587108974864077</v>
      </c>
    </row>
    <row r="13" spans="1:11" x14ac:dyDescent="0.25">
      <c r="A13" t="s">
        <v>17</v>
      </c>
      <c r="C13">
        <v>14</v>
      </c>
      <c r="D13">
        <v>13</v>
      </c>
      <c r="E13">
        <v>-0.9</v>
      </c>
      <c r="F13">
        <v>-1.69</v>
      </c>
      <c r="G13">
        <v>-0.1</v>
      </c>
      <c r="H13">
        <f t="shared" si="0"/>
        <v>0.40561224489795916</v>
      </c>
      <c r="I13">
        <f t="shared" si="1"/>
        <v>0.96969696969696972</v>
      </c>
      <c r="J13">
        <f t="shared" si="2"/>
        <v>0.8727272727272728</v>
      </c>
      <c r="K13">
        <f t="shared" si="3"/>
        <v>0.39332096474953615</v>
      </c>
    </row>
    <row r="14" spans="1:11" x14ac:dyDescent="0.25">
      <c r="A14" t="s">
        <v>18</v>
      </c>
      <c r="C14">
        <v>20</v>
      </c>
      <c r="D14">
        <v>21</v>
      </c>
      <c r="E14">
        <v>-1.1499999999999999</v>
      </c>
      <c r="F14">
        <v>-1.81</v>
      </c>
      <c r="G14">
        <v>-0.48</v>
      </c>
      <c r="H14">
        <f t="shared" si="0"/>
        <v>0.3392857142857143</v>
      </c>
      <c r="I14">
        <f t="shared" si="1"/>
        <v>0.98064516129032253</v>
      </c>
      <c r="J14">
        <f t="shared" si="2"/>
        <v>1.1277419354838709</v>
      </c>
      <c r="K14">
        <f t="shared" si="3"/>
        <v>0.33271889400921661</v>
      </c>
    </row>
    <row r="15" spans="1:11" x14ac:dyDescent="0.25">
      <c r="A15" t="s">
        <v>19</v>
      </c>
      <c r="B15" t="s">
        <v>16</v>
      </c>
      <c r="C15">
        <v>13</v>
      </c>
      <c r="D15">
        <v>12</v>
      </c>
      <c r="E15">
        <v>0</v>
      </c>
      <c r="F15">
        <v>-0.97</v>
      </c>
      <c r="G15">
        <v>0.96</v>
      </c>
      <c r="H15">
        <f t="shared" si="0"/>
        <v>0.49234693877551022</v>
      </c>
      <c r="I15">
        <f t="shared" si="1"/>
        <v>0.96703296703296704</v>
      </c>
      <c r="J15">
        <f t="shared" si="2"/>
        <v>0</v>
      </c>
      <c r="K15">
        <f t="shared" si="3"/>
        <v>0.47611572101368022</v>
      </c>
    </row>
    <row r="16" spans="1:11" x14ac:dyDescent="0.25">
      <c r="A16" t="s">
        <v>19</v>
      </c>
      <c r="B16" t="s">
        <v>20</v>
      </c>
      <c r="C16">
        <v>13</v>
      </c>
      <c r="D16">
        <v>12</v>
      </c>
      <c r="E16">
        <v>0.24</v>
      </c>
      <c r="F16">
        <v>-0.73</v>
      </c>
      <c r="G16">
        <v>1.21</v>
      </c>
      <c r="H16">
        <f t="shared" si="0"/>
        <v>0.49489795918367346</v>
      </c>
      <c r="I16">
        <f t="shared" si="1"/>
        <v>0.96703296703296704</v>
      </c>
      <c r="J16">
        <f t="shared" si="2"/>
        <v>-0.23208791208791207</v>
      </c>
      <c r="K16">
        <f t="shared" si="3"/>
        <v>0.47858264184794796</v>
      </c>
    </row>
    <row r="17" spans="1:11" x14ac:dyDescent="0.25">
      <c r="A17" t="s">
        <v>21</v>
      </c>
      <c r="C17">
        <v>21</v>
      </c>
      <c r="D17">
        <v>20</v>
      </c>
      <c r="E17">
        <v>-0.65</v>
      </c>
      <c r="F17">
        <v>-1.28</v>
      </c>
      <c r="G17">
        <v>-0.02</v>
      </c>
      <c r="H17">
        <f t="shared" si="0"/>
        <v>0.32142857142857145</v>
      </c>
      <c r="I17">
        <f t="shared" si="1"/>
        <v>0.98064516129032253</v>
      </c>
      <c r="J17">
        <f t="shared" si="2"/>
        <v>0.63741935483870971</v>
      </c>
      <c r="K17">
        <f t="shared" si="3"/>
        <v>0.31520737327188941</v>
      </c>
    </row>
    <row r="18" spans="1:11" x14ac:dyDescent="0.25">
      <c r="A18" t="s">
        <v>21</v>
      </c>
      <c r="B18" t="s">
        <v>22</v>
      </c>
      <c r="C18">
        <v>14</v>
      </c>
      <c r="D18">
        <v>9</v>
      </c>
      <c r="E18">
        <v>-0.87</v>
      </c>
      <c r="F18">
        <v>-1.62</v>
      </c>
      <c r="G18">
        <v>-0.12</v>
      </c>
      <c r="H18">
        <f t="shared" si="0"/>
        <v>0.38265306122448978</v>
      </c>
      <c r="I18">
        <f t="shared" si="1"/>
        <v>0.96385542168674698</v>
      </c>
      <c r="J18">
        <f t="shared" si="2"/>
        <v>0.83855421686746989</v>
      </c>
      <c r="K18">
        <f t="shared" si="3"/>
        <v>0.36882222768625522</v>
      </c>
    </row>
    <row r="19" spans="1:11" x14ac:dyDescent="0.25">
      <c r="A19" t="s">
        <v>21</v>
      </c>
      <c r="B19" t="s">
        <v>23</v>
      </c>
      <c r="C19">
        <v>15</v>
      </c>
      <c r="D19">
        <v>15</v>
      </c>
      <c r="E19">
        <v>-0.59</v>
      </c>
      <c r="F19">
        <v>-1.44</v>
      </c>
      <c r="G19">
        <v>0.27</v>
      </c>
      <c r="H19">
        <f t="shared" si="0"/>
        <v>0.43622448979591838</v>
      </c>
      <c r="I19">
        <f t="shared" si="1"/>
        <v>0.97297297297297303</v>
      </c>
      <c r="J19">
        <f t="shared" si="2"/>
        <v>0.57405405405405407</v>
      </c>
      <c r="K19">
        <f t="shared" si="3"/>
        <v>0.42443463872035303</v>
      </c>
    </row>
    <row r="20" spans="1:11" x14ac:dyDescent="0.25">
      <c r="A20" t="s">
        <v>21</v>
      </c>
      <c r="B20" t="s">
        <v>22</v>
      </c>
      <c r="C20">
        <v>33</v>
      </c>
      <c r="D20">
        <v>35</v>
      </c>
      <c r="E20">
        <v>-0.44</v>
      </c>
      <c r="F20">
        <v>-0.93</v>
      </c>
      <c r="G20">
        <v>0.05</v>
      </c>
      <c r="H20">
        <f t="shared" si="0"/>
        <v>0.25000000000000006</v>
      </c>
      <c r="I20">
        <f t="shared" si="1"/>
        <v>0.98859315589353614</v>
      </c>
      <c r="J20">
        <f t="shared" si="2"/>
        <v>0.43498098859315593</v>
      </c>
      <c r="K20">
        <f t="shared" si="3"/>
        <v>0.24714828897338409</v>
      </c>
    </row>
    <row r="21" spans="1:11" x14ac:dyDescent="0.25">
      <c r="A21" t="s">
        <v>21</v>
      </c>
      <c r="B21" t="s">
        <v>23</v>
      </c>
      <c r="C21">
        <v>32</v>
      </c>
      <c r="D21">
        <v>33</v>
      </c>
      <c r="E21">
        <v>-0.52</v>
      </c>
      <c r="F21">
        <v>-1.01</v>
      </c>
      <c r="G21">
        <v>-0.04</v>
      </c>
      <c r="H21">
        <f t="shared" si="0"/>
        <v>0.24744897959183673</v>
      </c>
      <c r="I21">
        <f t="shared" si="1"/>
        <v>0.98804780876494025</v>
      </c>
      <c r="J21">
        <f t="shared" si="2"/>
        <v>0.51378486055776895</v>
      </c>
      <c r="K21">
        <f t="shared" si="3"/>
        <v>0.24449142206683469</v>
      </c>
    </row>
    <row r="22" spans="1:11" x14ac:dyDescent="0.25">
      <c r="A22" t="s">
        <v>21</v>
      </c>
      <c r="B22" t="s">
        <v>24</v>
      </c>
      <c r="C22">
        <v>7</v>
      </c>
      <c r="D22">
        <v>7</v>
      </c>
      <c r="E22">
        <v>-0.72</v>
      </c>
      <c r="F22">
        <v>-1.85</v>
      </c>
      <c r="G22">
        <v>0.41</v>
      </c>
      <c r="H22">
        <f t="shared" si="0"/>
        <v>0.57653061224489799</v>
      </c>
      <c r="I22">
        <f t="shared" si="1"/>
        <v>0.93617021276595747</v>
      </c>
      <c r="J22">
        <f t="shared" si="2"/>
        <v>0.67404255319148931</v>
      </c>
      <c r="K22">
        <f t="shared" si="3"/>
        <v>0.5397307859313939</v>
      </c>
    </row>
    <row r="23" spans="1:11" x14ac:dyDescent="0.25">
      <c r="A23" t="s">
        <v>21</v>
      </c>
      <c r="B23" t="s">
        <v>25</v>
      </c>
      <c r="C23">
        <v>7</v>
      </c>
      <c r="D23">
        <v>6</v>
      </c>
      <c r="E23">
        <v>-0.25</v>
      </c>
      <c r="F23">
        <v>-1.3</v>
      </c>
      <c r="G23">
        <v>0.8</v>
      </c>
      <c r="H23">
        <f t="shared" si="0"/>
        <v>0.5357142857142857</v>
      </c>
      <c r="I23">
        <f t="shared" si="1"/>
        <v>0.93023255813953487</v>
      </c>
      <c r="J23">
        <f t="shared" si="2"/>
        <v>0.23255813953488372</v>
      </c>
      <c r="K23">
        <f t="shared" si="3"/>
        <v>0.49833887043189368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2026-02-01T23:44:03Z</dcterms:modified>
</cp:coreProperties>
</file>