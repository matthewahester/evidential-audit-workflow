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shannon2020\"/>
    </mc:Choice>
  </mc:AlternateContent>
  <xr:revisionPtr revIDLastSave="0" documentId="13_ncr:1_{B417EBD2-8E68-45D3-8D55-D961F72C2B6D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" i="1"/>
  <c r="J5" i="1"/>
  <c r="J6" i="1"/>
  <c r="J7" i="1"/>
  <c r="J8" i="1"/>
  <c r="J3" i="1"/>
  <c r="J9" i="1"/>
  <c r="J10" i="1"/>
  <c r="J11" i="1"/>
  <c r="J4" i="1"/>
  <c r="J12" i="1"/>
  <c r="J13" i="1"/>
  <c r="J14" i="1"/>
  <c r="J15" i="1"/>
  <c r="J16" i="1"/>
  <c r="J17" i="1"/>
  <c r="J18" i="1"/>
  <c r="J19" i="1"/>
  <c r="J2" i="1"/>
  <c r="G5" i="1" l="1"/>
  <c r="I5" i="1" s="1"/>
  <c r="K5" i="1" s="1"/>
  <c r="G6" i="1"/>
  <c r="I6" i="1" s="1"/>
  <c r="K6" i="1" s="1"/>
  <c r="G7" i="1"/>
  <c r="I7" i="1" s="1"/>
  <c r="K7" i="1" s="1"/>
  <c r="G8" i="1"/>
  <c r="I8" i="1" s="1"/>
  <c r="K8" i="1" s="1"/>
  <c r="G3" i="1"/>
  <c r="H3" i="1" s="1"/>
  <c r="I3" i="1" s="1"/>
  <c r="K3" i="1" s="1"/>
  <c r="G9" i="1"/>
  <c r="I9" i="1" s="1"/>
  <c r="K9" i="1" s="1"/>
  <c r="G10" i="1"/>
  <c r="I10" i="1" s="1"/>
  <c r="K10" i="1" s="1"/>
  <c r="G11" i="1"/>
  <c r="I11" i="1" s="1"/>
  <c r="K11" i="1" s="1"/>
  <c r="G4" i="1"/>
  <c r="H4" i="1" s="1"/>
  <c r="I4" i="1" s="1"/>
  <c r="K4" i="1" s="1"/>
  <c r="G12" i="1"/>
  <c r="I12" i="1" s="1"/>
  <c r="K12" i="1" s="1"/>
  <c r="G13" i="1"/>
  <c r="I13" i="1" s="1"/>
  <c r="K13" i="1" s="1"/>
  <c r="G14" i="1"/>
  <c r="I14" i="1" s="1"/>
  <c r="K14" i="1" s="1"/>
  <c r="G15" i="1"/>
  <c r="I15" i="1" s="1"/>
  <c r="K15" i="1" s="1"/>
  <c r="G16" i="1"/>
  <c r="I16" i="1" s="1"/>
  <c r="K16" i="1" s="1"/>
  <c r="G17" i="1"/>
  <c r="I17" i="1" s="1"/>
  <c r="K17" i="1" s="1"/>
  <c r="G18" i="1"/>
  <c r="I18" i="1" s="1"/>
  <c r="K18" i="1" s="1"/>
  <c r="G19" i="1"/>
  <c r="I19" i="1" s="1"/>
  <c r="K19" i="1" s="1"/>
  <c r="G2" i="1"/>
  <c r="H2" i="1" s="1"/>
  <c r="I2" i="1" s="1"/>
  <c r="K2" i="1" s="1"/>
</calcChain>
</file>

<file path=xl/sharedStrings.xml><?xml version="1.0" encoding="utf-8"?>
<sst xmlns="http://schemas.openxmlformats.org/spreadsheetml/2006/main" count="48" uniqueCount="32">
  <si>
    <t>Author</t>
  </si>
  <si>
    <t>Lower</t>
  </si>
  <si>
    <t>Upper</t>
  </si>
  <si>
    <t>Ambring</t>
  </si>
  <si>
    <t>Buscemi</t>
  </si>
  <si>
    <t>Ceriello</t>
  </si>
  <si>
    <t>Davis</t>
  </si>
  <si>
    <t>Esposito</t>
  </si>
  <si>
    <t>Fuentes</t>
  </si>
  <si>
    <t>Jaacks</t>
  </si>
  <si>
    <t>Klonizakis</t>
  </si>
  <si>
    <t>Maiorino</t>
  </si>
  <si>
    <t>Marin</t>
  </si>
  <si>
    <t>Thomazella</t>
  </si>
  <si>
    <t>Murie-Fernandeza</t>
  </si>
  <si>
    <t>Murie-Fernandezb</t>
  </si>
  <si>
    <t>Sala-Vilaa</t>
  </si>
  <si>
    <t>Sala-Vilab</t>
  </si>
  <si>
    <t>Torres-Penaa</t>
  </si>
  <si>
    <t>Torres-Penab</t>
  </si>
  <si>
    <t>Torres-Penac</t>
  </si>
  <si>
    <t>design</t>
  </si>
  <si>
    <t>n</t>
  </si>
  <si>
    <t>md</t>
  </si>
  <si>
    <t>md_se</t>
  </si>
  <si>
    <t>Cross-over</t>
  </si>
  <si>
    <t>Parallel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</si>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</sst>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L13" sqref="L13"/>
    </sheetView>
  </sheetViews>
  <sheetFormatPr defaultRowHeight="15" x14ac:dyDescent="0.25"/>
  <cols>
    <col min="1" max="1" width="25.5703125" customWidth="1"/>
    <col min="2" max="2" width="7.5703125" bestFit="1" customWidth="1"/>
    <col min="3" max="3" width="6.42578125" bestFit="1" customWidth="1"/>
    <col min="4" max="4" width="6.5703125" bestFit="1" customWidth="1"/>
  </cols>
  <sheetData>
    <row r="1" spans="1:12" x14ac:dyDescent="0.25">
      <c r="A1" s="1" t="s">
        <v>0</v>
      </c>
      <c r="B1" t="s">
        <v>23</v>
      </c>
      <c r="C1" s="1" t="s">
        <v>1</v>
      </c>
      <c r="D1" s="1" t="s">
        <v>2</v>
      </c>
      <c r="E1" s="1" t="s">
        <v>22</v>
      </c>
      <c r="F1" s="1" t="s">
        <v>21</v>
      </c>
      <c r="G1" t="s">
        <v>24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5">
      <c r="A2" s="2" t="s">
        <v>3</v>
      </c>
      <c r="B2" s="2">
        <v>-0.15</v>
      </c>
      <c r="C2" s="2">
        <v>-0.56999999999999995</v>
      </c>
      <c r="D2" s="2">
        <v>0.27</v>
      </c>
      <c r="E2" s="2">
        <v>22</v>
      </c>
      <c r="F2" t="s">
        <v>25</v>
      </c>
      <c r="G2">
        <f t="shared" ref="G2:G19" si="0">(D2-C2)/1.96/2</f>
        <v>0.21428571428571427</v>
      </c>
      <c r="H2">
        <f>G2*SQRT(E2)</f>
        <v>1.0050890913907349</v>
      </c>
      <c r="I2">
        <f t="shared" ref="I2:I19" si="1">B2/H2</f>
        <v>-0.14924050144892731</v>
      </c>
      <c r="J2">
        <f t="shared" ref="J2:J19" si="2">1-3/(4*(E2-1)-1)</f>
        <v>0.96385542168674698</v>
      </c>
      <c r="K2">
        <f t="shared" ref="K2:K19" si="3">J2*I2</f>
        <v>-0.14384626645679741</v>
      </c>
      <c r="L2">
        <f>J2*G2/H2</f>
        <v>0.20549466636685343</v>
      </c>
    </row>
    <row r="3" spans="1:12" x14ac:dyDescent="0.25">
      <c r="A3" s="2" t="s">
        <v>8</v>
      </c>
      <c r="B3" s="2">
        <v>0.37</v>
      </c>
      <c r="C3" s="2">
        <v>-0.06</v>
      </c>
      <c r="D3" s="2">
        <v>0.8</v>
      </c>
      <c r="E3" s="2">
        <v>22</v>
      </c>
      <c r="F3" t="s">
        <v>25</v>
      </c>
      <c r="G3">
        <f t="shared" si="0"/>
        <v>0.21938775510204084</v>
      </c>
      <c r="H3">
        <f>G3*SQRT(E3)</f>
        <v>1.0290197840428954</v>
      </c>
      <c r="I3">
        <f t="shared" si="1"/>
        <v>0.35956548721183412</v>
      </c>
      <c r="J3">
        <f t="shared" si="2"/>
        <v>0.96385542168674698</v>
      </c>
      <c r="K3">
        <f t="shared" si="3"/>
        <v>0.34656914430056301</v>
      </c>
      <c r="L3">
        <f>J3*G3/H3</f>
        <v>0.20549466636685343</v>
      </c>
    </row>
    <row r="4" spans="1:12" x14ac:dyDescent="0.25">
      <c r="A4" s="2" t="s">
        <v>12</v>
      </c>
      <c r="B4" s="2">
        <v>0.56000000000000005</v>
      </c>
      <c r="C4" s="2">
        <v>-7.0000000000000007E-2</v>
      </c>
      <c r="D4" s="2">
        <v>1.2</v>
      </c>
      <c r="E4" s="2">
        <v>20</v>
      </c>
      <c r="F4" t="s">
        <v>25</v>
      </c>
      <c r="G4">
        <f t="shared" si="0"/>
        <v>0.32397959183673469</v>
      </c>
      <c r="H4">
        <f>G4*SQRT(E4)</f>
        <v>1.4488807813391495</v>
      </c>
      <c r="I4">
        <f t="shared" si="1"/>
        <v>0.38650523025256206</v>
      </c>
      <c r="J4">
        <f t="shared" si="2"/>
        <v>0.96</v>
      </c>
      <c r="K4">
        <f t="shared" si="3"/>
        <v>0.37104502104245957</v>
      </c>
      <c r="L4">
        <f>J4*G4/H4</f>
        <v>0.2146625258399798</v>
      </c>
    </row>
    <row r="5" spans="1:12" x14ac:dyDescent="0.25">
      <c r="A5" s="2" t="s">
        <v>4</v>
      </c>
      <c r="B5" s="2">
        <v>0.21</v>
      </c>
      <c r="C5" s="2">
        <v>-0.67</v>
      </c>
      <c r="D5" s="2">
        <v>1.0900000000000001</v>
      </c>
      <c r="E5" s="2">
        <v>20</v>
      </c>
      <c r="F5" t="s">
        <v>26</v>
      </c>
      <c r="G5">
        <f t="shared" si="0"/>
        <v>0.44897959183673475</v>
      </c>
      <c r="H5">
        <f>G5*SQRT(E5/4)</f>
        <v>1.0039488878570486</v>
      </c>
      <c r="I5">
        <f t="shared" si="1"/>
        <v>0.20917399534975301</v>
      </c>
      <c r="J5">
        <f t="shared" si="2"/>
        <v>0.96</v>
      </c>
      <c r="K5">
        <f t="shared" si="3"/>
        <v>0.20080703553576287</v>
      </c>
      <c r="L5">
        <f>J5*G5/H5</f>
        <v>0.4293250516799596</v>
      </c>
    </row>
    <row r="6" spans="1:12" x14ac:dyDescent="0.25">
      <c r="A6" s="2" t="s">
        <v>5</v>
      </c>
      <c r="B6" s="2">
        <v>1.22</v>
      </c>
      <c r="C6" s="2">
        <v>0.35</v>
      </c>
      <c r="D6" s="2">
        <v>2.09</v>
      </c>
      <c r="E6" s="2">
        <v>24</v>
      </c>
      <c r="F6" t="s">
        <v>26</v>
      </c>
      <c r="G6">
        <f t="shared" si="0"/>
        <v>0.4438775510204081</v>
      </c>
      <c r="H6">
        <f t="shared" ref="H6:H19" si="4">G6*SQRT(E6/4)</f>
        <v>1.0872735082762064</v>
      </c>
      <c r="I6">
        <f t="shared" si="1"/>
        <v>1.1220727725944706</v>
      </c>
      <c r="J6">
        <f t="shared" si="2"/>
        <v>0.96703296703296704</v>
      </c>
      <c r="K6">
        <f t="shared" si="3"/>
        <v>1.0850813625089386</v>
      </c>
      <c r="L6">
        <f>J6*G6/H6</f>
        <v>0.39478955561340606</v>
      </c>
    </row>
    <row r="7" spans="1:12" x14ac:dyDescent="0.25">
      <c r="A7" s="2" t="s">
        <v>6</v>
      </c>
      <c r="B7" s="2">
        <v>0.36</v>
      </c>
      <c r="C7" s="2">
        <v>0.06</v>
      </c>
      <c r="D7" s="2">
        <v>0.67</v>
      </c>
      <c r="E7" s="2">
        <v>166</v>
      </c>
      <c r="F7" t="s">
        <v>26</v>
      </c>
      <c r="G7">
        <f t="shared" si="0"/>
        <v>0.15561224489795922</v>
      </c>
      <c r="H7">
        <f t="shared" si="4"/>
        <v>1.0024617631763175</v>
      </c>
      <c r="I7">
        <f t="shared" si="1"/>
        <v>0.35911594159894311</v>
      </c>
      <c r="J7">
        <f t="shared" si="2"/>
        <v>0.99544764795144158</v>
      </c>
      <c r="K7">
        <f t="shared" si="3"/>
        <v>0.35748111940653515</v>
      </c>
      <c r="L7">
        <f>J7*G7/H7</f>
        <v>0.15452344305412877</v>
      </c>
    </row>
    <row r="8" spans="1:12" x14ac:dyDescent="0.25">
      <c r="A8" s="2" t="s">
        <v>7</v>
      </c>
      <c r="B8" s="2">
        <v>1.44</v>
      </c>
      <c r="C8" s="2">
        <v>1.1100000000000001</v>
      </c>
      <c r="D8" s="2">
        <v>1.77</v>
      </c>
      <c r="E8" s="2">
        <v>180</v>
      </c>
      <c r="F8" t="s">
        <v>26</v>
      </c>
      <c r="G8">
        <f t="shared" si="0"/>
        <v>0.1683673469387755</v>
      </c>
      <c r="H8">
        <f t="shared" si="4"/>
        <v>1.1294424988391796</v>
      </c>
      <c r="I8">
        <f t="shared" si="1"/>
        <v>1.2749653049889709</v>
      </c>
      <c r="J8">
        <f t="shared" si="2"/>
        <v>0.99580419580419577</v>
      </c>
      <c r="K8">
        <f t="shared" si="3"/>
        <v>1.2696158002127933</v>
      </c>
      <c r="L8">
        <f>J8*G8/H8</f>
        <v>0.14844572493984617</v>
      </c>
    </row>
    <row r="9" spans="1:12" x14ac:dyDescent="0.25">
      <c r="A9" s="2" t="s">
        <v>9</v>
      </c>
      <c r="B9" s="2">
        <v>0.47</v>
      </c>
      <c r="C9" s="2">
        <v>-0.42</v>
      </c>
      <c r="D9" s="2">
        <v>1.36</v>
      </c>
      <c r="E9" s="2">
        <v>30</v>
      </c>
      <c r="F9" t="s">
        <v>26</v>
      </c>
      <c r="G9">
        <f t="shared" si="0"/>
        <v>0.45408163265306123</v>
      </c>
      <c r="H9">
        <f t="shared" si="4"/>
        <v>1.2435537657642803</v>
      </c>
      <c r="I9">
        <f t="shared" si="1"/>
        <v>0.37794907863202915</v>
      </c>
      <c r="J9">
        <f t="shared" si="2"/>
        <v>0.97391304347826091</v>
      </c>
      <c r="K9">
        <f t="shared" si="3"/>
        <v>0.36808953745032408</v>
      </c>
      <c r="L9">
        <f>J9*G9/H9</f>
        <v>0.35562276197436871</v>
      </c>
    </row>
    <row r="10" spans="1:12" x14ac:dyDescent="0.25">
      <c r="A10" s="2" t="s">
        <v>10</v>
      </c>
      <c r="B10" s="2">
        <v>-0.09</v>
      </c>
      <c r="C10" s="2">
        <v>-0.92</v>
      </c>
      <c r="D10" s="2">
        <v>0.75</v>
      </c>
      <c r="E10" s="2">
        <v>22</v>
      </c>
      <c r="F10" t="s">
        <v>26</v>
      </c>
      <c r="G10">
        <f t="shared" si="0"/>
        <v>0.42602040816326531</v>
      </c>
      <c r="H10">
        <f t="shared" si="4"/>
        <v>0.99910641822769486</v>
      </c>
      <c r="I10">
        <f t="shared" si="1"/>
        <v>-9.0080494287735749E-2</v>
      </c>
      <c r="J10">
        <f t="shared" si="2"/>
        <v>0.96385542168674698</v>
      </c>
      <c r="K10">
        <f t="shared" si="3"/>
        <v>-8.6824572807456146E-2</v>
      </c>
      <c r="L10">
        <f>J10*G10/H10</f>
        <v>0.4109893327337068</v>
      </c>
    </row>
    <row r="11" spans="1:12" x14ac:dyDescent="0.25">
      <c r="A11" s="2" t="s">
        <v>11</v>
      </c>
      <c r="B11" s="2">
        <v>0.04</v>
      </c>
      <c r="C11" s="2">
        <v>-0.23</v>
      </c>
      <c r="D11" s="2">
        <v>0.3</v>
      </c>
      <c r="E11" s="2">
        <v>215</v>
      </c>
      <c r="F11" t="s">
        <v>26</v>
      </c>
      <c r="G11">
        <f t="shared" si="0"/>
        <v>0.13520408163265307</v>
      </c>
      <c r="H11">
        <f t="shared" si="4"/>
        <v>0.99124049722781193</v>
      </c>
      <c r="I11">
        <f t="shared" si="1"/>
        <v>4.0353476388290656E-2</v>
      </c>
      <c r="J11">
        <f t="shared" si="2"/>
        <v>0.99649122807017543</v>
      </c>
      <c r="K11">
        <f t="shared" si="3"/>
        <v>4.0211885243068582E-2</v>
      </c>
      <c r="L11">
        <f>J11*G11/H11</f>
        <v>0.13592027537516807</v>
      </c>
    </row>
    <row r="12" spans="1:12" x14ac:dyDescent="0.25">
      <c r="A12" s="2" t="s">
        <v>14</v>
      </c>
      <c r="B12" s="2">
        <v>0.09</v>
      </c>
      <c r="C12" s="2">
        <v>-0.26</v>
      </c>
      <c r="D12" s="2">
        <v>0.44</v>
      </c>
      <c r="E12" s="2">
        <v>93.5</v>
      </c>
      <c r="F12" t="s">
        <v>26</v>
      </c>
      <c r="G12">
        <f t="shared" si="0"/>
        <v>0.17857142857142858</v>
      </c>
      <c r="H12">
        <f t="shared" si="4"/>
        <v>0.86335176811668379</v>
      </c>
      <c r="I12">
        <f t="shared" si="1"/>
        <v>0.10424487830299585</v>
      </c>
      <c r="J12">
        <f t="shared" si="2"/>
        <v>0.99186991869918695</v>
      </c>
      <c r="K12">
        <f t="shared" si="3"/>
        <v>0.10339735896719913</v>
      </c>
      <c r="L12">
        <f>J12*G12/H12</f>
        <v>0.20515349001428398</v>
      </c>
    </row>
    <row r="13" spans="1:12" x14ac:dyDescent="0.25">
      <c r="A13" s="2" t="s">
        <v>15</v>
      </c>
      <c r="B13" s="2">
        <v>0.26</v>
      </c>
      <c r="C13" s="2">
        <v>-0.1</v>
      </c>
      <c r="D13" s="2">
        <v>0.61</v>
      </c>
      <c r="E13" s="2">
        <v>93.5</v>
      </c>
      <c r="F13" t="s">
        <v>26</v>
      </c>
      <c r="G13">
        <f t="shared" si="0"/>
        <v>0.18112244897959184</v>
      </c>
      <c r="H13">
        <f t="shared" si="4"/>
        <v>0.875685364804065</v>
      </c>
      <c r="I13">
        <f t="shared" si="1"/>
        <v>0.29691029501009775</v>
      </c>
      <c r="J13">
        <f t="shared" si="2"/>
        <v>0.99186991869918695</v>
      </c>
      <c r="K13">
        <f t="shared" si="3"/>
        <v>0.29449639017261725</v>
      </c>
      <c r="L13">
        <f>J13*G13/H13</f>
        <v>0.20515349001428401</v>
      </c>
    </row>
    <row r="14" spans="1:12" x14ac:dyDescent="0.25">
      <c r="A14" s="2" t="s">
        <v>16</v>
      </c>
      <c r="B14" s="2">
        <v>0.24</v>
      </c>
      <c r="C14" s="2">
        <v>-0.12</v>
      </c>
      <c r="D14" s="2">
        <v>0.6</v>
      </c>
      <c r="E14" s="2">
        <v>77.5</v>
      </c>
      <c r="F14" t="s">
        <v>26</v>
      </c>
      <c r="G14">
        <f t="shared" si="0"/>
        <v>0.18367346938775511</v>
      </c>
      <c r="H14">
        <f t="shared" si="4"/>
        <v>0.80847628446393416</v>
      </c>
      <c r="I14">
        <f t="shared" si="1"/>
        <v>0.29685471869979918</v>
      </c>
      <c r="J14">
        <f t="shared" si="2"/>
        <v>0.99016393442622952</v>
      </c>
      <c r="K14">
        <f t="shared" si="3"/>
        <v>0.29393483622078476</v>
      </c>
      <c r="L14">
        <f>J14*G14/H14</f>
        <v>0.22495012976080467</v>
      </c>
    </row>
    <row r="15" spans="1:12" x14ac:dyDescent="0.25">
      <c r="A15" s="2" t="s">
        <v>17</v>
      </c>
      <c r="B15" s="2">
        <v>0.17</v>
      </c>
      <c r="C15" s="2">
        <v>-0.21</v>
      </c>
      <c r="D15" s="2">
        <v>0.55000000000000004</v>
      </c>
      <c r="E15" s="2">
        <v>77.5</v>
      </c>
      <c r="F15" t="s">
        <v>26</v>
      </c>
      <c r="G15">
        <f t="shared" si="0"/>
        <v>0.19387755102040816</v>
      </c>
      <c r="H15">
        <f t="shared" si="4"/>
        <v>0.85339163360081927</v>
      </c>
      <c r="I15">
        <f t="shared" si="1"/>
        <v>0.19920514018012844</v>
      </c>
      <c r="J15">
        <f t="shared" si="2"/>
        <v>0.99016393442622952</v>
      </c>
      <c r="K15">
        <f t="shared" si="3"/>
        <v>0.19724574535868455</v>
      </c>
      <c r="L15">
        <f>J15*G15/H15</f>
        <v>0.2249501297608047</v>
      </c>
    </row>
    <row r="16" spans="1:12" x14ac:dyDescent="0.25">
      <c r="A16" s="2" t="s">
        <v>13</v>
      </c>
      <c r="B16" s="2">
        <v>0.17</v>
      </c>
      <c r="C16" s="2">
        <v>-0.46</v>
      </c>
      <c r="D16" s="2">
        <v>0.79</v>
      </c>
      <c r="E16" s="2">
        <v>42</v>
      </c>
      <c r="F16" t="s">
        <v>26</v>
      </c>
      <c r="G16">
        <f t="shared" si="0"/>
        <v>0.31887755102040816</v>
      </c>
      <c r="H16">
        <f t="shared" si="4"/>
        <v>1.0332813613532941</v>
      </c>
      <c r="I16">
        <f t="shared" si="1"/>
        <v>0.16452440386358089</v>
      </c>
      <c r="J16">
        <f t="shared" si="2"/>
        <v>0.98159509202453987</v>
      </c>
      <c r="K16">
        <f t="shared" si="3"/>
        <v>0.16149634735075424</v>
      </c>
      <c r="L16">
        <f>J16*G16/H16</f>
        <v>0.30292682201146875</v>
      </c>
    </row>
    <row r="17" spans="1:12" x14ac:dyDescent="0.25">
      <c r="A17" s="2" t="s">
        <v>18</v>
      </c>
      <c r="B17" s="2">
        <v>0.28000000000000003</v>
      </c>
      <c r="C17" s="2">
        <v>0.1</v>
      </c>
      <c r="D17" s="2">
        <v>0.47</v>
      </c>
      <c r="E17" s="2">
        <v>438</v>
      </c>
      <c r="F17" t="s">
        <v>26</v>
      </c>
      <c r="G17">
        <f t="shared" si="0"/>
        <v>9.438775510204081E-2</v>
      </c>
      <c r="H17">
        <f t="shared" si="4"/>
        <v>0.98769468475623068</v>
      </c>
      <c r="I17">
        <f t="shared" si="1"/>
        <v>0.28348841430599153</v>
      </c>
      <c r="J17">
        <f t="shared" si="2"/>
        <v>0.99828277046365199</v>
      </c>
      <c r="K17">
        <f t="shared" si="3"/>
        <v>0.2830015996277328</v>
      </c>
      <c r="L17">
        <f>J17*G17/H17</f>
        <v>9.5399591711243736E-2</v>
      </c>
    </row>
    <row r="18" spans="1:12" x14ac:dyDescent="0.25">
      <c r="A18" s="2" t="s">
        <v>19</v>
      </c>
      <c r="B18" s="2">
        <v>0.31</v>
      </c>
      <c r="C18" s="2">
        <v>0.08</v>
      </c>
      <c r="D18" s="2">
        <v>0.54</v>
      </c>
      <c r="E18" s="2">
        <v>289</v>
      </c>
      <c r="F18" t="s">
        <v>26</v>
      </c>
      <c r="G18">
        <f t="shared" si="0"/>
        <v>0.11734693877551021</v>
      </c>
      <c r="H18">
        <f t="shared" si="4"/>
        <v>0.99744897959183676</v>
      </c>
      <c r="I18">
        <f t="shared" si="1"/>
        <v>0.31079283887468029</v>
      </c>
      <c r="J18">
        <f t="shared" si="2"/>
        <v>0.99739357080799307</v>
      </c>
      <c r="K18">
        <f t="shared" si="3"/>
        <v>0.3099827793467706</v>
      </c>
      <c r="L18">
        <f>J18*G18/H18</f>
        <v>0.11734042009505802</v>
      </c>
    </row>
    <row r="19" spans="1:12" x14ac:dyDescent="0.25">
      <c r="A19" s="2" t="s">
        <v>20</v>
      </c>
      <c r="B19" s="2">
        <v>0.63</v>
      </c>
      <c r="C19" s="2">
        <v>0.18</v>
      </c>
      <c r="D19" s="2">
        <v>1.0900000000000001</v>
      </c>
      <c r="E19" s="2">
        <v>78</v>
      </c>
      <c r="F19" t="s">
        <v>26</v>
      </c>
      <c r="G19">
        <f t="shared" si="0"/>
        <v>0.23214285714285718</v>
      </c>
      <c r="H19">
        <f t="shared" si="4"/>
        <v>1.0251151005559112</v>
      </c>
      <c r="I19">
        <f t="shared" si="1"/>
        <v>0.61456513484032804</v>
      </c>
      <c r="J19">
        <f t="shared" si="2"/>
        <v>0.99022801302931596</v>
      </c>
      <c r="K19">
        <f t="shared" si="3"/>
        <v>0.60855961235003164</v>
      </c>
      <c r="L19">
        <f>J19*G19/H19</f>
        <v>0.22424248754394593</v>
      </c>
    </row>
  </sheetData>
  <autoFilter ref="A1:L19" xr:uid="{00000000-0001-0000-0000-000000000000}">
    <sortState xmlns:xlrd2="http://schemas.microsoft.com/office/spreadsheetml/2017/richdata2" ref="A2:L19">
      <sortCondition ref="F2:F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2025-12-29T13:56:10Z</dcterms:modified>
</cp:coreProperties>
</file>