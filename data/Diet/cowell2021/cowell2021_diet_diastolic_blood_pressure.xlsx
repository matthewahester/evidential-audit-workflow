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cowell2021\"/>
    </mc:Choice>
  </mc:AlternateContent>
  <xr:revisionPtr revIDLastSave="0" documentId="13_ncr:1_{D1503AD3-AD99-4899-A7FF-2A3EFBF47B51}" xr6:coauthVersionLast="47" xr6:coauthVersionMax="47" xr10:uidLastSave="{00000000-0000-0000-0000-000000000000}"/>
  <bookViews>
    <workbookView xWindow="48795" yWindow="7125" windowWidth="28740" windowHeight="14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12" i="1"/>
  <c r="K12" i="1" s="1"/>
  <c r="M12" i="1" s="1"/>
  <c r="I3" i="1"/>
  <c r="J3" i="1" s="1"/>
  <c r="K3" i="1" s="1"/>
  <c r="L3" i="1"/>
  <c r="I4" i="1"/>
  <c r="J4" i="1" s="1"/>
  <c r="K4" i="1" s="1"/>
  <c r="M4" i="1" s="1"/>
  <c r="L4" i="1"/>
  <c r="I5" i="1"/>
  <c r="J5" i="1" s="1"/>
  <c r="L5" i="1"/>
  <c r="I6" i="1"/>
  <c r="J6" i="1" s="1"/>
  <c r="K6" i="1" s="1"/>
  <c r="M6" i="1" s="1"/>
  <c r="L6" i="1"/>
  <c r="I7" i="1"/>
  <c r="L7" i="1"/>
  <c r="I8" i="1"/>
  <c r="J8" i="1" s="1"/>
  <c r="K8" i="1" s="1"/>
  <c r="M8" i="1" s="1"/>
  <c r="L8" i="1"/>
  <c r="I9" i="1"/>
  <c r="J9" i="1" s="1"/>
  <c r="L9" i="1"/>
  <c r="I10" i="1"/>
  <c r="J10" i="1" s="1"/>
  <c r="K10" i="1" s="1"/>
  <c r="M10" i="1" s="1"/>
  <c r="L10" i="1"/>
  <c r="I11" i="1"/>
  <c r="J11" i="1" s="1"/>
  <c r="L11" i="1"/>
  <c r="I12" i="1"/>
  <c r="L12" i="1"/>
  <c r="I13" i="1"/>
  <c r="L13" i="1"/>
  <c r="I14" i="1"/>
  <c r="J14" i="1" s="1"/>
  <c r="K14" i="1" s="1"/>
  <c r="M14" i="1" s="1"/>
  <c r="L14" i="1"/>
  <c r="I15" i="1"/>
  <c r="J15" i="1" s="1"/>
  <c r="L15" i="1"/>
  <c r="I16" i="1"/>
  <c r="J16" i="1" s="1"/>
  <c r="K16" i="1" s="1"/>
  <c r="M16" i="1" s="1"/>
  <c r="L16" i="1"/>
  <c r="I17" i="1"/>
  <c r="L17" i="1"/>
  <c r="I18" i="1"/>
  <c r="J18" i="1" s="1"/>
  <c r="K18" i="1" s="1"/>
  <c r="M18" i="1" s="1"/>
  <c r="L18" i="1"/>
  <c r="I19" i="1"/>
  <c r="J19" i="1" s="1"/>
  <c r="L19" i="1"/>
  <c r="I20" i="1"/>
  <c r="J20" i="1" s="1"/>
  <c r="K20" i="1" s="1"/>
  <c r="M20" i="1" s="1"/>
  <c r="L20" i="1"/>
  <c r="I21" i="1"/>
  <c r="L21" i="1"/>
  <c r="L2" i="1"/>
  <c r="I2" i="1"/>
  <c r="J2" i="1" s="1"/>
  <c r="K2" i="1" s="1"/>
  <c r="M2" i="1" s="1"/>
  <c r="M3" i="1" l="1"/>
  <c r="K11" i="1"/>
  <c r="M11" i="1" s="1"/>
  <c r="J21" i="1"/>
  <c r="K21" i="1" s="1"/>
  <c r="M21" i="1" s="1"/>
  <c r="J7" i="1"/>
  <c r="K7" i="1" s="1"/>
  <c r="M7" i="1" s="1"/>
  <c r="K19" i="1"/>
  <c r="J17" i="1"/>
  <c r="K17" i="1" s="1"/>
  <c r="M17" i="1" s="1"/>
  <c r="M19" i="1"/>
  <c r="K9" i="1"/>
  <c r="M9" i="1" s="1"/>
  <c r="J13" i="1"/>
  <c r="K13" i="1" s="1"/>
  <c r="M13" i="1" s="1"/>
  <c r="K15" i="1"/>
  <c r="K5" i="1"/>
  <c r="M5" i="1"/>
  <c r="M15" i="1"/>
</calcChain>
</file>

<file path=xl/sharedStrings.xml><?xml version="1.0" encoding="utf-8"?>
<sst xmlns="http://schemas.openxmlformats.org/spreadsheetml/2006/main" count="74" uniqueCount="38">
  <si>
    <t>Author</t>
  </si>
  <si>
    <t>Year</t>
  </si>
  <si>
    <t>Health_Status</t>
  </si>
  <si>
    <t>Study_Design</t>
  </si>
  <si>
    <t>MD</t>
  </si>
  <si>
    <t>lCI</t>
  </si>
  <si>
    <t>uCI</t>
  </si>
  <si>
    <t>Assaf-Balut</t>
  </si>
  <si>
    <t>High CVD Risk</t>
  </si>
  <si>
    <t>Parallel</t>
  </si>
  <si>
    <t>Bajerska</t>
  </si>
  <si>
    <t>Casas A</t>
  </si>
  <si>
    <t>Casas B</t>
  </si>
  <si>
    <t>Ceriello</t>
  </si>
  <si>
    <t>Davis</t>
  </si>
  <si>
    <t>Healthy</t>
  </si>
  <si>
    <t>de Lorgeril</t>
  </si>
  <si>
    <t>Esposito</t>
  </si>
  <si>
    <t>Itsiopoulos</t>
  </si>
  <si>
    <t>Crossover</t>
  </si>
  <si>
    <t>Jennings</t>
  </si>
  <si>
    <t>Jospe</t>
  </si>
  <si>
    <t>Lee</t>
  </si>
  <si>
    <t>Maiorino</t>
  </si>
  <si>
    <t>Osella</t>
  </si>
  <si>
    <t>Properzi</t>
  </si>
  <si>
    <t>Rogerson</t>
  </si>
  <si>
    <t>Ryan</t>
  </si>
  <si>
    <t>Shai</t>
  </si>
  <si>
    <t>Tuttle</t>
  </si>
  <si>
    <t>Vincent-Baudry</t>
  </si>
  <si>
    <t>n</t>
  </si>
  <si>
    <t>md_se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</si>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</sst>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I4" sqref="I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31</v>
      </c>
      <c r="E1" t="s">
        <v>3</v>
      </c>
      <c r="F1" t="s">
        <v>4</v>
      </c>
      <c r="G1" t="s">
        <v>5</v>
      </c>
      <c r="H1" t="s">
        <v>6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5">
      <c r="A2" t="s">
        <v>18</v>
      </c>
      <c r="B2">
        <v>2011</v>
      </c>
      <c r="C2" t="s">
        <v>8</v>
      </c>
      <c r="D2">
        <v>27</v>
      </c>
      <c r="E2" t="s">
        <v>19</v>
      </c>
      <c r="F2">
        <v>-2</v>
      </c>
      <c r="G2">
        <v>-0.77</v>
      </c>
      <c r="H2">
        <v>4.7699999999999996</v>
      </c>
      <c r="I2">
        <f>(H2-G2)/1.96/2</f>
        <v>1.4132653061224487</v>
      </c>
      <c r="J2">
        <f>I2*SQRT(D2)</f>
        <v>7.3435419443353922</v>
      </c>
      <c r="K2">
        <f>F2/J2</f>
        <v>-0.2723481414227838</v>
      </c>
      <c r="L2">
        <f>1-3/(4*(D2-1)-1)</f>
        <v>0.970873786407767</v>
      </c>
      <c r="M2">
        <f t="shared" ref="M2" si="0">L2*K2</f>
        <v>-0.26441567128425614</v>
      </c>
      <c r="N2">
        <f>L2*I2/J2</f>
        <v>0.1868447473105585</v>
      </c>
    </row>
    <row r="3" spans="1:14" x14ac:dyDescent="0.25">
      <c r="A3" t="s">
        <v>22</v>
      </c>
      <c r="B3">
        <v>2015</v>
      </c>
      <c r="C3" t="s">
        <v>15</v>
      </c>
      <c r="D3">
        <v>24</v>
      </c>
      <c r="E3" t="s">
        <v>19</v>
      </c>
      <c r="F3">
        <v>2.19</v>
      </c>
      <c r="G3">
        <v>-4.37</v>
      </c>
      <c r="H3">
        <v>8.75</v>
      </c>
      <c r="I3">
        <f t="shared" ref="I3:I21" si="1">(H3-G3)/1.96/2</f>
        <v>3.3469387755102042</v>
      </c>
      <c r="J3">
        <f t="shared" ref="J3:J4" si="2">I3*SQRT(D3)</f>
        <v>16.39658440067107</v>
      </c>
      <c r="K3">
        <f t="shared" ref="K3:K21" si="3">F3/J3</f>
        <v>0.13356440259047908</v>
      </c>
      <c r="L3">
        <f t="shared" ref="L3:L21" si="4">1-3/(4*(D3-1)-1)</f>
        <v>0.96703296703296704</v>
      </c>
      <c r="M3">
        <f t="shared" ref="M3:M21" si="5">L3*K3</f>
        <v>0.12916118052705669</v>
      </c>
      <c r="N3">
        <f t="shared" ref="N3:N21" si="6">L3*I3/J3</f>
        <v>0.197394777806703</v>
      </c>
    </row>
    <row r="4" spans="1:14" x14ac:dyDescent="0.25">
      <c r="A4" t="s">
        <v>27</v>
      </c>
      <c r="B4">
        <v>2013</v>
      </c>
      <c r="C4" t="s">
        <v>8</v>
      </c>
      <c r="D4">
        <v>12</v>
      </c>
      <c r="E4" t="s">
        <v>19</v>
      </c>
      <c r="F4">
        <v>8</v>
      </c>
      <c r="G4">
        <v>3.32</v>
      </c>
      <c r="H4">
        <v>12.68</v>
      </c>
      <c r="I4">
        <f t="shared" si="1"/>
        <v>2.3877551020408161</v>
      </c>
      <c r="J4">
        <f t="shared" si="2"/>
        <v>8.2714263055330051</v>
      </c>
      <c r="K4">
        <f t="shared" si="3"/>
        <v>0.96718506633475776</v>
      </c>
      <c r="L4">
        <f t="shared" si="4"/>
        <v>0.93023255813953487</v>
      </c>
      <c r="M4">
        <f t="shared" si="5"/>
        <v>0.89970703845093747</v>
      </c>
      <c r="N4">
        <f t="shared" si="6"/>
        <v>0.26853500892540733</v>
      </c>
    </row>
    <row r="5" spans="1:14" x14ac:dyDescent="0.25">
      <c r="A5" t="s">
        <v>7</v>
      </c>
      <c r="B5">
        <v>2019</v>
      </c>
      <c r="C5" t="s">
        <v>8</v>
      </c>
      <c r="D5">
        <v>697</v>
      </c>
      <c r="E5" t="s">
        <v>9</v>
      </c>
      <c r="F5">
        <v>0</v>
      </c>
      <c r="G5">
        <v>-1.4</v>
      </c>
      <c r="H5">
        <v>1.4</v>
      </c>
      <c r="I5">
        <f t="shared" si="1"/>
        <v>0.7142857142857143</v>
      </c>
      <c r="J5">
        <f>I5*SQRT(D5/4)</f>
        <v>9.4288419874600606</v>
      </c>
      <c r="K5">
        <f t="shared" si="3"/>
        <v>0</v>
      </c>
      <c r="L5">
        <f t="shared" si="4"/>
        <v>0.99892202659001073</v>
      </c>
      <c r="M5">
        <f t="shared" si="5"/>
        <v>0</v>
      </c>
      <c r="N5">
        <f t="shared" si="6"/>
        <v>7.5673739598937306E-2</v>
      </c>
    </row>
    <row r="6" spans="1:14" x14ac:dyDescent="0.25">
      <c r="A6" t="s">
        <v>10</v>
      </c>
      <c r="B6">
        <v>2018</v>
      </c>
      <c r="C6" t="s">
        <v>8</v>
      </c>
      <c r="D6">
        <v>144</v>
      </c>
      <c r="E6" t="s">
        <v>9</v>
      </c>
      <c r="F6">
        <v>-1.4</v>
      </c>
      <c r="G6">
        <v>-4.4000000000000004</v>
      </c>
      <c r="H6">
        <v>1.6</v>
      </c>
      <c r="I6">
        <f t="shared" si="1"/>
        <v>1.5306122448979591</v>
      </c>
      <c r="J6">
        <f t="shared" ref="J6:J21" si="7">I6*SQRT(D6/4)</f>
        <v>9.1836734693877542</v>
      </c>
      <c r="K6">
        <f t="shared" si="3"/>
        <v>-0.15244444444444444</v>
      </c>
      <c r="L6">
        <f t="shared" si="4"/>
        <v>0.99474605954465845</v>
      </c>
      <c r="M6">
        <f t="shared" si="5"/>
        <v>-0.15164351041058571</v>
      </c>
      <c r="N6">
        <f t="shared" si="6"/>
        <v>0.16579100992410975</v>
      </c>
    </row>
    <row r="7" spans="1:14" x14ac:dyDescent="0.25">
      <c r="A7" t="s">
        <v>11</v>
      </c>
      <c r="B7">
        <v>2016</v>
      </c>
      <c r="C7" t="s">
        <v>8</v>
      </c>
      <c r="D7">
        <v>80</v>
      </c>
      <c r="E7" t="s">
        <v>9</v>
      </c>
      <c r="F7">
        <v>7.7</v>
      </c>
      <c r="G7">
        <v>4.12</v>
      </c>
      <c r="H7">
        <v>11.28</v>
      </c>
      <c r="I7">
        <f t="shared" si="1"/>
        <v>1.8265306122448979</v>
      </c>
      <c r="J7">
        <f t="shared" si="7"/>
        <v>8.1684932239278041</v>
      </c>
      <c r="K7">
        <f t="shared" si="3"/>
        <v>0.9426463105147157</v>
      </c>
      <c r="L7">
        <f t="shared" si="4"/>
        <v>0.99047619047619051</v>
      </c>
      <c r="M7">
        <f t="shared" si="5"/>
        <v>0.93366872660505174</v>
      </c>
      <c r="N7">
        <f t="shared" si="6"/>
        <v>0.22147720919997915</v>
      </c>
    </row>
    <row r="8" spans="1:14" x14ac:dyDescent="0.25">
      <c r="A8" t="s">
        <v>12</v>
      </c>
      <c r="B8">
        <v>2016</v>
      </c>
      <c r="C8" t="s">
        <v>8</v>
      </c>
      <c r="D8">
        <v>80</v>
      </c>
      <c r="E8" t="s">
        <v>9</v>
      </c>
      <c r="F8">
        <v>8.3000000000000007</v>
      </c>
      <c r="G8">
        <v>4.72</v>
      </c>
      <c r="H8">
        <v>11.88</v>
      </c>
      <c r="I8">
        <f t="shared" si="1"/>
        <v>1.8265306122448983</v>
      </c>
      <c r="J8">
        <f t="shared" si="7"/>
        <v>8.1684932239278059</v>
      </c>
      <c r="K8">
        <f t="shared" si="3"/>
        <v>1.0160992697756026</v>
      </c>
      <c r="L8">
        <f t="shared" si="4"/>
        <v>0.99047619047619051</v>
      </c>
      <c r="M8">
        <f t="shared" si="5"/>
        <v>1.006422133872978</v>
      </c>
      <c r="N8">
        <f t="shared" si="6"/>
        <v>0.22147720919997915</v>
      </c>
    </row>
    <row r="9" spans="1:14" x14ac:dyDescent="0.25">
      <c r="A9" t="s">
        <v>13</v>
      </c>
      <c r="B9">
        <v>2014</v>
      </c>
      <c r="C9" t="s">
        <v>8</v>
      </c>
      <c r="D9">
        <v>24</v>
      </c>
      <c r="E9" t="s">
        <v>9</v>
      </c>
      <c r="F9">
        <v>-1.9</v>
      </c>
      <c r="G9">
        <v>-5.28</v>
      </c>
      <c r="H9">
        <v>1.48</v>
      </c>
      <c r="I9">
        <f t="shared" si="1"/>
        <v>1.7244897959183674</v>
      </c>
      <c r="J9">
        <f t="shared" si="7"/>
        <v>4.2241200666362966</v>
      </c>
      <c r="K9">
        <f t="shared" si="3"/>
        <v>-0.44979782061758161</v>
      </c>
      <c r="L9">
        <f t="shared" si="4"/>
        <v>0.96703296703296704</v>
      </c>
      <c r="M9">
        <f t="shared" si="5"/>
        <v>-0.43496932103678221</v>
      </c>
      <c r="N9">
        <f t="shared" si="6"/>
        <v>0.39478955561340606</v>
      </c>
    </row>
    <row r="10" spans="1:14" x14ac:dyDescent="0.25">
      <c r="A10" t="s">
        <v>14</v>
      </c>
      <c r="B10">
        <v>2017</v>
      </c>
      <c r="C10" t="s">
        <v>15</v>
      </c>
      <c r="D10">
        <v>149</v>
      </c>
      <c r="E10" t="s">
        <v>9</v>
      </c>
      <c r="F10">
        <v>-0.6</v>
      </c>
      <c r="G10">
        <v>-3.02</v>
      </c>
      <c r="H10">
        <v>1.82</v>
      </c>
      <c r="I10">
        <f t="shared" si="1"/>
        <v>1.2346938775510203</v>
      </c>
      <c r="J10">
        <f t="shared" si="7"/>
        <v>7.5356797423662139</v>
      </c>
      <c r="K10">
        <f t="shared" si="3"/>
        <v>-7.9621218060362944E-2</v>
      </c>
      <c r="L10">
        <f t="shared" si="4"/>
        <v>0.99492385786802029</v>
      </c>
      <c r="M10">
        <f t="shared" si="5"/>
        <v>-7.9217049440767198E-2</v>
      </c>
      <c r="N10">
        <f t="shared" si="6"/>
        <v>0.16301467657028623</v>
      </c>
    </row>
    <row r="11" spans="1:14" x14ac:dyDescent="0.25">
      <c r="A11" t="s">
        <v>16</v>
      </c>
      <c r="B11">
        <v>1994</v>
      </c>
      <c r="C11" t="s">
        <v>8</v>
      </c>
      <c r="D11">
        <v>605</v>
      </c>
      <c r="E11" t="s">
        <v>9</v>
      </c>
      <c r="F11">
        <v>1</v>
      </c>
      <c r="G11">
        <v>-2.17</v>
      </c>
      <c r="H11">
        <v>4.17</v>
      </c>
      <c r="I11">
        <f t="shared" si="1"/>
        <v>1.6173469387755102</v>
      </c>
      <c r="J11">
        <f t="shared" si="7"/>
        <v>19.890737340667773</v>
      </c>
      <c r="K11">
        <f t="shared" si="3"/>
        <v>5.0274657136789073E-2</v>
      </c>
      <c r="L11">
        <f t="shared" si="4"/>
        <v>0.99875776397515525</v>
      </c>
      <c r="M11">
        <f t="shared" si="5"/>
        <v>5.0212204146557034E-2</v>
      </c>
      <c r="N11">
        <f t="shared" si="6"/>
        <v>8.1210554665605006E-2</v>
      </c>
    </row>
    <row r="12" spans="1:14" x14ac:dyDescent="0.25">
      <c r="A12" t="s">
        <v>17</v>
      </c>
      <c r="B12">
        <v>2004</v>
      </c>
      <c r="C12" t="s">
        <v>8</v>
      </c>
      <c r="D12">
        <v>180</v>
      </c>
      <c r="E12" t="s">
        <v>9</v>
      </c>
      <c r="F12">
        <v>2</v>
      </c>
      <c r="G12">
        <v>0.28999999999999998</v>
      </c>
      <c r="H12">
        <v>3.71</v>
      </c>
      <c r="I12">
        <f t="shared" si="1"/>
        <v>0.87244897959183676</v>
      </c>
      <c r="J12">
        <f t="shared" si="7"/>
        <v>5.8525656758030218</v>
      </c>
      <c r="K12">
        <f t="shared" si="3"/>
        <v>0.3417304667368099</v>
      </c>
      <c r="L12">
        <f t="shared" si="4"/>
        <v>0.99580419580419577</v>
      </c>
      <c r="M12">
        <f t="shared" si="5"/>
        <v>0.34029663261064147</v>
      </c>
      <c r="N12">
        <f t="shared" si="6"/>
        <v>0.14844572493984617</v>
      </c>
    </row>
    <row r="13" spans="1:14" x14ac:dyDescent="0.25">
      <c r="A13" t="s">
        <v>20</v>
      </c>
      <c r="B13">
        <v>2019</v>
      </c>
      <c r="C13" t="s">
        <v>15</v>
      </c>
      <c r="D13">
        <v>1128</v>
      </c>
      <c r="E13" t="s">
        <v>9</v>
      </c>
      <c r="F13">
        <v>1.7</v>
      </c>
      <c r="G13">
        <v>-0.84</v>
      </c>
      <c r="H13">
        <v>4.24</v>
      </c>
      <c r="I13">
        <f t="shared" si="1"/>
        <v>1.2959183673469388</v>
      </c>
      <c r="J13">
        <f t="shared" si="7"/>
        <v>21.762170043018635</v>
      </c>
      <c r="K13">
        <f t="shared" si="3"/>
        <v>7.8117209664270812E-2</v>
      </c>
      <c r="L13">
        <f t="shared" si="4"/>
        <v>0.99933436875970716</v>
      </c>
      <c r="M13">
        <f t="shared" si="5"/>
        <v>7.8065212409113766E-2</v>
      </c>
      <c r="N13">
        <f t="shared" si="6"/>
        <v>5.9509495654006296E-2</v>
      </c>
    </row>
    <row r="14" spans="1:14" x14ac:dyDescent="0.25">
      <c r="A14" t="s">
        <v>21</v>
      </c>
      <c r="B14">
        <v>2019</v>
      </c>
      <c r="C14" t="s">
        <v>15</v>
      </c>
      <c r="D14">
        <v>114</v>
      </c>
      <c r="E14" t="s">
        <v>9</v>
      </c>
      <c r="F14">
        <v>0.2</v>
      </c>
      <c r="G14">
        <v>-3.62</v>
      </c>
      <c r="H14">
        <v>4.0199999999999996</v>
      </c>
      <c r="I14">
        <f t="shared" si="1"/>
        <v>1.9489795918367347</v>
      </c>
      <c r="J14">
        <f t="shared" si="7"/>
        <v>10.404703806826431</v>
      </c>
      <c r="K14">
        <f t="shared" si="3"/>
        <v>1.9222075295289218E-2</v>
      </c>
      <c r="L14">
        <f t="shared" si="4"/>
        <v>0.99334811529933487</v>
      </c>
      <c r="M14">
        <f t="shared" si="5"/>
        <v>1.909421226671745E-2</v>
      </c>
      <c r="N14">
        <f t="shared" si="6"/>
        <v>0.18607115015015471</v>
      </c>
    </row>
    <row r="15" spans="1:14" x14ac:dyDescent="0.25">
      <c r="A15" t="s">
        <v>23</v>
      </c>
      <c r="B15">
        <v>2017</v>
      </c>
      <c r="C15" t="s">
        <v>8</v>
      </c>
      <c r="D15">
        <v>215</v>
      </c>
      <c r="E15" t="s">
        <v>9</v>
      </c>
      <c r="F15">
        <v>1.4</v>
      </c>
      <c r="G15">
        <v>7.0000000000000007E-2</v>
      </c>
      <c r="H15">
        <v>2.73</v>
      </c>
      <c r="I15">
        <f t="shared" si="1"/>
        <v>0.6785714285714286</v>
      </c>
      <c r="J15">
        <f t="shared" si="7"/>
        <v>4.9749051370301505</v>
      </c>
      <c r="K15">
        <f t="shared" si="3"/>
        <v>0.28141240112886906</v>
      </c>
      <c r="L15">
        <f t="shared" si="4"/>
        <v>0.99649122807017543</v>
      </c>
      <c r="M15">
        <f t="shared" si="5"/>
        <v>0.28042498919508357</v>
      </c>
      <c r="N15">
        <f t="shared" si="6"/>
        <v>0.13592027537516807</v>
      </c>
    </row>
    <row r="16" spans="1:14" x14ac:dyDescent="0.25">
      <c r="A16" t="s">
        <v>24</v>
      </c>
      <c r="B16">
        <v>2018</v>
      </c>
      <c r="C16" t="s">
        <v>8</v>
      </c>
      <c r="D16">
        <v>100</v>
      </c>
      <c r="E16" t="s">
        <v>9</v>
      </c>
      <c r="F16">
        <v>2</v>
      </c>
      <c r="G16">
        <v>-1.07</v>
      </c>
      <c r="H16">
        <v>5.07</v>
      </c>
      <c r="I16">
        <f t="shared" si="1"/>
        <v>1.5663265306122451</v>
      </c>
      <c r="J16">
        <f t="shared" si="7"/>
        <v>7.8316326530612255</v>
      </c>
      <c r="K16">
        <f t="shared" si="3"/>
        <v>0.2553745928338762</v>
      </c>
      <c r="L16">
        <f t="shared" si="4"/>
        <v>0.9924050632911392</v>
      </c>
      <c r="M16">
        <f t="shared" si="5"/>
        <v>0.25343503896425179</v>
      </c>
      <c r="N16">
        <f t="shared" si="6"/>
        <v>0.19848101265822785</v>
      </c>
    </row>
    <row r="17" spans="1:14" x14ac:dyDescent="0.25">
      <c r="A17" t="s">
        <v>25</v>
      </c>
      <c r="B17">
        <v>2018</v>
      </c>
      <c r="C17" t="s">
        <v>8</v>
      </c>
      <c r="D17">
        <v>51</v>
      </c>
      <c r="E17" t="s">
        <v>9</v>
      </c>
      <c r="F17">
        <v>0</v>
      </c>
      <c r="G17">
        <v>-4.51</v>
      </c>
      <c r="H17">
        <v>4.51</v>
      </c>
      <c r="I17">
        <f t="shared" si="1"/>
        <v>2.3010204081632653</v>
      </c>
      <c r="J17">
        <f t="shared" si="7"/>
        <v>8.2162862787572077</v>
      </c>
      <c r="K17">
        <f t="shared" si="3"/>
        <v>0</v>
      </c>
      <c r="L17">
        <f t="shared" si="4"/>
        <v>0.98492462311557794</v>
      </c>
      <c r="M17">
        <f t="shared" si="5"/>
        <v>0</v>
      </c>
      <c r="N17">
        <f t="shared" si="6"/>
        <v>0.27583406680350747</v>
      </c>
    </row>
    <row r="18" spans="1:14" x14ac:dyDescent="0.25">
      <c r="A18" t="s">
        <v>26</v>
      </c>
      <c r="B18">
        <v>2018</v>
      </c>
      <c r="C18" t="s">
        <v>15</v>
      </c>
      <c r="D18">
        <v>24</v>
      </c>
      <c r="E18" t="s">
        <v>9</v>
      </c>
      <c r="F18">
        <v>0.8</v>
      </c>
      <c r="G18">
        <v>-6.85</v>
      </c>
      <c r="H18">
        <v>8.4499999999999993</v>
      </c>
      <c r="I18">
        <f t="shared" si="1"/>
        <v>3.9030612244897958</v>
      </c>
      <c r="J18">
        <f t="shared" si="7"/>
        <v>9.5605084348425056</v>
      </c>
      <c r="K18">
        <f t="shared" si="3"/>
        <v>8.3677558097691146E-2</v>
      </c>
      <c r="L18">
        <f t="shared" si="4"/>
        <v>0.96703296703296704</v>
      </c>
      <c r="M18">
        <f t="shared" si="5"/>
        <v>8.0918957281283746E-2</v>
      </c>
      <c r="N18">
        <f t="shared" si="6"/>
        <v>0.39478955561340601</v>
      </c>
    </row>
    <row r="19" spans="1:14" x14ac:dyDescent="0.25">
      <c r="A19" t="s">
        <v>28</v>
      </c>
      <c r="B19">
        <v>2008</v>
      </c>
      <c r="C19" t="s">
        <v>8</v>
      </c>
      <c r="D19">
        <v>213</v>
      </c>
      <c r="E19" t="s">
        <v>9</v>
      </c>
      <c r="F19">
        <v>1.3</v>
      </c>
      <c r="G19">
        <v>-1.08</v>
      </c>
      <c r="H19">
        <v>3.68</v>
      </c>
      <c r="I19">
        <f t="shared" si="1"/>
        <v>1.2142857142857142</v>
      </c>
      <c r="J19">
        <f t="shared" si="7"/>
        <v>8.860958279591042</v>
      </c>
      <c r="K19">
        <f t="shared" si="3"/>
        <v>0.1467109943395421</v>
      </c>
      <c r="L19">
        <f t="shared" si="4"/>
        <v>0.99645808736717822</v>
      </c>
      <c r="M19">
        <f t="shared" si="5"/>
        <v>0.14619135681531703</v>
      </c>
      <c r="N19">
        <f t="shared" si="6"/>
        <v>0.13655236625606534</v>
      </c>
    </row>
    <row r="20" spans="1:14" x14ac:dyDescent="0.25">
      <c r="A20" t="s">
        <v>29</v>
      </c>
      <c r="B20">
        <v>2008</v>
      </c>
      <c r="C20" t="s">
        <v>8</v>
      </c>
      <c r="D20">
        <v>101</v>
      </c>
      <c r="E20" t="s">
        <v>9</v>
      </c>
      <c r="F20">
        <v>0</v>
      </c>
      <c r="G20">
        <v>-4.07</v>
      </c>
      <c r="H20">
        <v>4.07</v>
      </c>
      <c r="I20">
        <f t="shared" si="1"/>
        <v>2.0765306122448983</v>
      </c>
      <c r="J20">
        <f t="shared" si="7"/>
        <v>10.43443718825562</v>
      </c>
      <c r="K20">
        <f t="shared" si="3"/>
        <v>0</v>
      </c>
      <c r="L20">
        <f t="shared" si="4"/>
        <v>0.99248120300751874</v>
      </c>
      <c r="M20">
        <f t="shared" si="5"/>
        <v>0</v>
      </c>
      <c r="N20">
        <f t="shared" si="6"/>
        <v>0.19751114151536628</v>
      </c>
    </row>
    <row r="21" spans="1:14" x14ac:dyDescent="0.25">
      <c r="A21" t="s">
        <v>30</v>
      </c>
      <c r="B21">
        <v>2005</v>
      </c>
      <c r="C21" t="s">
        <v>8</v>
      </c>
      <c r="D21">
        <v>169</v>
      </c>
      <c r="E21" t="s">
        <v>9</v>
      </c>
      <c r="F21">
        <v>-2</v>
      </c>
      <c r="G21">
        <v>-6.29</v>
      </c>
      <c r="H21">
        <v>2.29</v>
      </c>
      <c r="I21">
        <f t="shared" si="1"/>
        <v>2.1887755102040818</v>
      </c>
      <c r="J21">
        <f t="shared" si="7"/>
        <v>14.227040816326532</v>
      </c>
      <c r="K21">
        <f t="shared" si="3"/>
        <v>-0.14057737134660209</v>
      </c>
      <c r="L21">
        <f t="shared" si="4"/>
        <v>0.99552906110283157</v>
      </c>
      <c r="M21">
        <f t="shared" si="5"/>
        <v>-0.13994885850898686</v>
      </c>
      <c r="N21">
        <f t="shared" si="6"/>
        <v>0.1531583170927433</v>
      </c>
    </row>
  </sheetData>
  <sortState xmlns:xlrd2="http://schemas.microsoft.com/office/spreadsheetml/2017/richdata2" ref="A2:H21">
    <sortCondition ref="E2:E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2025-12-28T21:11:18Z</dcterms:modified>
</cp:coreProperties>
</file>