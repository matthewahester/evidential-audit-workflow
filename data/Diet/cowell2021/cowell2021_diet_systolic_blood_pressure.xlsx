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cowell2021\"/>
    </mc:Choice>
  </mc:AlternateContent>
  <xr:revisionPtr revIDLastSave="0" documentId="13_ncr:1_{0A03E503-938B-4305-AB51-A6061A6BF246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I3" i="1"/>
  <c r="J3" i="1" s="1"/>
  <c r="K3" i="1" s="1"/>
  <c r="I4" i="1"/>
  <c r="J4" i="1" s="1"/>
  <c r="K4" i="1" s="1"/>
  <c r="M4" i="1" s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M9" i="1" s="1"/>
  <c r="I10" i="1"/>
  <c r="J10" i="1" s="1"/>
  <c r="K10" i="1" s="1"/>
  <c r="I11" i="1"/>
  <c r="J11" i="1" s="1"/>
  <c r="K11" i="1" s="1"/>
  <c r="M11" i="1" s="1"/>
  <c r="I12" i="1"/>
  <c r="J12" i="1" s="1"/>
  <c r="K12" i="1" s="1"/>
  <c r="I13" i="1"/>
  <c r="J13" i="1" s="1"/>
  <c r="K13" i="1" s="1"/>
  <c r="M13" i="1" s="1"/>
  <c r="I14" i="1"/>
  <c r="J14" i="1" s="1"/>
  <c r="K14" i="1" s="1"/>
  <c r="M14" i="1" s="1"/>
  <c r="I15" i="1"/>
  <c r="J15" i="1" s="1"/>
  <c r="K15" i="1" s="1"/>
  <c r="M15" i="1" s="1"/>
  <c r="I16" i="1"/>
  <c r="J16" i="1" s="1"/>
  <c r="K16" i="1" s="1"/>
  <c r="M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M21" i="1" s="1"/>
  <c r="I2" i="1"/>
  <c r="J2" i="1" s="1"/>
  <c r="K2" i="1" s="1"/>
  <c r="M19" i="1" l="1"/>
  <c r="M7" i="1"/>
  <c r="M6" i="1"/>
  <c r="M17" i="1"/>
  <c r="M3" i="1"/>
  <c r="M5" i="1"/>
  <c r="M18" i="1"/>
  <c r="M12" i="1"/>
  <c r="M8" i="1"/>
  <c r="M20" i="1"/>
  <c r="M10" i="1"/>
  <c r="M2" i="1"/>
</calcChain>
</file>

<file path=xl/sharedStrings.xml><?xml version="1.0" encoding="utf-8"?>
<sst xmlns="http://schemas.openxmlformats.org/spreadsheetml/2006/main" count="74" uniqueCount="38">
  <si>
    <t>Author</t>
  </si>
  <si>
    <t>Year</t>
  </si>
  <si>
    <t>Health_Status</t>
  </si>
  <si>
    <t>Study_Design</t>
  </si>
  <si>
    <t>MD</t>
  </si>
  <si>
    <t>lCI</t>
  </si>
  <si>
    <t>uCI</t>
  </si>
  <si>
    <t>Assaf-Balut</t>
  </si>
  <si>
    <t>High CVD Risk</t>
  </si>
  <si>
    <t>Parallel</t>
  </si>
  <si>
    <t>Bajerska</t>
  </si>
  <si>
    <t>Casas A</t>
  </si>
  <si>
    <t>Casas B</t>
  </si>
  <si>
    <t>Ceriello</t>
  </si>
  <si>
    <t>Davis</t>
  </si>
  <si>
    <t>Healthy</t>
  </si>
  <si>
    <t>de Lorgeril</t>
  </si>
  <si>
    <t>Esposito</t>
  </si>
  <si>
    <t>Itsiopoulos</t>
  </si>
  <si>
    <t>Crossover</t>
  </si>
  <si>
    <t>Jennings</t>
  </si>
  <si>
    <t>Jospe</t>
  </si>
  <si>
    <t>Lee</t>
  </si>
  <si>
    <t>Maiorino</t>
  </si>
  <si>
    <t>Osella</t>
  </si>
  <si>
    <t>Properzi</t>
  </si>
  <si>
    <t>Rogerson</t>
  </si>
  <si>
    <t>Ryan</t>
  </si>
  <si>
    <t>Shai</t>
  </si>
  <si>
    <t>Tuttle</t>
  </si>
  <si>
    <t>Vincent-Baudry</t>
  </si>
  <si>
    <t>md_se</t>
  </si>
  <si>
    <t>n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</si>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</sst>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B1" workbookViewId="0">
      <selection activeCell="F4" sqref="F4"/>
    </sheetView>
  </sheetViews>
  <sheetFormatPr defaultRowHeight="15" x14ac:dyDescent="0.25"/>
  <cols>
    <col min="1" max="1" width="14.85546875" bestFit="1" customWidth="1"/>
    <col min="2" max="2" width="5" bestFit="1" customWidth="1"/>
    <col min="3" max="3" width="13.42578125" bestFit="1" customWidth="1"/>
    <col min="4" max="4" width="13.42578125" customWidth="1"/>
    <col min="5" max="5" width="13.140625" bestFit="1" customWidth="1"/>
    <col min="6" max="6" width="5.7109375" bestFit="1" customWidth="1"/>
    <col min="7" max="7" width="6.7109375" bestFit="1" customWidth="1"/>
    <col min="8" max="8" width="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32</v>
      </c>
      <c r="E1" t="s">
        <v>3</v>
      </c>
      <c r="F1" t="s">
        <v>4</v>
      </c>
      <c r="G1" t="s">
        <v>5</v>
      </c>
      <c r="H1" t="s">
        <v>6</v>
      </c>
      <c r="I1" t="s">
        <v>31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25">
      <c r="A2" t="s">
        <v>18</v>
      </c>
      <c r="B2">
        <v>2011</v>
      </c>
      <c r="C2" t="s">
        <v>8</v>
      </c>
      <c r="D2">
        <v>27</v>
      </c>
      <c r="E2" t="s">
        <v>19</v>
      </c>
      <c r="F2">
        <v>0</v>
      </c>
      <c r="G2">
        <v>-0.01</v>
      </c>
      <c r="H2">
        <v>0.01</v>
      </c>
      <c r="I2">
        <f>(H2-G2)/1.96/2</f>
        <v>5.1020408163265311E-3</v>
      </c>
      <c r="J2">
        <f>I2*SQRT(D2)</f>
        <v>2.6510981748503228E-2</v>
      </c>
      <c r="K2">
        <f>F2/J2</f>
        <v>0</v>
      </c>
      <c r="L2">
        <f>1-3/(4*(D2-1)-1)</f>
        <v>0.970873786407767</v>
      </c>
      <c r="M2">
        <f t="shared" ref="M2" si="0">L2*K2</f>
        <v>0</v>
      </c>
      <c r="N2">
        <f>L2*I2/J2</f>
        <v>0.18684474731055847</v>
      </c>
    </row>
    <row r="3" spans="1:14" x14ac:dyDescent="0.25">
      <c r="A3" t="s">
        <v>22</v>
      </c>
      <c r="B3">
        <v>2015</v>
      </c>
      <c r="C3" t="s">
        <v>15</v>
      </c>
      <c r="D3">
        <v>24</v>
      </c>
      <c r="E3" t="s">
        <v>19</v>
      </c>
      <c r="F3">
        <v>2.86</v>
      </c>
      <c r="G3">
        <v>-5.71</v>
      </c>
      <c r="H3">
        <v>11.43</v>
      </c>
      <c r="I3">
        <f t="shared" ref="I3:I21" si="1">(H3-G3)/1.96/2</f>
        <v>4.3724489795918373</v>
      </c>
      <c r="J3">
        <f t="shared" ref="J3:J4" si="2">I3*SQRT(D3)</f>
        <v>21.420537852705955</v>
      </c>
      <c r="K3">
        <f t="shared" ref="K3:K21" si="3">F3/J3</f>
        <v>0.13351672211343235</v>
      </c>
      <c r="L3">
        <f t="shared" ref="L3:L21" si="4">1-3/(4*(D3-1)-1)</f>
        <v>0.96703296703296704</v>
      </c>
      <c r="M3">
        <f t="shared" ref="M3:M21" si="5">L3*K3</f>
        <v>0.12911507193386865</v>
      </c>
      <c r="N3">
        <f t="shared" ref="N3:N21" si="6">L3*I3/J3</f>
        <v>0.197394777806703</v>
      </c>
    </row>
    <row r="4" spans="1:14" x14ac:dyDescent="0.25">
      <c r="A4" t="s">
        <v>27</v>
      </c>
      <c r="B4">
        <v>2013</v>
      </c>
      <c r="C4" t="s">
        <v>8</v>
      </c>
      <c r="D4">
        <v>12</v>
      </c>
      <c r="E4" t="s">
        <v>19</v>
      </c>
      <c r="F4">
        <v>8</v>
      </c>
      <c r="G4">
        <v>-0.24</v>
      </c>
      <c r="H4">
        <v>16.239999999999998</v>
      </c>
      <c r="I4">
        <f t="shared" si="1"/>
        <v>4.2040816326530601</v>
      </c>
      <c r="J4">
        <f t="shared" si="2"/>
        <v>14.563365973844434</v>
      </c>
      <c r="K4">
        <f t="shared" si="3"/>
        <v>0.54932355709304215</v>
      </c>
      <c r="L4">
        <f t="shared" si="4"/>
        <v>0.93023255813953487</v>
      </c>
      <c r="M4">
        <f t="shared" si="5"/>
        <v>0.51099865776096942</v>
      </c>
      <c r="N4">
        <f t="shared" si="6"/>
        <v>0.26853500892540733</v>
      </c>
    </row>
    <row r="5" spans="1:14" x14ac:dyDescent="0.25">
      <c r="A5" t="s">
        <v>7</v>
      </c>
      <c r="B5">
        <v>2019</v>
      </c>
      <c r="C5" t="s">
        <v>8</v>
      </c>
      <c r="D5">
        <v>697</v>
      </c>
      <c r="E5" t="s">
        <v>9</v>
      </c>
      <c r="F5">
        <v>0</v>
      </c>
      <c r="G5">
        <v>-1.66</v>
      </c>
      <c r="H5">
        <v>1.66</v>
      </c>
      <c r="I5">
        <f t="shared" si="1"/>
        <v>0.84693877551020402</v>
      </c>
      <c r="J5">
        <f>I5*SQRT(D5/4)</f>
        <v>11.179912642274072</v>
      </c>
      <c r="K5">
        <f t="shared" si="3"/>
        <v>0</v>
      </c>
      <c r="L5">
        <f t="shared" si="4"/>
        <v>0.99892202659001073</v>
      </c>
      <c r="M5">
        <f t="shared" si="5"/>
        <v>0</v>
      </c>
      <c r="N5">
        <f t="shared" si="6"/>
        <v>7.5673739598937306E-2</v>
      </c>
    </row>
    <row r="6" spans="1:14" x14ac:dyDescent="0.25">
      <c r="A6" t="s">
        <v>10</v>
      </c>
      <c r="B6">
        <v>2018</v>
      </c>
      <c r="C6" t="s">
        <v>8</v>
      </c>
      <c r="D6">
        <v>144</v>
      </c>
      <c r="E6" t="s">
        <v>9</v>
      </c>
      <c r="F6">
        <v>-0.2</v>
      </c>
      <c r="G6">
        <v>-4.68</v>
      </c>
      <c r="H6">
        <v>4.28</v>
      </c>
      <c r="I6">
        <f t="shared" si="1"/>
        <v>2.285714285714286</v>
      </c>
      <c r="J6">
        <f t="shared" ref="J6:J21" si="7">I6*SQRT(D6/4)</f>
        <v>13.714285714285715</v>
      </c>
      <c r="K6">
        <f t="shared" si="3"/>
        <v>-1.4583333333333334E-2</v>
      </c>
      <c r="L6">
        <f t="shared" si="4"/>
        <v>0.99474605954465845</v>
      </c>
      <c r="M6">
        <f t="shared" si="5"/>
        <v>-1.4506713368359602E-2</v>
      </c>
      <c r="N6">
        <f t="shared" si="6"/>
        <v>0.16579100992410978</v>
      </c>
    </row>
    <row r="7" spans="1:14" x14ac:dyDescent="0.25">
      <c r="A7" t="s">
        <v>11</v>
      </c>
      <c r="B7">
        <v>2016</v>
      </c>
      <c r="C7" t="s">
        <v>8</v>
      </c>
      <c r="D7">
        <v>80</v>
      </c>
      <c r="E7" t="s">
        <v>9</v>
      </c>
      <c r="F7">
        <v>8.6</v>
      </c>
      <c r="G7">
        <v>2.67</v>
      </c>
      <c r="H7">
        <v>14.53</v>
      </c>
      <c r="I7">
        <f t="shared" si="1"/>
        <v>3.0255102040816326</v>
      </c>
      <c r="J7">
        <f t="shared" si="7"/>
        <v>13.530492965891586</v>
      </c>
      <c r="K7">
        <f t="shared" si="3"/>
        <v>0.63560137991123866</v>
      </c>
      <c r="L7">
        <f t="shared" si="4"/>
        <v>0.99047619047619051</v>
      </c>
      <c r="M7">
        <f t="shared" si="5"/>
        <v>0.62954803343589361</v>
      </c>
      <c r="N7">
        <f t="shared" si="6"/>
        <v>0.22147720919997915</v>
      </c>
    </row>
    <row r="8" spans="1:14" x14ac:dyDescent="0.25">
      <c r="A8" t="s">
        <v>12</v>
      </c>
      <c r="B8">
        <v>2016</v>
      </c>
      <c r="C8" t="s">
        <v>8</v>
      </c>
      <c r="D8">
        <v>80</v>
      </c>
      <c r="E8" t="s">
        <v>9</v>
      </c>
      <c r="F8">
        <v>9.8000000000000007</v>
      </c>
      <c r="G8">
        <v>3.94</v>
      </c>
      <c r="H8">
        <v>15.66</v>
      </c>
      <c r="I8">
        <f t="shared" si="1"/>
        <v>2.989795918367347</v>
      </c>
      <c r="J8">
        <f t="shared" si="7"/>
        <v>13.370773824641601</v>
      </c>
      <c r="K8">
        <f t="shared" si="3"/>
        <v>0.73294187221528939</v>
      </c>
      <c r="L8">
        <f t="shared" si="4"/>
        <v>0.99047619047619051</v>
      </c>
      <c r="M8">
        <f t="shared" si="5"/>
        <v>0.72596147343228667</v>
      </c>
      <c r="N8">
        <f t="shared" si="6"/>
        <v>0.22147720919997918</v>
      </c>
    </row>
    <row r="9" spans="1:14" x14ac:dyDescent="0.25">
      <c r="A9" t="s">
        <v>13</v>
      </c>
      <c r="B9">
        <v>2014</v>
      </c>
      <c r="C9" t="s">
        <v>8</v>
      </c>
      <c r="D9">
        <v>24</v>
      </c>
      <c r="E9" t="s">
        <v>9</v>
      </c>
      <c r="F9">
        <v>0.3</v>
      </c>
      <c r="G9">
        <v>-3.17</v>
      </c>
      <c r="H9">
        <v>3.77</v>
      </c>
      <c r="I9">
        <f t="shared" si="1"/>
        <v>1.7704081632653059</v>
      </c>
      <c r="J9">
        <f t="shared" si="7"/>
        <v>4.3365966364579727</v>
      </c>
      <c r="K9">
        <f t="shared" si="3"/>
        <v>6.9178672850937026E-2</v>
      </c>
      <c r="L9">
        <f t="shared" si="4"/>
        <v>0.96703296703296704</v>
      </c>
      <c r="M9">
        <f t="shared" si="5"/>
        <v>6.6898057262444591E-2</v>
      </c>
      <c r="N9">
        <f t="shared" si="6"/>
        <v>0.39478955561340601</v>
      </c>
    </row>
    <row r="10" spans="1:14" x14ac:dyDescent="0.25">
      <c r="A10" t="s">
        <v>14</v>
      </c>
      <c r="B10">
        <v>2017</v>
      </c>
      <c r="C10" t="s">
        <v>15</v>
      </c>
      <c r="D10">
        <v>149</v>
      </c>
      <c r="E10" t="s">
        <v>9</v>
      </c>
      <c r="F10">
        <v>1</v>
      </c>
      <c r="G10">
        <v>-2.54</v>
      </c>
      <c r="H10">
        <v>4.54</v>
      </c>
      <c r="I10">
        <f t="shared" si="1"/>
        <v>1.806122448979592</v>
      </c>
      <c r="J10">
        <f t="shared" si="7"/>
        <v>11.023267061147273</v>
      </c>
      <c r="K10">
        <f t="shared" si="3"/>
        <v>9.071720701792764E-2</v>
      </c>
      <c r="L10">
        <f t="shared" si="4"/>
        <v>0.99492385786802029</v>
      </c>
      <c r="M10">
        <f t="shared" si="5"/>
        <v>9.0256713581288409E-2</v>
      </c>
      <c r="N10">
        <f t="shared" si="6"/>
        <v>0.16301467657028623</v>
      </c>
    </row>
    <row r="11" spans="1:14" x14ac:dyDescent="0.25">
      <c r="A11" t="s">
        <v>16</v>
      </c>
      <c r="B11">
        <v>1994</v>
      </c>
      <c r="C11" t="s">
        <v>8</v>
      </c>
      <c r="D11">
        <v>605</v>
      </c>
      <c r="E11" t="s">
        <v>9</v>
      </c>
      <c r="F11">
        <v>2</v>
      </c>
      <c r="G11">
        <v>-1.05</v>
      </c>
      <c r="H11">
        <v>5.05</v>
      </c>
      <c r="I11">
        <f t="shared" si="1"/>
        <v>1.5561224489795917</v>
      </c>
      <c r="J11">
        <f t="shared" si="7"/>
        <v>19.137775674774986</v>
      </c>
      <c r="K11">
        <f t="shared" si="3"/>
        <v>0.10450535286794845</v>
      </c>
      <c r="L11">
        <f t="shared" si="4"/>
        <v>0.99875776397515525</v>
      </c>
      <c r="M11">
        <f t="shared" si="5"/>
        <v>0.10437553255382677</v>
      </c>
      <c r="N11">
        <f t="shared" si="6"/>
        <v>8.1210554665605006E-2</v>
      </c>
    </row>
    <row r="12" spans="1:14" x14ac:dyDescent="0.25">
      <c r="A12" t="s">
        <v>17</v>
      </c>
      <c r="B12">
        <v>2004</v>
      </c>
      <c r="C12" t="s">
        <v>8</v>
      </c>
      <c r="D12">
        <v>180</v>
      </c>
      <c r="E12" t="s">
        <v>9</v>
      </c>
      <c r="F12">
        <v>3</v>
      </c>
      <c r="G12">
        <v>0.49</v>
      </c>
      <c r="H12">
        <v>5.51</v>
      </c>
      <c r="I12">
        <f t="shared" si="1"/>
        <v>1.2806122448979591</v>
      </c>
      <c r="J12">
        <f t="shared" si="7"/>
        <v>8.5906080972313354</v>
      </c>
      <c r="K12">
        <f t="shared" si="3"/>
        <v>0.3492185845338317</v>
      </c>
      <c r="L12">
        <f t="shared" si="4"/>
        <v>0.99580419580419577</v>
      </c>
      <c r="M12">
        <f t="shared" si="5"/>
        <v>0.34775333173159184</v>
      </c>
      <c r="N12">
        <f t="shared" si="6"/>
        <v>0.14844572493984615</v>
      </c>
    </row>
    <row r="13" spans="1:14" x14ac:dyDescent="0.25">
      <c r="A13" t="s">
        <v>20</v>
      </c>
      <c r="B13">
        <v>2019</v>
      </c>
      <c r="C13" t="s">
        <v>15</v>
      </c>
      <c r="D13">
        <v>1128</v>
      </c>
      <c r="E13" t="s">
        <v>9</v>
      </c>
      <c r="F13">
        <v>5.5</v>
      </c>
      <c r="G13">
        <v>0.54</v>
      </c>
      <c r="H13">
        <v>10.46</v>
      </c>
      <c r="I13">
        <f t="shared" si="1"/>
        <v>2.5306122448979598</v>
      </c>
      <c r="J13">
        <f t="shared" si="7"/>
        <v>42.496206068256875</v>
      </c>
      <c r="K13">
        <f t="shared" si="3"/>
        <v>0.12942331819376932</v>
      </c>
      <c r="L13">
        <f t="shared" si="4"/>
        <v>0.99933436875970716</v>
      </c>
      <c r="M13">
        <f t="shared" si="5"/>
        <v>0.12933716998995717</v>
      </c>
      <c r="N13">
        <f t="shared" si="6"/>
        <v>5.9509495654006282E-2</v>
      </c>
    </row>
    <row r="14" spans="1:14" x14ac:dyDescent="0.25">
      <c r="A14" t="s">
        <v>21</v>
      </c>
      <c r="B14">
        <v>2019</v>
      </c>
      <c r="C14" t="s">
        <v>15</v>
      </c>
      <c r="D14">
        <v>114</v>
      </c>
      <c r="E14" t="s">
        <v>9</v>
      </c>
      <c r="F14">
        <v>4.3</v>
      </c>
      <c r="G14">
        <v>-0.83</v>
      </c>
      <c r="H14">
        <v>9.43</v>
      </c>
      <c r="I14">
        <f t="shared" si="1"/>
        <v>2.6173469387755102</v>
      </c>
      <c r="J14">
        <f t="shared" si="7"/>
        <v>13.972809039010365</v>
      </c>
      <c r="K14">
        <f t="shared" si="3"/>
        <v>0.30774055438637488</v>
      </c>
      <c r="L14">
        <f t="shared" si="4"/>
        <v>0.99334811529933487</v>
      </c>
      <c r="M14">
        <f t="shared" si="5"/>
        <v>0.30569349970087795</v>
      </c>
      <c r="N14">
        <f t="shared" si="6"/>
        <v>0.18607115015015471</v>
      </c>
    </row>
    <row r="15" spans="1:14" x14ac:dyDescent="0.25">
      <c r="A15" t="s">
        <v>23</v>
      </c>
      <c r="B15">
        <v>2017</v>
      </c>
      <c r="C15" t="s">
        <v>8</v>
      </c>
      <c r="D15">
        <v>215</v>
      </c>
      <c r="E15" t="s">
        <v>9</v>
      </c>
      <c r="F15">
        <v>1.5</v>
      </c>
      <c r="G15">
        <v>0.08</v>
      </c>
      <c r="H15">
        <v>2.92</v>
      </c>
      <c r="I15">
        <f t="shared" si="1"/>
        <v>0.72448979591836737</v>
      </c>
      <c r="J15">
        <f t="shared" si="7"/>
        <v>5.3115528530697844</v>
      </c>
      <c r="K15">
        <f t="shared" si="3"/>
        <v>0.28240328986523833</v>
      </c>
      <c r="L15">
        <f t="shared" si="4"/>
        <v>0.99649122807017543</v>
      </c>
      <c r="M15">
        <f t="shared" si="5"/>
        <v>0.28141240112886906</v>
      </c>
      <c r="N15">
        <f t="shared" si="6"/>
        <v>0.13592027537516804</v>
      </c>
    </row>
    <row r="16" spans="1:14" x14ac:dyDescent="0.25">
      <c r="A16" t="s">
        <v>24</v>
      </c>
      <c r="B16">
        <v>2018</v>
      </c>
      <c r="C16" t="s">
        <v>8</v>
      </c>
      <c r="D16">
        <v>100</v>
      </c>
      <c r="E16" t="s">
        <v>9</v>
      </c>
      <c r="F16">
        <v>-3.7</v>
      </c>
      <c r="G16">
        <v>-9.6</v>
      </c>
      <c r="H16">
        <v>2.2000000000000002</v>
      </c>
      <c r="I16">
        <f t="shared" si="1"/>
        <v>3.0102040816326534</v>
      </c>
      <c r="J16">
        <f t="shared" si="7"/>
        <v>15.051020408163268</v>
      </c>
      <c r="K16">
        <f t="shared" si="3"/>
        <v>-0.24583050847457624</v>
      </c>
      <c r="L16">
        <f t="shared" si="4"/>
        <v>0.9924050632911392</v>
      </c>
      <c r="M16">
        <f t="shared" si="5"/>
        <v>-0.24396344132160477</v>
      </c>
      <c r="N16">
        <f t="shared" si="6"/>
        <v>0.19848101265822785</v>
      </c>
    </row>
    <row r="17" spans="1:14" x14ac:dyDescent="0.25">
      <c r="A17" t="s">
        <v>25</v>
      </c>
      <c r="B17">
        <v>2018</v>
      </c>
      <c r="C17" t="s">
        <v>8</v>
      </c>
      <c r="D17">
        <v>51</v>
      </c>
      <c r="E17" t="s">
        <v>9</v>
      </c>
      <c r="F17">
        <v>0</v>
      </c>
      <c r="G17">
        <v>-7.5</v>
      </c>
      <c r="H17">
        <v>7.5</v>
      </c>
      <c r="I17">
        <f t="shared" si="1"/>
        <v>3.8265306122448979</v>
      </c>
      <c r="J17">
        <f t="shared" si="7"/>
        <v>13.663447248487596</v>
      </c>
      <c r="K17">
        <f t="shared" si="3"/>
        <v>0</v>
      </c>
      <c r="L17">
        <f t="shared" si="4"/>
        <v>0.98492462311557794</v>
      </c>
      <c r="M17">
        <f t="shared" si="5"/>
        <v>0</v>
      </c>
      <c r="N17">
        <f t="shared" si="6"/>
        <v>0.27583406680350747</v>
      </c>
    </row>
    <row r="18" spans="1:14" x14ac:dyDescent="0.25">
      <c r="A18" t="s">
        <v>26</v>
      </c>
      <c r="B18">
        <v>2018</v>
      </c>
      <c r="C18" t="s">
        <v>15</v>
      </c>
      <c r="D18">
        <v>24</v>
      </c>
      <c r="E18" t="s">
        <v>9</v>
      </c>
      <c r="F18">
        <v>-2.2999999999999998</v>
      </c>
      <c r="G18">
        <v>-9.94</v>
      </c>
      <c r="H18">
        <v>5.34</v>
      </c>
      <c r="I18">
        <f t="shared" si="1"/>
        <v>3.8979591836734695</v>
      </c>
      <c r="J18">
        <f t="shared" si="7"/>
        <v>9.5480110381956536</v>
      </c>
      <c r="K18">
        <f t="shared" si="3"/>
        <v>-0.24088786562972439</v>
      </c>
      <c r="L18">
        <f t="shared" si="4"/>
        <v>0.96703296703296704</v>
      </c>
      <c r="M18">
        <f t="shared" si="5"/>
        <v>-0.23294650742215106</v>
      </c>
      <c r="N18">
        <f t="shared" si="6"/>
        <v>0.39478955561340601</v>
      </c>
    </row>
    <row r="19" spans="1:14" x14ac:dyDescent="0.25">
      <c r="A19" t="s">
        <v>28</v>
      </c>
      <c r="B19">
        <v>2008</v>
      </c>
      <c r="C19" t="s">
        <v>8</v>
      </c>
      <c r="D19">
        <v>213</v>
      </c>
      <c r="E19" t="s">
        <v>9</v>
      </c>
      <c r="F19">
        <v>1.2</v>
      </c>
      <c r="G19">
        <v>-2.33</v>
      </c>
      <c r="H19">
        <v>4.7300000000000004</v>
      </c>
      <c r="I19">
        <f t="shared" si="1"/>
        <v>1.8010204081632655</v>
      </c>
      <c r="J19">
        <f t="shared" si="7"/>
        <v>13.14251375082201</v>
      </c>
      <c r="K19">
        <f t="shared" si="3"/>
        <v>9.1306733456903932E-2</v>
      </c>
      <c r="L19">
        <f t="shared" si="4"/>
        <v>0.99645808736717822</v>
      </c>
      <c r="M19">
        <f t="shared" si="5"/>
        <v>9.098333298421124E-2</v>
      </c>
      <c r="N19">
        <f t="shared" si="6"/>
        <v>0.13655236625606534</v>
      </c>
    </row>
    <row r="20" spans="1:14" x14ac:dyDescent="0.25">
      <c r="A20" t="s">
        <v>29</v>
      </c>
      <c r="B20">
        <v>2008</v>
      </c>
      <c r="C20" t="s">
        <v>8</v>
      </c>
      <c r="D20">
        <v>101</v>
      </c>
      <c r="E20" t="s">
        <v>9</v>
      </c>
      <c r="F20">
        <v>-1</v>
      </c>
      <c r="G20">
        <v>-6.71</v>
      </c>
      <c r="H20">
        <v>4.71</v>
      </c>
      <c r="I20">
        <f t="shared" si="1"/>
        <v>2.9132653061224492</v>
      </c>
      <c r="J20">
        <f t="shared" si="7"/>
        <v>14.638976988928643</v>
      </c>
      <c r="K20">
        <f t="shared" si="3"/>
        <v>-6.8310784336657743E-2</v>
      </c>
      <c r="L20">
        <f t="shared" si="4"/>
        <v>0.99248120300751874</v>
      </c>
      <c r="M20">
        <f t="shared" si="5"/>
        <v>-6.7797169416833239E-2</v>
      </c>
      <c r="N20">
        <f t="shared" si="6"/>
        <v>0.19751114151536628</v>
      </c>
    </row>
    <row r="21" spans="1:14" x14ac:dyDescent="0.25">
      <c r="A21" t="s">
        <v>30</v>
      </c>
      <c r="B21">
        <v>2005</v>
      </c>
      <c r="C21" t="s">
        <v>8</v>
      </c>
      <c r="D21">
        <v>169</v>
      </c>
      <c r="E21" t="s">
        <v>9</v>
      </c>
      <c r="F21">
        <v>-1</v>
      </c>
      <c r="G21">
        <v>-5.24</v>
      </c>
      <c r="H21">
        <v>3.24</v>
      </c>
      <c r="I21">
        <f t="shared" si="1"/>
        <v>2.1632653061224492</v>
      </c>
      <c r="J21">
        <f t="shared" si="7"/>
        <v>14.061224489795919</v>
      </c>
      <c r="K21">
        <f t="shared" si="3"/>
        <v>-7.1117561683599423E-2</v>
      </c>
      <c r="L21">
        <f t="shared" si="4"/>
        <v>0.99552906110283157</v>
      </c>
      <c r="M21">
        <f t="shared" si="5"/>
        <v>-7.0799599410796443E-2</v>
      </c>
      <c r="N21">
        <f t="shared" si="6"/>
        <v>0.15315831709274333</v>
      </c>
    </row>
  </sheetData>
  <sortState xmlns:xlrd2="http://schemas.microsoft.com/office/spreadsheetml/2017/richdata2" ref="A2:H21">
    <sortCondition ref="E2:E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2025-12-28T21:10:45Z</dcterms:modified>
</cp:coreProperties>
</file>