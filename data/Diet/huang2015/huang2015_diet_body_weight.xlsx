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huang2015\"/>
    </mc:Choice>
  </mc:AlternateContent>
  <xr:revisionPtr revIDLastSave="0" documentId="13_ncr:1_{526670D1-E26E-495D-87A9-5F3C563A18A3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2" i="1"/>
  <c r="L2" i="1"/>
  <c r="H3" i="1"/>
  <c r="I3" i="1"/>
  <c r="J3" i="1"/>
  <c r="K3" i="1" s="1"/>
  <c r="L3" i="1" s="1"/>
  <c r="N3" i="1"/>
  <c r="H4" i="1"/>
  <c r="I4" i="1"/>
  <c r="J4" i="1"/>
  <c r="K4" i="1" s="1"/>
  <c r="L4" i="1" s="1"/>
  <c r="N4" i="1"/>
  <c r="H5" i="1"/>
  <c r="I5" i="1"/>
  <c r="J5" i="1"/>
  <c r="K5" i="1"/>
  <c r="L5" i="1"/>
  <c r="M5" i="1" s="1"/>
  <c r="N5" i="1"/>
  <c r="H6" i="1"/>
  <c r="I6" i="1"/>
  <c r="J6" i="1"/>
  <c r="K6" i="1"/>
  <c r="L6" i="1" s="1"/>
  <c r="M6" i="1" s="1"/>
  <c r="O6" i="1" s="1"/>
  <c r="N6" i="1"/>
  <c r="H7" i="1"/>
  <c r="I7" i="1"/>
  <c r="J7" i="1"/>
  <c r="K7" i="1" s="1"/>
  <c r="L7" i="1" s="1"/>
  <c r="N7" i="1"/>
  <c r="H8" i="1"/>
  <c r="M8" i="1" s="1"/>
  <c r="I8" i="1"/>
  <c r="J8" i="1"/>
  <c r="K8" i="1" s="1"/>
  <c r="L8" i="1" s="1"/>
  <c r="N8" i="1"/>
  <c r="H9" i="1"/>
  <c r="I9" i="1"/>
  <c r="J9" i="1"/>
  <c r="K9" i="1"/>
  <c r="L9" i="1"/>
  <c r="M9" i="1" s="1"/>
  <c r="N9" i="1"/>
  <c r="O9" i="1" s="1"/>
  <c r="H10" i="1"/>
  <c r="M10" i="1" s="1"/>
  <c r="O10" i="1" s="1"/>
  <c r="I10" i="1"/>
  <c r="J10" i="1"/>
  <c r="K10" i="1"/>
  <c r="L10" i="1" s="1"/>
  <c r="N10" i="1"/>
  <c r="H11" i="1"/>
  <c r="I11" i="1"/>
  <c r="J11" i="1"/>
  <c r="K11" i="1"/>
  <c r="L11" i="1" s="1"/>
  <c r="N11" i="1"/>
  <c r="H12" i="1"/>
  <c r="I12" i="1"/>
  <c r="J12" i="1"/>
  <c r="K12" i="1" s="1"/>
  <c r="L12" i="1" s="1"/>
  <c r="N12" i="1"/>
  <c r="H13" i="1"/>
  <c r="I13" i="1"/>
  <c r="J13" i="1"/>
  <c r="K13" i="1"/>
  <c r="L13" i="1"/>
  <c r="M13" i="1" s="1"/>
  <c r="N13" i="1"/>
  <c r="H14" i="1"/>
  <c r="I14" i="1"/>
  <c r="K14" i="1" s="1"/>
  <c r="L14" i="1" s="1"/>
  <c r="J14" i="1"/>
  <c r="N14" i="1"/>
  <c r="K2" i="1"/>
  <c r="M2" i="1"/>
  <c r="O2" i="1" s="1"/>
  <c r="N2" i="1"/>
  <c r="J2" i="1"/>
  <c r="I2" i="1"/>
  <c r="H2" i="1"/>
  <c r="M12" i="1" l="1"/>
  <c r="M7" i="1"/>
  <c r="O12" i="1"/>
  <c r="O13" i="1"/>
  <c r="M4" i="1"/>
  <c r="O4" i="1" s="1"/>
  <c r="O3" i="1"/>
  <c r="M11" i="1"/>
  <c r="O5" i="1"/>
  <c r="O7" i="1"/>
  <c r="O11" i="1"/>
  <c r="M14" i="1"/>
  <c r="O14" i="1" s="1"/>
  <c r="O8" i="1"/>
  <c r="M3" i="1"/>
</calcChain>
</file>

<file path=xl/sharedStrings.xml><?xml version="1.0" encoding="utf-8"?>
<sst xmlns="http://schemas.openxmlformats.org/spreadsheetml/2006/main" count="29" uniqueCount="28">
  <si>
    <t>Skoldstam</t>
  </si>
  <si>
    <t>Prescott</t>
  </si>
  <si>
    <t>Nicholson</t>
  </si>
  <si>
    <t>Dansinger</t>
  </si>
  <si>
    <t>Barnard</t>
  </si>
  <si>
    <t>Gardner</t>
  </si>
  <si>
    <t>Mahon</t>
  </si>
  <si>
    <t>Turner</t>
  </si>
  <si>
    <t>Kahleova</t>
  </si>
  <si>
    <t>Mishra</t>
  </si>
  <si>
    <t>Burkep</t>
  </si>
  <si>
    <t>Burkenp</t>
  </si>
  <si>
    <t>n</t>
  </si>
  <si>
    <t>wmd</t>
  </si>
  <si>
    <t>wmd_neg</t>
  </si>
  <si>
    <t>lCI_neg</t>
  </si>
  <si>
    <t>uCI_neg</t>
  </si>
  <si>
    <t>lCI</t>
  </si>
  <si>
    <t>uCI</t>
  </si>
  <si>
    <t>SE</t>
  </si>
  <si>
    <t>pooled_sd</t>
  </si>
  <si>
    <t>d</t>
  </si>
  <si>
    <t>J</t>
  </si>
  <si>
    <t>g</t>
  </si>
  <si>
    <t>se_g</t>
  </si>
  <si>
    <t>Author</t>
  </si>
  <si>
    <t>Year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</si>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</sst>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P7" sqref="P7"/>
    </sheetView>
  </sheetViews>
  <sheetFormatPr defaultRowHeight="15" x14ac:dyDescent="0.25"/>
  <cols>
    <col min="1" max="1" width="10.140625" bestFit="1" customWidth="1"/>
    <col min="2" max="2" width="4" bestFit="1" customWidth="1"/>
    <col min="3" max="3" width="5" bestFit="1" customWidth="1"/>
    <col min="4" max="4" width="6" bestFit="1" customWidth="1"/>
    <col min="5" max="5" width="9.7109375" bestFit="1" customWidth="1"/>
    <col min="6" max="6" width="7.5703125" bestFit="1" customWidth="1"/>
    <col min="7" max="7" width="8.140625" bestFit="1" customWidth="1"/>
    <col min="8" max="8" width="5.42578125" bestFit="1" customWidth="1"/>
    <col min="9" max="9" width="5.7109375" bestFit="1" customWidth="1"/>
    <col min="10" max="10" width="6" bestFit="1" customWidth="1"/>
    <col min="11" max="16" width="12" bestFit="1" customWidth="1"/>
  </cols>
  <sheetData>
    <row r="1" spans="1:16" ht="30" x14ac:dyDescent="0.25">
      <c r="A1" t="s">
        <v>25</v>
      </c>
      <c r="B1" t="s">
        <v>12</v>
      </c>
      <c r="C1" t="s">
        <v>26</v>
      </c>
      <c r="D1" t="s">
        <v>27</v>
      </c>
      <c r="E1" t="s">
        <v>14</v>
      </c>
      <c r="F1" t="s">
        <v>15</v>
      </c>
      <c r="G1" t="s">
        <v>16</v>
      </c>
      <c r="H1" t="s">
        <v>13</v>
      </c>
      <c r="I1" t="s">
        <v>17</v>
      </c>
      <c r="J1" t="s">
        <v>18</v>
      </c>
      <c r="K1" s="1" t="s">
        <v>19</v>
      </c>
      <c r="L1" s="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0</v>
      </c>
      <c r="B2">
        <v>26</v>
      </c>
      <c r="C2">
        <v>1979</v>
      </c>
      <c r="D2">
        <v>8.8800000000000008</v>
      </c>
      <c r="E2">
        <v>-2</v>
      </c>
      <c r="F2">
        <v>-3.63</v>
      </c>
      <c r="G2">
        <v>-0.37</v>
      </c>
      <c r="H2">
        <f>-E2</f>
        <v>2</v>
      </c>
      <c r="I2">
        <f>-G2</f>
        <v>0.37</v>
      </c>
      <c r="J2">
        <f>-F2</f>
        <v>3.63</v>
      </c>
      <c r="K2">
        <f>(J2-I2)/1.96/2</f>
        <v>0.83163265306122447</v>
      </c>
      <c r="L2">
        <f>K2*SQRT(B2/4)</f>
        <v>2.120255563050061</v>
      </c>
      <c r="M2">
        <f>H2/L2</f>
        <v>0.943282515020468</v>
      </c>
      <c r="N2">
        <f>1-3/(4*(B2-2)-1)</f>
        <v>0.96842105263157896</v>
      </c>
      <c r="O2">
        <f>N2*M2</f>
        <v>0.9134946461250848</v>
      </c>
      <c r="P2">
        <f>N2*K2/L2</f>
        <v>0.37984598805711434</v>
      </c>
    </row>
    <row r="3" spans="1:16" x14ac:dyDescent="0.25">
      <c r="A3" t="s">
        <v>1</v>
      </c>
      <c r="B3">
        <v>64</v>
      </c>
      <c r="C3">
        <v>1988</v>
      </c>
      <c r="D3">
        <v>6.89</v>
      </c>
      <c r="E3">
        <v>-0.1</v>
      </c>
      <c r="F3">
        <v>-2.2599999999999998</v>
      </c>
      <c r="G3">
        <v>2.06</v>
      </c>
      <c r="H3">
        <f t="shared" ref="H3:H14" si="0">-E3</f>
        <v>0.1</v>
      </c>
      <c r="I3">
        <f t="shared" ref="I3:I14" si="1">-G3</f>
        <v>-2.06</v>
      </c>
      <c r="J3">
        <f t="shared" ref="J3:J14" si="2">-F3</f>
        <v>2.2599999999999998</v>
      </c>
      <c r="K3">
        <f t="shared" ref="K3:K14" si="3">(J3-I3)/1.96/2</f>
        <v>1.1020408163265307</v>
      </c>
      <c r="L3">
        <f t="shared" ref="L3:L14" si="4">K3*SQRT(B3/4)</f>
        <v>4.4081632653061229</v>
      </c>
      <c r="M3">
        <f t="shared" ref="M3:M14" si="5">H3/L3</f>
        <v>2.2685185185185183E-2</v>
      </c>
      <c r="N3">
        <f t="shared" ref="N3:N14" si="6">1-3/(4*(B3-2)-1)</f>
        <v>0.98785425101214575</v>
      </c>
      <c r="O3">
        <f t="shared" ref="O3:O14" si="7">N3*M3</f>
        <v>2.2409656620182933E-2</v>
      </c>
      <c r="P3">
        <f>N3*K3/L3</f>
        <v>0.24696356275303644</v>
      </c>
    </row>
    <row r="4" spans="1:16" x14ac:dyDescent="0.25">
      <c r="A4" t="s">
        <v>2</v>
      </c>
      <c r="B4">
        <v>11</v>
      </c>
      <c r="C4">
        <v>1999</v>
      </c>
      <c r="D4">
        <v>1.1599999999999999</v>
      </c>
      <c r="E4">
        <v>-3.4</v>
      </c>
      <c r="F4">
        <v>-10.38</v>
      </c>
      <c r="G4">
        <v>3.58</v>
      </c>
      <c r="H4">
        <f t="shared" si="0"/>
        <v>3.4</v>
      </c>
      <c r="I4">
        <f t="shared" si="1"/>
        <v>-3.58</v>
      </c>
      <c r="J4">
        <f t="shared" si="2"/>
        <v>10.38</v>
      </c>
      <c r="K4">
        <f t="shared" si="3"/>
        <v>3.5612244897959187</v>
      </c>
      <c r="L4">
        <f t="shared" si="4"/>
        <v>5.9056227134389525</v>
      </c>
      <c r="M4">
        <f t="shared" si="5"/>
        <v>0.57572252156625114</v>
      </c>
      <c r="N4">
        <f t="shared" si="6"/>
        <v>0.91428571428571426</v>
      </c>
      <c r="O4">
        <f t="shared" si="7"/>
        <v>0.52637487686057249</v>
      </c>
      <c r="P4">
        <f>N4*K4/L4</f>
        <v>0.55133503008505347</v>
      </c>
    </row>
    <row r="5" spans="1:16" x14ac:dyDescent="0.25">
      <c r="A5" t="s">
        <v>3</v>
      </c>
      <c r="B5">
        <v>80</v>
      </c>
      <c r="C5">
        <v>2005</v>
      </c>
      <c r="D5">
        <v>3.83</v>
      </c>
      <c r="E5">
        <v>-2.7</v>
      </c>
      <c r="F5">
        <v>-6.13</v>
      </c>
      <c r="G5">
        <v>0.73</v>
      </c>
      <c r="H5">
        <f t="shared" si="0"/>
        <v>2.7</v>
      </c>
      <c r="I5">
        <f t="shared" si="1"/>
        <v>-0.73</v>
      </c>
      <c r="J5">
        <f t="shared" si="2"/>
        <v>6.13</v>
      </c>
      <c r="K5">
        <f t="shared" si="3"/>
        <v>1.7499999999999998</v>
      </c>
      <c r="L5">
        <f t="shared" si="4"/>
        <v>7.8262379212492634</v>
      </c>
      <c r="M5">
        <f t="shared" si="5"/>
        <v>0.3449933450999676</v>
      </c>
      <c r="N5">
        <f t="shared" si="6"/>
        <v>0.99035369774919613</v>
      </c>
      <c r="O5">
        <f t="shared" si="7"/>
        <v>0.3416654350186174</v>
      </c>
      <c r="P5">
        <f>N5*K5/L5</f>
        <v>0.22144981899354829</v>
      </c>
    </row>
    <row r="6" spans="1:16" x14ac:dyDescent="0.25">
      <c r="A6" t="s">
        <v>4</v>
      </c>
      <c r="B6">
        <v>64</v>
      </c>
      <c r="C6">
        <v>2005</v>
      </c>
      <c r="D6">
        <v>9.2899999999999991</v>
      </c>
      <c r="E6">
        <v>-2</v>
      </c>
      <c r="F6">
        <v>-3.54</v>
      </c>
      <c r="G6">
        <v>-0.46</v>
      </c>
      <c r="H6">
        <f t="shared" si="0"/>
        <v>2</v>
      </c>
      <c r="I6">
        <f t="shared" si="1"/>
        <v>0.46</v>
      </c>
      <c r="J6">
        <f t="shared" si="2"/>
        <v>3.54</v>
      </c>
      <c r="K6">
        <f t="shared" si="3"/>
        <v>0.7857142857142857</v>
      </c>
      <c r="L6">
        <f t="shared" si="4"/>
        <v>3.1428571428571428</v>
      </c>
      <c r="M6">
        <f t="shared" si="5"/>
        <v>0.63636363636363635</v>
      </c>
      <c r="N6">
        <f t="shared" si="6"/>
        <v>0.98785425101214575</v>
      </c>
      <c r="O6">
        <f t="shared" si="7"/>
        <v>0.62863452337136549</v>
      </c>
      <c r="P6">
        <f>N6*K6/L6</f>
        <v>0.24696356275303644</v>
      </c>
    </row>
    <row r="7" spans="1:16" x14ac:dyDescent="0.25">
      <c r="A7" t="s">
        <v>5</v>
      </c>
      <c r="B7">
        <v>155</v>
      </c>
      <c r="C7">
        <v>2007</v>
      </c>
      <c r="D7">
        <v>8.0299999999999994</v>
      </c>
      <c r="E7">
        <v>-0.6</v>
      </c>
      <c r="F7">
        <v>-2.44</v>
      </c>
      <c r="G7">
        <v>1.24</v>
      </c>
      <c r="H7">
        <f t="shared" si="0"/>
        <v>0.6</v>
      </c>
      <c r="I7">
        <f t="shared" si="1"/>
        <v>-1.24</v>
      </c>
      <c r="J7">
        <f t="shared" si="2"/>
        <v>2.44</v>
      </c>
      <c r="K7">
        <f t="shared" si="3"/>
        <v>0.93877551020408156</v>
      </c>
      <c r="L7">
        <f t="shared" si="4"/>
        <v>5.8438304235457315</v>
      </c>
      <c r="M7">
        <f t="shared" si="5"/>
        <v>0.10267238378144986</v>
      </c>
      <c r="N7">
        <f t="shared" si="6"/>
        <v>0.9950900163666121</v>
      </c>
      <c r="O7">
        <f t="shared" si="7"/>
        <v>0.10216826405748201</v>
      </c>
      <c r="P7">
        <f>N7*K7/L7</f>
        <v>0.15985510702871336</v>
      </c>
    </row>
    <row r="8" spans="1:16" x14ac:dyDescent="0.25">
      <c r="A8" t="s">
        <v>6</v>
      </c>
      <c r="B8">
        <v>25</v>
      </c>
      <c r="C8">
        <v>2007</v>
      </c>
      <c r="D8">
        <v>10.89</v>
      </c>
      <c r="E8">
        <v>-4.4000000000000004</v>
      </c>
      <c r="F8">
        <v>-5.58</v>
      </c>
      <c r="G8">
        <v>-3.22</v>
      </c>
      <c r="H8">
        <f t="shared" si="0"/>
        <v>4.4000000000000004</v>
      </c>
      <c r="I8">
        <f t="shared" si="1"/>
        <v>3.22</v>
      </c>
      <c r="J8">
        <f t="shared" si="2"/>
        <v>5.58</v>
      </c>
      <c r="K8">
        <f t="shared" si="3"/>
        <v>0.60204081632653061</v>
      </c>
      <c r="L8">
        <f t="shared" si="4"/>
        <v>1.5051020408163265</v>
      </c>
      <c r="M8">
        <f t="shared" si="5"/>
        <v>2.9233898305084751</v>
      </c>
      <c r="N8">
        <f t="shared" si="6"/>
        <v>0.96703296703296704</v>
      </c>
      <c r="O8">
        <f t="shared" si="7"/>
        <v>2.8270143415906133</v>
      </c>
      <c r="P8">
        <f>N8*K8/L8</f>
        <v>0.38681318681318683</v>
      </c>
    </row>
    <row r="9" spans="1:16" x14ac:dyDescent="0.25">
      <c r="A9" t="s">
        <v>7</v>
      </c>
      <c r="B9">
        <v>62</v>
      </c>
      <c r="C9">
        <v>2007</v>
      </c>
      <c r="D9">
        <v>6.23</v>
      </c>
      <c r="E9">
        <v>-2.5</v>
      </c>
      <c r="F9">
        <v>-4.87</v>
      </c>
      <c r="G9">
        <v>-0.13</v>
      </c>
      <c r="H9">
        <f t="shared" si="0"/>
        <v>2.5</v>
      </c>
      <c r="I9">
        <f t="shared" si="1"/>
        <v>0.13</v>
      </c>
      <c r="J9">
        <f t="shared" si="2"/>
        <v>4.87</v>
      </c>
      <c r="K9">
        <f t="shared" si="3"/>
        <v>1.2091836734693879</v>
      </c>
      <c r="L9">
        <f t="shared" si="4"/>
        <v>4.7605608830122437</v>
      </c>
      <c r="M9">
        <f t="shared" si="5"/>
        <v>0.52514820447336152</v>
      </c>
      <c r="N9">
        <f t="shared" si="6"/>
        <v>0.9874476987447699</v>
      </c>
      <c r="O9">
        <f t="shared" si="7"/>
        <v>0.51855638600716869</v>
      </c>
      <c r="P9">
        <f>N9*K9/L9</f>
        <v>0.25081196629326324</v>
      </c>
    </row>
    <row r="10" spans="1:16" x14ac:dyDescent="0.25">
      <c r="A10" t="s">
        <v>10</v>
      </c>
      <c r="B10">
        <v>100</v>
      </c>
      <c r="C10">
        <v>2008</v>
      </c>
      <c r="D10">
        <v>6.94</v>
      </c>
      <c r="E10">
        <v>0</v>
      </c>
      <c r="F10">
        <v>-2.14</v>
      </c>
      <c r="G10">
        <v>2.14</v>
      </c>
      <c r="H10">
        <f t="shared" si="0"/>
        <v>0</v>
      </c>
      <c r="I10">
        <f t="shared" si="1"/>
        <v>-2.14</v>
      </c>
      <c r="J10">
        <f t="shared" si="2"/>
        <v>2.14</v>
      </c>
      <c r="K10">
        <f t="shared" si="3"/>
        <v>1.0918367346938775</v>
      </c>
      <c r="L10">
        <f t="shared" si="4"/>
        <v>5.4591836734693882</v>
      </c>
      <c r="M10">
        <f t="shared" si="5"/>
        <v>0</v>
      </c>
      <c r="N10">
        <f t="shared" si="6"/>
        <v>0.99232736572890023</v>
      </c>
      <c r="O10">
        <f t="shared" si="7"/>
        <v>0</v>
      </c>
      <c r="P10">
        <f>N10*K10/L10</f>
        <v>0.19846547314578006</v>
      </c>
    </row>
    <row r="11" spans="1:16" x14ac:dyDescent="0.25">
      <c r="A11" t="s">
        <v>11</v>
      </c>
      <c r="B11">
        <v>100</v>
      </c>
      <c r="C11">
        <v>2008</v>
      </c>
      <c r="D11">
        <v>7.22</v>
      </c>
      <c r="E11">
        <v>-0.3</v>
      </c>
      <c r="F11">
        <v>-2.36</v>
      </c>
      <c r="G11">
        <v>1.76</v>
      </c>
      <c r="H11">
        <f t="shared" si="0"/>
        <v>0.3</v>
      </c>
      <c r="I11">
        <f t="shared" si="1"/>
        <v>-1.76</v>
      </c>
      <c r="J11">
        <f t="shared" si="2"/>
        <v>2.36</v>
      </c>
      <c r="K11">
        <f t="shared" si="3"/>
        <v>1.0510204081632653</v>
      </c>
      <c r="L11">
        <f t="shared" si="4"/>
        <v>5.2551020408163263</v>
      </c>
      <c r="M11">
        <f t="shared" si="5"/>
        <v>5.7087378640776697E-2</v>
      </c>
      <c r="N11">
        <f t="shared" si="6"/>
        <v>0.99232736572890023</v>
      </c>
      <c r="O11">
        <f t="shared" si="7"/>
        <v>5.6649368062970225E-2</v>
      </c>
      <c r="P11">
        <f>N11*K11/L11</f>
        <v>0.19846547314578006</v>
      </c>
    </row>
    <row r="12" spans="1:16" x14ac:dyDescent="0.25">
      <c r="A12" t="s">
        <v>4</v>
      </c>
      <c r="B12">
        <v>99</v>
      </c>
      <c r="C12">
        <v>2009</v>
      </c>
      <c r="D12">
        <v>6.25</v>
      </c>
      <c r="E12">
        <v>-1.4</v>
      </c>
      <c r="F12">
        <v>-3.76</v>
      </c>
      <c r="G12">
        <v>0.96</v>
      </c>
      <c r="H12">
        <f t="shared" si="0"/>
        <v>1.4</v>
      </c>
      <c r="I12">
        <f t="shared" si="1"/>
        <v>-0.96</v>
      </c>
      <c r="J12">
        <f t="shared" si="2"/>
        <v>3.76</v>
      </c>
      <c r="K12">
        <f t="shared" si="3"/>
        <v>1.2040816326530612</v>
      </c>
      <c r="L12">
        <f t="shared" si="4"/>
        <v>5.9902304887031201</v>
      </c>
      <c r="M12">
        <f t="shared" si="5"/>
        <v>0.23371387839587099</v>
      </c>
      <c r="N12">
        <f t="shared" si="6"/>
        <v>0.99224806201550386</v>
      </c>
      <c r="O12">
        <f t="shared" si="7"/>
        <v>0.23190214290443012</v>
      </c>
      <c r="P12">
        <f>N12*K12/L12</f>
        <v>0.19944936488864981</v>
      </c>
    </row>
    <row r="13" spans="1:16" x14ac:dyDescent="0.25">
      <c r="A13" t="s">
        <v>8</v>
      </c>
      <c r="B13">
        <v>74</v>
      </c>
      <c r="C13">
        <v>2013</v>
      </c>
      <c r="D13">
        <v>12.36</v>
      </c>
      <c r="E13">
        <v>-3</v>
      </c>
      <c r="F13">
        <v>-3.85</v>
      </c>
      <c r="G13">
        <v>-2.15</v>
      </c>
      <c r="H13">
        <f t="shared" si="0"/>
        <v>3</v>
      </c>
      <c r="I13">
        <f t="shared" si="1"/>
        <v>2.15</v>
      </c>
      <c r="J13">
        <f t="shared" si="2"/>
        <v>3.85</v>
      </c>
      <c r="K13">
        <f t="shared" si="3"/>
        <v>0.43367346938775514</v>
      </c>
      <c r="L13">
        <f t="shared" si="4"/>
        <v>1.8653001216801615</v>
      </c>
      <c r="M13">
        <f t="shared" si="5"/>
        <v>1.6083202725027232</v>
      </c>
      <c r="N13">
        <f t="shared" si="6"/>
        <v>0.98954703832752611</v>
      </c>
      <c r="O13">
        <f t="shared" si="7"/>
        <v>1.5915085623371896</v>
      </c>
      <c r="P13">
        <f>N13*K13/L13</f>
        <v>0.23006501326302911</v>
      </c>
    </row>
    <row r="14" spans="1:16" x14ac:dyDescent="0.25">
      <c r="A14" t="s">
        <v>9</v>
      </c>
      <c r="B14">
        <v>291</v>
      </c>
      <c r="C14">
        <v>2013</v>
      </c>
      <c r="D14">
        <v>12.02</v>
      </c>
      <c r="E14">
        <v>-2.84</v>
      </c>
      <c r="F14">
        <v>-3.77</v>
      </c>
      <c r="G14">
        <v>-1.91</v>
      </c>
      <c r="H14">
        <f t="shared" si="0"/>
        <v>2.84</v>
      </c>
      <c r="I14">
        <f t="shared" si="1"/>
        <v>1.91</v>
      </c>
      <c r="J14">
        <f t="shared" si="2"/>
        <v>3.77</v>
      </c>
      <c r="K14">
        <f t="shared" si="3"/>
        <v>0.47448979591836737</v>
      </c>
      <c r="L14">
        <f t="shared" si="4"/>
        <v>4.0470947861188113</v>
      </c>
      <c r="M14">
        <f t="shared" si="5"/>
        <v>0.70173795032944541</v>
      </c>
      <c r="N14">
        <f t="shared" si="6"/>
        <v>0.9974025974025974</v>
      </c>
      <c r="O14">
        <f t="shared" si="7"/>
        <v>0.6999152543545637</v>
      </c>
      <c r="P14">
        <f>N14*K14/L14</f>
        <v>0.116937551478468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2025-12-29T13:39:08Z</dcterms:modified>
</cp:coreProperties>
</file>