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greyling2020\"/>
    </mc:Choice>
  </mc:AlternateContent>
  <xr:revisionPtr revIDLastSave="0" documentId="13_ncr:1_{F0539650-3F6B-42CA-8297-123E459C1B3F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2" i="1"/>
  <c r="K55" i="1"/>
  <c r="K56" i="1"/>
  <c r="K54" i="1"/>
  <c r="K49" i="1"/>
  <c r="K50" i="1"/>
  <c r="M50" i="1" s="1"/>
  <c r="K51" i="1"/>
  <c r="K48" i="1"/>
  <c r="K43" i="1"/>
  <c r="M43" i="1" s="1"/>
  <c r="K44" i="1"/>
  <c r="K45" i="1"/>
  <c r="K46" i="1"/>
  <c r="K47" i="1"/>
  <c r="K42" i="1"/>
  <c r="K40" i="1"/>
  <c r="M40" i="1" s="1"/>
  <c r="K41" i="1"/>
  <c r="K39" i="1"/>
  <c r="K29" i="1"/>
  <c r="K28" i="1"/>
  <c r="M28" i="1" s="1"/>
  <c r="K26" i="1"/>
  <c r="M26" i="1" s="1"/>
  <c r="K27" i="1"/>
  <c r="K25" i="1"/>
  <c r="M25" i="1" s="1"/>
  <c r="K22" i="1"/>
  <c r="K23" i="1"/>
  <c r="K24" i="1"/>
  <c r="K21" i="1"/>
  <c r="K17" i="1"/>
  <c r="K18" i="1"/>
  <c r="K16" i="1"/>
  <c r="M16" i="1" s="1"/>
  <c r="K13" i="1"/>
  <c r="M13" i="1" s="1"/>
  <c r="K14" i="1"/>
  <c r="K15" i="1"/>
  <c r="K12" i="1"/>
  <c r="M2" i="1"/>
  <c r="I3" i="1"/>
  <c r="J3" i="1" s="1"/>
  <c r="K3" i="1"/>
  <c r="I4" i="1"/>
  <c r="J4" i="1" s="1"/>
  <c r="K4" i="1"/>
  <c r="I5" i="1"/>
  <c r="J5" i="1"/>
  <c r="K5" i="1"/>
  <c r="I6" i="1"/>
  <c r="J6" i="1" s="1"/>
  <c r="K6" i="1"/>
  <c r="I7" i="1"/>
  <c r="J7" i="1" s="1"/>
  <c r="K7" i="1"/>
  <c r="M7" i="1"/>
  <c r="I8" i="1"/>
  <c r="J8" i="1" s="1"/>
  <c r="K8" i="1"/>
  <c r="M8" i="1"/>
  <c r="I9" i="1"/>
  <c r="J9" i="1" s="1"/>
  <c r="K9" i="1"/>
  <c r="I10" i="1"/>
  <c r="J10" i="1" s="1"/>
  <c r="K10" i="1"/>
  <c r="I11" i="1"/>
  <c r="J11" i="1"/>
  <c r="K11" i="1"/>
  <c r="M11" i="1"/>
  <c r="I12" i="1"/>
  <c r="J12" i="1"/>
  <c r="I13" i="1"/>
  <c r="J13" i="1"/>
  <c r="I14" i="1"/>
  <c r="J14" i="1"/>
  <c r="M14" i="1"/>
  <c r="I15" i="1"/>
  <c r="J15" i="1" s="1"/>
  <c r="M15" i="1"/>
  <c r="I16" i="1"/>
  <c r="J16" i="1" s="1"/>
  <c r="I17" i="1"/>
  <c r="J17" i="1"/>
  <c r="I18" i="1"/>
  <c r="J18" i="1" s="1"/>
  <c r="I19" i="1"/>
  <c r="J19" i="1" s="1"/>
  <c r="K19" i="1"/>
  <c r="M19" i="1"/>
  <c r="I20" i="1"/>
  <c r="J20" i="1" s="1"/>
  <c r="K20" i="1"/>
  <c r="I21" i="1"/>
  <c r="J21" i="1" s="1"/>
  <c r="I22" i="1"/>
  <c r="J22" i="1" s="1"/>
  <c r="I23" i="1"/>
  <c r="J23" i="1"/>
  <c r="I24" i="1"/>
  <c r="J24" i="1"/>
  <c r="I25" i="1"/>
  <c r="J25" i="1"/>
  <c r="I26" i="1"/>
  <c r="J26" i="1"/>
  <c r="I27" i="1"/>
  <c r="J27" i="1" s="1"/>
  <c r="I28" i="1"/>
  <c r="J28" i="1" s="1"/>
  <c r="I29" i="1"/>
  <c r="J29" i="1"/>
  <c r="I30" i="1"/>
  <c r="J30" i="1" s="1"/>
  <c r="K30" i="1"/>
  <c r="I31" i="1"/>
  <c r="J31" i="1" s="1"/>
  <c r="K31" i="1"/>
  <c r="M31" i="1" s="1"/>
  <c r="I32" i="1"/>
  <c r="J32" i="1" s="1"/>
  <c r="K32" i="1"/>
  <c r="I33" i="1"/>
  <c r="J33" i="1" s="1"/>
  <c r="K33" i="1"/>
  <c r="I34" i="1"/>
  <c r="J34" i="1" s="1"/>
  <c r="K34" i="1"/>
  <c r="I35" i="1"/>
  <c r="J35" i="1"/>
  <c r="K35" i="1"/>
  <c r="M35" i="1"/>
  <c r="I36" i="1"/>
  <c r="J36" i="1"/>
  <c r="K36" i="1"/>
  <c r="I37" i="1"/>
  <c r="J37" i="1"/>
  <c r="K37" i="1"/>
  <c r="M37" i="1" s="1"/>
  <c r="I38" i="1"/>
  <c r="J38" i="1"/>
  <c r="K38" i="1"/>
  <c r="M38" i="1"/>
  <c r="I39" i="1"/>
  <c r="J39" i="1" s="1"/>
  <c r="I40" i="1"/>
  <c r="J40" i="1" s="1"/>
  <c r="I41" i="1"/>
  <c r="J41" i="1"/>
  <c r="I42" i="1"/>
  <c r="J42" i="1" s="1"/>
  <c r="I43" i="1"/>
  <c r="J43" i="1" s="1"/>
  <c r="I44" i="1"/>
  <c r="J44" i="1" s="1"/>
  <c r="I45" i="1"/>
  <c r="J45" i="1"/>
  <c r="I46" i="1"/>
  <c r="J46" i="1" s="1"/>
  <c r="I47" i="1"/>
  <c r="J47" i="1"/>
  <c r="M47" i="1"/>
  <c r="I48" i="1"/>
  <c r="J48" i="1"/>
  <c r="I49" i="1"/>
  <c r="J49" i="1"/>
  <c r="I50" i="1"/>
  <c r="J50" i="1"/>
  <c r="I51" i="1"/>
  <c r="J51" i="1" s="1"/>
  <c r="I52" i="1"/>
  <c r="J52" i="1" s="1"/>
  <c r="K52" i="1"/>
  <c r="M52" i="1" s="1"/>
  <c r="I53" i="1"/>
  <c r="J53" i="1"/>
  <c r="K53" i="1"/>
  <c r="I54" i="1"/>
  <c r="J54" i="1" s="1"/>
  <c r="I55" i="1"/>
  <c r="I56" i="1"/>
  <c r="J56" i="1" s="1"/>
  <c r="I2" i="1"/>
  <c r="J2" i="1" s="1"/>
  <c r="K2" i="1"/>
  <c r="M55" i="1" l="1"/>
  <c r="M23" i="1"/>
  <c r="M45" i="1"/>
  <c r="M33" i="1"/>
  <c r="M21" i="1"/>
  <c r="M9" i="1"/>
  <c r="J55" i="1"/>
  <c r="M4" i="1"/>
  <c r="M54" i="1"/>
  <c r="M42" i="1"/>
  <c r="M30" i="1"/>
  <c r="M18" i="1"/>
  <c r="M6" i="1"/>
  <c r="M49" i="1"/>
  <c r="M56" i="1"/>
  <c r="M44" i="1"/>
  <c r="M32" i="1"/>
  <c r="M20" i="1"/>
  <c r="M51" i="1"/>
  <c r="M39" i="1"/>
  <c r="M27" i="1"/>
  <c r="M3" i="1"/>
  <c r="M46" i="1"/>
  <c r="M34" i="1"/>
  <c r="M22" i="1"/>
  <c r="M10" i="1"/>
  <c r="M53" i="1"/>
  <c r="M41" i="1"/>
  <c r="M29" i="1"/>
  <c r="M17" i="1"/>
  <c r="M5" i="1"/>
  <c r="M48" i="1"/>
  <c r="M36" i="1"/>
  <c r="M24" i="1"/>
  <c r="M1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2" i="1"/>
  <c r="D56" i="1"/>
  <c r="D55" i="1"/>
  <c r="D54" i="1"/>
  <c r="D47" i="1"/>
  <c r="D46" i="1"/>
  <c r="D45" i="1"/>
  <c r="D15" i="1"/>
  <c r="D14" i="1"/>
  <c r="D13" i="1"/>
  <c r="D12" i="1"/>
</calcChain>
</file>

<file path=xl/sharedStrings.xml><?xml version="1.0" encoding="utf-8"?>
<sst xmlns="http://schemas.openxmlformats.org/spreadsheetml/2006/main" count="125" uniqueCount="86">
  <si>
    <t>n</t>
  </si>
  <si>
    <t>Ahmad</t>
  </si>
  <si>
    <t>Azari</t>
  </si>
  <si>
    <t>Brown</t>
  </si>
  <si>
    <t>Burns</t>
  </si>
  <si>
    <t>Cooper</t>
  </si>
  <si>
    <t>Ford</t>
  </si>
  <si>
    <t>Gregersen</t>
  </si>
  <si>
    <t>Halschou-Jensen</t>
  </si>
  <si>
    <t>Helou</t>
  </si>
  <si>
    <t>Horwitz</t>
  </si>
  <si>
    <t>Krog-Mikkelsen</t>
  </si>
  <si>
    <t>Ma</t>
  </si>
  <si>
    <t>Nichol</t>
  </si>
  <si>
    <t>Overduin</t>
  </si>
  <si>
    <t>Parimalavalli</t>
  </si>
  <si>
    <t>Pepino</t>
  </si>
  <si>
    <t>Prat-Larquemin</t>
  </si>
  <si>
    <t>Slama</t>
  </si>
  <si>
    <t>Salomi</t>
  </si>
  <si>
    <t>Steinert</t>
  </si>
  <si>
    <t>Sylvetsky</t>
  </si>
  <si>
    <t>Temizkan</t>
  </si>
  <si>
    <t>Wolf-Novak</t>
  </si>
  <si>
    <t>WoInerhanssen</t>
  </si>
  <si>
    <t>Wu</t>
  </si>
  <si>
    <t xml:space="preserve">Stevia </t>
  </si>
  <si>
    <t xml:space="preserve">Saccharin </t>
  </si>
  <si>
    <t xml:space="preserve">Healthy: Sucralose +  Acesulfame K </t>
  </si>
  <si>
    <t xml:space="preserve">TlD; Sucralose +  Acesulfame K </t>
  </si>
  <si>
    <t xml:space="preserve">T2D: Sucralose +  Acesulfame K </t>
  </si>
  <si>
    <t xml:space="preserve">Sucrose pre-load: Aspartame </t>
  </si>
  <si>
    <t>Fasted; Aspartame</t>
  </si>
  <si>
    <t xml:space="preserve">Sucralose </t>
  </si>
  <si>
    <t xml:space="preserve">Stevioside </t>
  </si>
  <si>
    <t xml:space="preserve">5900  mg L-Arabinose </t>
  </si>
  <si>
    <t xml:space="preserve">2900 mg L-Arabinose </t>
  </si>
  <si>
    <t xml:space="preserve">4900 mg L-Arabinose </t>
  </si>
  <si>
    <t xml:space="preserve">2500 mg L-Arabinose </t>
  </si>
  <si>
    <t xml:space="preserve">10,200 mg L-Arabinose; Liquid meal </t>
  </si>
  <si>
    <t xml:space="preserve">10,200 mg L-Arabinose; Semi-solid meal </t>
  </si>
  <si>
    <t xml:space="preserve">10,200 mg L-Arabinose; Solid meal </t>
  </si>
  <si>
    <t xml:space="preserve">Lean; Acesulfame  K </t>
  </si>
  <si>
    <t xml:space="preserve">Obese; Acesulfame K </t>
  </si>
  <si>
    <t xml:space="preserve">Healthy; Aspartame </t>
  </si>
  <si>
    <t xml:space="preserve">Healthy; Saccharin </t>
  </si>
  <si>
    <t xml:space="preserve">T2D; Aspartame </t>
  </si>
  <si>
    <t xml:space="preserve">T2D; Saccharin </t>
  </si>
  <si>
    <t xml:space="preserve">1000 mg L-Arabinose </t>
  </si>
  <si>
    <t xml:space="preserve">2000 mg L-Arabinose </t>
  </si>
  <si>
    <t xml:space="preserve">3000 mg L-Arabinose </t>
  </si>
  <si>
    <t xml:space="preserve">800 mg Sucralose </t>
  </si>
  <si>
    <t xml:space="preserve">80 mg Sucralose </t>
  </si>
  <si>
    <t xml:space="preserve">Lean; Sucralose </t>
  </si>
  <si>
    <t xml:space="preserve">Obese; Sucralose </t>
  </si>
  <si>
    <t xml:space="preserve">lean: Erythritol </t>
  </si>
  <si>
    <t xml:space="preserve">Obese: Erythritol </t>
  </si>
  <si>
    <t xml:space="preserve">Aspartame </t>
  </si>
  <si>
    <t xml:space="preserve">Aspartame+ Acesulfame K </t>
  </si>
  <si>
    <t xml:space="preserve">Acesulfarne K </t>
  </si>
  <si>
    <t xml:space="preserve">68mg Sucralose </t>
  </si>
  <si>
    <t xml:space="preserve">170mg Sucralose </t>
  </si>
  <si>
    <t xml:space="preserve">250mg Sucralose </t>
  </si>
  <si>
    <t xml:space="preserve">Sucralose  + Acesulfame K: Water </t>
  </si>
  <si>
    <t xml:space="preserve">Sucralose  + Acesulfame K; Cola </t>
  </si>
  <si>
    <t xml:space="preserve">Sucralose  + Acesulfame K +  Aspartame </t>
  </si>
  <si>
    <t xml:space="preserve">Healthy: Sucralose </t>
  </si>
  <si>
    <t xml:space="preserve">T2D: Aspartame </t>
  </si>
  <si>
    <t xml:space="preserve">T20; Sucralose </t>
  </si>
  <si>
    <t xml:space="preserve">Erythritol </t>
  </si>
  <si>
    <t xml:space="preserve">Acesulfame K </t>
  </si>
  <si>
    <t xml:space="preserve">Acesulfame K +  Sucralose </t>
  </si>
  <si>
    <t>arm</t>
  </si>
  <si>
    <t>Author</t>
  </si>
  <si>
    <t>Year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</si>
  <si>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</si>
  <si>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</si>
  <si>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</si>
  <si>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</si>
  <si>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</si>
  <si>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</si>
  <si>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</si>
  <si>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</si>
  <si>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</si>
  <si>
    <t>notes</t>
  </si>
  <si>
    <t>J used total df for CO, while pooled_sd used split arm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</si>
</sst>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L2" sqref="L2:L56"/>
    </sheetView>
  </sheetViews>
  <sheetFormatPr defaultRowHeight="15" x14ac:dyDescent="0.25"/>
  <cols>
    <col min="1" max="1" width="16" bestFit="1" customWidth="1"/>
    <col min="2" max="2" width="5" bestFit="1" customWidth="1"/>
    <col min="3" max="3" width="37.28515625" bestFit="1" customWidth="1"/>
    <col min="4" max="4" width="12" bestFit="1" customWidth="1"/>
    <col min="5" max="5" width="5.7109375" bestFit="1" customWidth="1"/>
    <col min="6" max="6" width="6.7109375" bestFit="1" customWidth="1"/>
    <col min="7" max="7" width="6" bestFit="1" customWidth="1"/>
  </cols>
  <sheetData>
    <row r="1" spans="1:14" x14ac:dyDescent="0.25">
      <c r="A1" t="s">
        <v>73</v>
      </c>
      <c r="B1" t="s">
        <v>74</v>
      </c>
      <c r="C1" t="s">
        <v>72</v>
      </c>
      <c r="D1" t="s">
        <v>0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</row>
    <row r="2" spans="1:14" x14ac:dyDescent="0.25">
      <c r="A2" t="s">
        <v>1</v>
      </c>
      <c r="B2">
        <v>2018</v>
      </c>
      <c r="C2" t="s">
        <v>26</v>
      </c>
      <c r="D2">
        <v>20</v>
      </c>
      <c r="E2">
        <v>-0.03</v>
      </c>
      <c r="F2">
        <v>-0.15</v>
      </c>
      <c r="G2">
        <v>0.08</v>
      </c>
      <c r="H2">
        <f>(G2-F2)/2/1.96</f>
        <v>5.8673469387755098E-2</v>
      </c>
      <c r="I2">
        <f>H2*SQRT(D2)</f>
        <v>0.26239573205354677</v>
      </c>
      <c r="J2">
        <f>E2/I2</f>
        <v>-0.11433112789303271</v>
      </c>
      <c r="K2">
        <f>1-3/(4*(D2-1)-1)</f>
        <v>0.96</v>
      </c>
      <c r="L2">
        <f>-K2*J2</f>
        <v>0.1097578827773114</v>
      </c>
      <c r="M2">
        <f>K2*H2/I2</f>
        <v>0.21466252583997977</v>
      </c>
      <c r="N2" t="s">
        <v>85</v>
      </c>
    </row>
    <row r="3" spans="1:14" x14ac:dyDescent="0.25">
      <c r="A3" t="s">
        <v>2</v>
      </c>
      <c r="B3">
        <v>2017</v>
      </c>
      <c r="C3" t="s">
        <v>27</v>
      </c>
      <c r="D3">
        <v>10</v>
      </c>
      <c r="E3">
        <v>0.01</v>
      </c>
      <c r="F3">
        <v>-0.44</v>
      </c>
      <c r="G3">
        <v>0.45</v>
      </c>
      <c r="H3">
        <f t="shared" ref="H3:H56" si="0">(G3-F3)/2/1.96</f>
        <v>0.22704081632653061</v>
      </c>
      <c r="I3">
        <f t="shared" ref="I3:I56" si="1">H3*SQRT(D3)</f>
        <v>0.7179661014157801</v>
      </c>
      <c r="J3">
        <f t="shared" ref="J3:J56" si="2">E3/I3</f>
        <v>1.3928234188606793E-2</v>
      </c>
      <c r="K3">
        <f t="shared" ref="K3:K53" si="3">1-3/(4*(D3-1)-1)</f>
        <v>0.91428571428571426</v>
      </c>
      <c r="L3">
        <f t="shared" ref="L3:L56" si="4">-K3*J3</f>
        <v>-1.2734385543869067E-2</v>
      </c>
      <c r="M3">
        <f t="shared" ref="M3:M56" si="5">K3*H3/I3</f>
        <v>0.28912252892968032</v>
      </c>
    </row>
    <row r="4" spans="1:14" x14ac:dyDescent="0.25">
      <c r="A4" t="s">
        <v>3</v>
      </c>
      <c r="B4">
        <v>2012</v>
      </c>
      <c r="C4" t="s">
        <v>28</v>
      </c>
      <c r="D4">
        <v>25</v>
      </c>
      <c r="E4">
        <v>-0.03</v>
      </c>
      <c r="F4">
        <v>-0.32</v>
      </c>
      <c r="G4">
        <v>0.25</v>
      </c>
      <c r="H4">
        <f t="shared" si="0"/>
        <v>0.14540816326530615</v>
      </c>
      <c r="I4">
        <f t="shared" si="1"/>
        <v>0.72704081632653073</v>
      </c>
      <c r="J4">
        <f t="shared" si="2"/>
        <v>-4.1263157894736835E-2</v>
      </c>
      <c r="K4">
        <f t="shared" si="3"/>
        <v>0.96842105263157896</v>
      </c>
      <c r="L4">
        <f t="shared" si="4"/>
        <v>3.9960110803324095E-2</v>
      </c>
      <c r="M4">
        <f t="shared" si="5"/>
        <v>0.19368421052631579</v>
      </c>
    </row>
    <row r="5" spans="1:14" x14ac:dyDescent="0.25">
      <c r="A5" t="s">
        <v>3</v>
      </c>
      <c r="B5">
        <v>2012</v>
      </c>
      <c r="C5" t="s">
        <v>29</v>
      </c>
      <c r="D5">
        <v>9</v>
      </c>
      <c r="E5">
        <v>0.56000000000000005</v>
      </c>
      <c r="F5">
        <v>-0.84</v>
      </c>
      <c r="G5">
        <v>1.96</v>
      </c>
      <c r="H5">
        <f t="shared" si="0"/>
        <v>0.7142857142857143</v>
      </c>
      <c r="I5">
        <f t="shared" si="1"/>
        <v>2.1428571428571428</v>
      </c>
      <c r="J5">
        <f t="shared" si="2"/>
        <v>0.26133333333333336</v>
      </c>
      <c r="K5">
        <f t="shared" si="3"/>
        <v>0.90322580645161288</v>
      </c>
      <c r="L5">
        <f t="shared" si="4"/>
        <v>-0.23604301075268819</v>
      </c>
      <c r="M5">
        <f t="shared" si="5"/>
        <v>0.30107526881720431</v>
      </c>
    </row>
    <row r="6" spans="1:14" x14ac:dyDescent="0.25">
      <c r="A6" t="s">
        <v>3</v>
      </c>
      <c r="B6">
        <v>2012</v>
      </c>
      <c r="C6" t="s">
        <v>30</v>
      </c>
      <c r="D6">
        <v>10</v>
      </c>
      <c r="E6">
        <v>0.72</v>
      </c>
      <c r="F6">
        <v>-0.34</v>
      </c>
      <c r="G6">
        <v>1.78</v>
      </c>
      <c r="H6">
        <f t="shared" si="0"/>
        <v>0.54081632653061229</v>
      </c>
      <c r="I6">
        <f t="shared" si="1"/>
        <v>1.710211387642083</v>
      </c>
      <c r="J6">
        <f t="shared" si="2"/>
        <v>0.4210005881160015</v>
      </c>
      <c r="K6">
        <f t="shared" si="3"/>
        <v>0.91428571428571426</v>
      </c>
      <c r="L6">
        <f t="shared" si="4"/>
        <v>-0.38491482342034422</v>
      </c>
      <c r="M6">
        <f t="shared" si="5"/>
        <v>0.28912252892968032</v>
      </c>
    </row>
    <row r="7" spans="1:14" x14ac:dyDescent="0.25">
      <c r="A7" t="s">
        <v>4</v>
      </c>
      <c r="B7">
        <v>1991</v>
      </c>
      <c r="C7" t="s">
        <v>31</v>
      </c>
      <c r="D7">
        <v>8</v>
      </c>
      <c r="E7">
        <v>0.28000000000000003</v>
      </c>
      <c r="F7">
        <v>-0.99</v>
      </c>
      <c r="G7">
        <v>1.55</v>
      </c>
      <c r="H7">
        <f t="shared" si="0"/>
        <v>0.64795918367346939</v>
      </c>
      <c r="I7">
        <f t="shared" si="1"/>
        <v>1.8327053308304395</v>
      </c>
      <c r="J7">
        <f t="shared" si="2"/>
        <v>0.15277960689573911</v>
      </c>
      <c r="K7">
        <f t="shared" si="3"/>
        <v>0.88888888888888884</v>
      </c>
      <c r="L7">
        <f t="shared" si="4"/>
        <v>-0.13580409501843477</v>
      </c>
      <c r="M7">
        <f t="shared" si="5"/>
        <v>0.31426968052735443</v>
      </c>
    </row>
    <row r="8" spans="1:14" x14ac:dyDescent="0.25">
      <c r="A8" t="s">
        <v>4</v>
      </c>
      <c r="B8">
        <v>1991</v>
      </c>
      <c r="C8" t="s">
        <v>32</v>
      </c>
      <c r="D8">
        <v>8</v>
      </c>
      <c r="E8">
        <v>-0.21</v>
      </c>
      <c r="F8">
        <v>-1.47</v>
      </c>
      <c r="G8">
        <v>1.06</v>
      </c>
      <c r="H8">
        <f t="shared" si="0"/>
        <v>0.64540816326530615</v>
      </c>
      <c r="I8">
        <f t="shared" si="1"/>
        <v>1.8254899555122097</v>
      </c>
      <c r="J8">
        <f t="shared" si="2"/>
        <v>-0.11503760914481538</v>
      </c>
      <c r="K8">
        <f t="shared" si="3"/>
        <v>0.88888888888888884</v>
      </c>
      <c r="L8">
        <f t="shared" si="4"/>
        <v>0.10225565257316922</v>
      </c>
      <c r="M8">
        <f t="shared" si="5"/>
        <v>0.31426968052735443</v>
      </c>
    </row>
    <row r="9" spans="1:14" x14ac:dyDescent="0.25">
      <c r="A9" t="s">
        <v>5</v>
      </c>
      <c r="B9">
        <v>1988</v>
      </c>
      <c r="C9" t="s">
        <v>27</v>
      </c>
      <c r="D9">
        <v>17</v>
      </c>
      <c r="E9">
        <v>-0.43</v>
      </c>
      <c r="F9">
        <v>-1.1299999999999999</v>
      </c>
      <c r="G9">
        <v>0.26</v>
      </c>
      <c r="H9">
        <f t="shared" si="0"/>
        <v>0.35459183673469385</v>
      </c>
      <c r="I9">
        <f t="shared" si="1"/>
        <v>1.4620195968389154</v>
      </c>
      <c r="J9">
        <f t="shared" si="2"/>
        <v>-0.29411370472031861</v>
      </c>
      <c r="K9">
        <f t="shared" si="3"/>
        <v>0.95238095238095233</v>
      </c>
      <c r="L9">
        <f t="shared" si="4"/>
        <v>0.28010829020982725</v>
      </c>
      <c r="M9">
        <f t="shared" si="5"/>
        <v>0.23098630955841232</v>
      </c>
    </row>
    <row r="10" spans="1:14" x14ac:dyDescent="0.25">
      <c r="A10" t="s">
        <v>6</v>
      </c>
      <c r="B10">
        <v>2011</v>
      </c>
      <c r="C10" t="s">
        <v>33</v>
      </c>
      <c r="D10">
        <v>8</v>
      </c>
      <c r="E10">
        <v>-7.0000000000000007E-2</v>
      </c>
      <c r="F10">
        <v>-0.39</v>
      </c>
      <c r="G10">
        <v>0.25</v>
      </c>
      <c r="H10">
        <f t="shared" si="0"/>
        <v>0.16326530612244899</v>
      </c>
      <c r="I10">
        <f t="shared" si="1"/>
        <v>0.461784020366725</v>
      </c>
      <c r="J10">
        <f t="shared" si="2"/>
        <v>-0.1515860162168661</v>
      </c>
      <c r="K10">
        <f t="shared" si="3"/>
        <v>0.88888888888888884</v>
      </c>
      <c r="L10">
        <f t="shared" si="4"/>
        <v>0.13474312552610318</v>
      </c>
      <c r="M10">
        <f t="shared" si="5"/>
        <v>0.31426968052735438</v>
      </c>
    </row>
    <row r="11" spans="1:14" x14ac:dyDescent="0.25">
      <c r="A11" t="s">
        <v>7</v>
      </c>
      <c r="B11">
        <v>2004</v>
      </c>
      <c r="C11" t="s">
        <v>34</v>
      </c>
      <c r="D11">
        <v>12</v>
      </c>
      <c r="E11">
        <v>-0.8</v>
      </c>
      <c r="F11">
        <v>-1.27</v>
      </c>
      <c r="G11">
        <v>-0.32</v>
      </c>
      <c r="H11">
        <f t="shared" si="0"/>
        <v>0.2423469387755102</v>
      </c>
      <c r="I11">
        <f t="shared" si="1"/>
        <v>0.83951442203593529</v>
      </c>
      <c r="J11">
        <f t="shared" si="2"/>
        <v>-0.95293181272561411</v>
      </c>
      <c r="K11">
        <f t="shared" si="3"/>
        <v>0.93023255813953487</v>
      </c>
      <c r="L11">
        <f t="shared" si="4"/>
        <v>0.88644819788429219</v>
      </c>
      <c r="M11">
        <f t="shared" si="5"/>
        <v>0.26853500892540733</v>
      </c>
    </row>
    <row r="12" spans="1:14" x14ac:dyDescent="0.25">
      <c r="A12" t="s">
        <v>8</v>
      </c>
      <c r="B12">
        <v>2015</v>
      </c>
      <c r="C12" t="s">
        <v>35</v>
      </c>
      <c r="D12">
        <f>17/4</f>
        <v>4.25</v>
      </c>
      <c r="E12">
        <v>-0.09</v>
      </c>
      <c r="F12">
        <v>-0.33</v>
      </c>
      <c r="G12">
        <v>0.15</v>
      </c>
      <c r="H12">
        <f t="shared" si="0"/>
        <v>0.12244897959183673</v>
      </c>
      <c r="I12">
        <f t="shared" si="1"/>
        <v>0.25243503830312208</v>
      </c>
      <c r="J12">
        <f t="shared" si="2"/>
        <v>-0.35652736880340946</v>
      </c>
      <c r="K12" s="1">
        <f>1-3/(4*(D12*4-1)-1)</f>
        <v>0.95238095238095233</v>
      </c>
      <c r="L12">
        <f t="shared" si="4"/>
        <v>0.33954987505086615</v>
      </c>
      <c r="M12">
        <f t="shared" si="5"/>
        <v>0.46197261911682469</v>
      </c>
    </row>
    <row r="13" spans="1:14" x14ac:dyDescent="0.25">
      <c r="A13" t="s">
        <v>8</v>
      </c>
      <c r="B13">
        <v>2015</v>
      </c>
      <c r="C13" t="s">
        <v>36</v>
      </c>
      <c r="D13">
        <f t="shared" ref="D13:D15" si="6">17/4</f>
        <v>4.25</v>
      </c>
      <c r="E13">
        <v>-0.08</v>
      </c>
      <c r="F13">
        <v>-0.33</v>
      </c>
      <c r="G13">
        <v>0.18</v>
      </c>
      <c r="H13">
        <f t="shared" si="0"/>
        <v>0.13010204081632654</v>
      </c>
      <c r="I13">
        <f t="shared" si="1"/>
        <v>0.26821222819706719</v>
      </c>
      <c r="J13">
        <f t="shared" si="2"/>
        <v>-0.2982712627897805</v>
      </c>
      <c r="K13" s="1">
        <f t="shared" ref="K13:K15" si="7">1-3/(4*(D13*4-1)-1)</f>
        <v>0.95238095238095233</v>
      </c>
      <c r="L13">
        <f t="shared" si="4"/>
        <v>0.28406786932360045</v>
      </c>
      <c r="M13">
        <f t="shared" si="5"/>
        <v>0.46197261911682475</v>
      </c>
    </row>
    <row r="14" spans="1:14" x14ac:dyDescent="0.25">
      <c r="A14" t="s">
        <v>8</v>
      </c>
      <c r="B14">
        <v>2015</v>
      </c>
      <c r="C14" t="s">
        <v>37</v>
      </c>
      <c r="D14">
        <f t="shared" si="6"/>
        <v>4.25</v>
      </c>
      <c r="E14">
        <v>0.45</v>
      </c>
      <c r="F14">
        <v>0.23</v>
      </c>
      <c r="G14">
        <v>0.68</v>
      </c>
      <c r="H14">
        <f t="shared" si="0"/>
        <v>0.11479591836734696</v>
      </c>
      <c r="I14">
        <f t="shared" si="1"/>
        <v>0.23665784840917697</v>
      </c>
      <c r="J14">
        <f t="shared" si="2"/>
        <v>1.9014793002848502</v>
      </c>
      <c r="K14" s="1">
        <f t="shared" si="7"/>
        <v>0.95238095238095233</v>
      </c>
      <c r="L14">
        <f t="shared" si="4"/>
        <v>-1.8109326669379524</v>
      </c>
      <c r="M14">
        <f t="shared" si="5"/>
        <v>0.46197261911682469</v>
      </c>
    </row>
    <row r="15" spans="1:14" x14ac:dyDescent="0.25">
      <c r="A15" t="s">
        <v>8</v>
      </c>
      <c r="B15">
        <v>2015</v>
      </c>
      <c r="C15" t="s">
        <v>38</v>
      </c>
      <c r="D15">
        <f t="shared" si="6"/>
        <v>4.25</v>
      </c>
      <c r="E15">
        <v>0.34</v>
      </c>
      <c r="F15">
        <v>0.11</v>
      </c>
      <c r="G15">
        <v>0.57999999999999996</v>
      </c>
      <c r="H15">
        <f t="shared" si="0"/>
        <v>0.11989795918367346</v>
      </c>
      <c r="I15">
        <f t="shared" si="1"/>
        <v>0.24717597500514035</v>
      </c>
      <c r="J15">
        <f t="shared" si="2"/>
        <v>1.3755382172273389</v>
      </c>
      <c r="K15" s="1">
        <f t="shared" si="7"/>
        <v>0.95238095238095233</v>
      </c>
      <c r="L15">
        <f t="shared" si="4"/>
        <v>-1.3100363973593703</v>
      </c>
      <c r="M15">
        <f t="shared" si="5"/>
        <v>0.46197261911682463</v>
      </c>
    </row>
    <row r="16" spans="1:14" x14ac:dyDescent="0.25">
      <c r="A16" t="s">
        <v>8</v>
      </c>
      <c r="B16">
        <v>2015</v>
      </c>
      <c r="C16" t="s">
        <v>39</v>
      </c>
      <c r="D16">
        <v>2</v>
      </c>
      <c r="E16">
        <v>0.53</v>
      </c>
      <c r="F16">
        <v>-0.12</v>
      </c>
      <c r="G16">
        <v>1.18</v>
      </c>
      <c r="H16">
        <f t="shared" si="0"/>
        <v>0.33163265306122447</v>
      </c>
      <c r="I16">
        <f t="shared" si="1"/>
        <v>0.46899939568495497</v>
      </c>
      <c r="J16">
        <f t="shared" si="2"/>
        <v>1.1300654219947472</v>
      </c>
      <c r="K16" s="1">
        <f>1-3/(4*(D16*3-1)-1)</f>
        <v>0.84210526315789469</v>
      </c>
      <c r="L16">
        <f t="shared" si="4"/>
        <v>-0.95163403957452397</v>
      </c>
      <c r="M16">
        <f t="shared" si="5"/>
        <v>0.59545834205182946</v>
      </c>
    </row>
    <row r="17" spans="1:13" x14ac:dyDescent="0.25">
      <c r="A17" t="s">
        <v>8</v>
      </c>
      <c r="B17">
        <v>2015</v>
      </c>
      <c r="C17" t="s">
        <v>40</v>
      </c>
      <c r="D17">
        <v>2</v>
      </c>
      <c r="E17">
        <v>-0.09</v>
      </c>
      <c r="F17">
        <v>-0.48</v>
      </c>
      <c r="G17">
        <v>0.31</v>
      </c>
      <c r="H17">
        <f t="shared" si="0"/>
        <v>0.20153061224489796</v>
      </c>
      <c r="I17">
        <f t="shared" si="1"/>
        <v>0.28500732507008808</v>
      </c>
      <c r="J17">
        <f t="shared" si="2"/>
        <v>-0.31578135747166319</v>
      </c>
      <c r="K17" s="1">
        <f t="shared" ref="K17:K18" si="8">1-3/(4*(D17*3-1)-1)</f>
        <v>0.84210526315789469</v>
      </c>
      <c r="L17">
        <f t="shared" si="4"/>
        <v>0.26592114313403215</v>
      </c>
      <c r="M17">
        <f t="shared" si="5"/>
        <v>0.59545834205182935</v>
      </c>
    </row>
    <row r="18" spans="1:13" x14ac:dyDescent="0.25">
      <c r="A18" t="s">
        <v>8</v>
      </c>
      <c r="B18">
        <v>2015</v>
      </c>
      <c r="C18" t="s">
        <v>41</v>
      </c>
      <c r="D18">
        <v>2</v>
      </c>
      <c r="E18">
        <v>-0.33</v>
      </c>
      <c r="F18">
        <v>-0.65</v>
      </c>
      <c r="G18">
        <v>-0.01</v>
      </c>
      <c r="H18">
        <f t="shared" si="0"/>
        <v>0.16326530612244899</v>
      </c>
      <c r="I18">
        <f t="shared" si="1"/>
        <v>0.2308920101833625</v>
      </c>
      <c r="J18">
        <f t="shared" si="2"/>
        <v>-1.429239581473309</v>
      </c>
      <c r="K18" s="1">
        <f t="shared" si="8"/>
        <v>0.84210526315789469</v>
      </c>
      <c r="L18">
        <f t="shared" si="4"/>
        <v>1.2035701738722602</v>
      </c>
      <c r="M18">
        <f t="shared" si="5"/>
        <v>0.59545834205182935</v>
      </c>
    </row>
    <row r="19" spans="1:13" x14ac:dyDescent="0.25">
      <c r="A19" t="s">
        <v>9</v>
      </c>
      <c r="B19">
        <v>2019</v>
      </c>
      <c r="C19" t="s">
        <v>42</v>
      </c>
      <c r="D19">
        <v>15</v>
      </c>
      <c r="E19">
        <v>-0.16</v>
      </c>
      <c r="F19">
        <v>-0.33</v>
      </c>
      <c r="G19">
        <v>0</v>
      </c>
      <c r="H19">
        <f t="shared" si="0"/>
        <v>8.4183673469387765E-2</v>
      </c>
      <c r="I19">
        <f t="shared" si="1"/>
        <v>0.32604196536950197</v>
      </c>
      <c r="J19">
        <f t="shared" si="2"/>
        <v>-0.49073437469521042</v>
      </c>
      <c r="K19">
        <f t="shared" si="3"/>
        <v>0.94545454545454544</v>
      </c>
      <c r="L19">
        <f t="shared" si="4"/>
        <v>0.46396704516638076</v>
      </c>
      <c r="M19">
        <f t="shared" si="5"/>
        <v>0.24411531394277053</v>
      </c>
    </row>
    <row r="20" spans="1:13" x14ac:dyDescent="0.25">
      <c r="A20" t="s">
        <v>9</v>
      </c>
      <c r="B20">
        <v>2019</v>
      </c>
      <c r="C20" t="s">
        <v>43</v>
      </c>
      <c r="D20">
        <v>15</v>
      </c>
      <c r="E20">
        <v>-0.08</v>
      </c>
      <c r="F20">
        <v>-0.39</v>
      </c>
      <c r="G20">
        <v>0.24</v>
      </c>
      <c r="H20">
        <f t="shared" si="0"/>
        <v>0.16071428571428573</v>
      </c>
      <c r="I20">
        <f t="shared" si="1"/>
        <v>0.62244375206904923</v>
      </c>
      <c r="J20">
        <f t="shared" si="2"/>
        <v>-0.1285256695630313</v>
      </c>
      <c r="K20">
        <f t="shared" si="3"/>
        <v>0.94545454545454544</v>
      </c>
      <c r="L20">
        <f t="shared" si="4"/>
        <v>0.12151517849595686</v>
      </c>
      <c r="M20">
        <f t="shared" si="5"/>
        <v>0.24411531394277047</v>
      </c>
    </row>
    <row r="21" spans="1:13" x14ac:dyDescent="0.25">
      <c r="A21" t="s">
        <v>10</v>
      </c>
      <c r="B21">
        <v>1988</v>
      </c>
      <c r="C21" t="s">
        <v>44</v>
      </c>
      <c r="D21">
        <v>6</v>
      </c>
      <c r="E21">
        <v>-0.05</v>
      </c>
      <c r="F21">
        <v>-0.17</v>
      </c>
      <c r="G21">
        <v>7.0000000000000007E-2</v>
      </c>
      <c r="H21">
        <f t="shared" si="0"/>
        <v>6.1224489795918373E-2</v>
      </c>
      <c r="I21">
        <f t="shared" si="1"/>
        <v>0.14996875976223539</v>
      </c>
      <c r="J21">
        <f t="shared" si="2"/>
        <v>-0.33340277054548817</v>
      </c>
      <c r="K21" s="1">
        <f>1-3/(4*(D21*2-1)-1)</f>
        <v>0.93023255813953487</v>
      </c>
      <c r="L21">
        <f t="shared" si="4"/>
        <v>0.31014211213533782</v>
      </c>
      <c r="M21">
        <f t="shared" si="5"/>
        <v>0.37976585159429121</v>
      </c>
    </row>
    <row r="22" spans="1:13" x14ac:dyDescent="0.25">
      <c r="A22" t="s">
        <v>10</v>
      </c>
      <c r="B22">
        <v>1988</v>
      </c>
      <c r="C22" t="s">
        <v>45</v>
      </c>
      <c r="D22">
        <v>6</v>
      </c>
      <c r="E22">
        <v>-0.06</v>
      </c>
      <c r="F22">
        <v>-0.16</v>
      </c>
      <c r="G22">
        <v>0.05</v>
      </c>
      <c r="H22">
        <f t="shared" si="0"/>
        <v>5.3571428571428575E-2</v>
      </c>
      <c r="I22">
        <f t="shared" si="1"/>
        <v>0.13122266479195596</v>
      </c>
      <c r="J22">
        <f t="shared" si="2"/>
        <v>-0.45723808531952659</v>
      </c>
      <c r="K22" s="1">
        <f t="shared" ref="K22:K24" si="9">1-3/(4*(D22*2-1)-1)</f>
        <v>0.93023255813953487</v>
      </c>
      <c r="L22">
        <f t="shared" si="4"/>
        <v>0.42533775378560612</v>
      </c>
      <c r="M22">
        <f t="shared" si="5"/>
        <v>0.37976585159429121</v>
      </c>
    </row>
    <row r="23" spans="1:13" x14ac:dyDescent="0.25">
      <c r="A23" t="s">
        <v>10</v>
      </c>
      <c r="B23">
        <v>1988</v>
      </c>
      <c r="C23" t="s">
        <v>46</v>
      </c>
      <c r="D23">
        <v>5</v>
      </c>
      <c r="E23">
        <v>0.21</v>
      </c>
      <c r="F23">
        <v>-0.97</v>
      </c>
      <c r="G23">
        <v>1.39</v>
      </c>
      <c r="H23">
        <f t="shared" si="0"/>
        <v>0.60204081632653061</v>
      </c>
      <c r="I23">
        <f t="shared" si="1"/>
        <v>1.3462041905355877</v>
      </c>
      <c r="J23">
        <f t="shared" si="2"/>
        <v>0.15599416602354463</v>
      </c>
      <c r="K23" s="1">
        <f t="shared" si="9"/>
        <v>0.91428571428571426</v>
      </c>
      <c r="L23">
        <f t="shared" si="4"/>
        <v>-0.14262323750724079</v>
      </c>
      <c r="M23">
        <f t="shared" si="5"/>
        <v>0.40888100159996149</v>
      </c>
    </row>
    <row r="24" spans="1:13" x14ac:dyDescent="0.25">
      <c r="A24" t="s">
        <v>10</v>
      </c>
      <c r="B24">
        <v>1988</v>
      </c>
      <c r="C24" t="s">
        <v>47</v>
      </c>
      <c r="D24">
        <v>5</v>
      </c>
      <c r="E24">
        <v>0.02</v>
      </c>
      <c r="F24">
        <v>-1.1299999999999999</v>
      </c>
      <c r="G24">
        <v>1.17</v>
      </c>
      <c r="H24">
        <f t="shared" si="0"/>
        <v>0.58673469387755095</v>
      </c>
      <c r="I24">
        <f t="shared" si="1"/>
        <v>1.3119786602677337</v>
      </c>
      <c r="J24">
        <f t="shared" si="2"/>
        <v>1.5244150385737698E-2</v>
      </c>
      <c r="K24" s="1">
        <f t="shared" si="9"/>
        <v>0.91428571428571426</v>
      </c>
      <c r="L24">
        <f t="shared" si="4"/>
        <v>-1.3937508924103038E-2</v>
      </c>
      <c r="M24">
        <f t="shared" si="5"/>
        <v>0.40888100159996149</v>
      </c>
    </row>
    <row r="25" spans="1:13" x14ac:dyDescent="0.25">
      <c r="A25" t="s">
        <v>11</v>
      </c>
      <c r="B25">
        <v>2011</v>
      </c>
      <c r="C25" t="s">
        <v>48</v>
      </c>
      <c r="D25">
        <v>5</v>
      </c>
      <c r="E25">
        <v>-0.28000000000000003</v>
      </c>
      <c r="F25">
        <v>-0.51</v>
      </c>
      <c r="G25">
        <v>-0.04</v>
      </c>
      <c r="H25">
        <f t="shared" si="0"/>
        <v>0.11989795918367348</v>
      </c>
      <c r="I25">
        <f t="shared" si="1"/>
        <v>0.26809998709818911</v>
      </c>
      <c r="J25">
        <f t="shared" si="2"/>
        <v>-1.0443864732356465</v>
      </c>
      <c r="K25">
        <f>1-3/(4*(D25*3-1)-1)</f>
        <v>0.94545454545454544</v>
      </c>
      <c r="L25">
        <f t="shared" si="4"/>
        <v>0.98741993833188391</v>
      </c>
      <c r="M25">
        <f t="shared" si="5"/>
        <v>0.42282012665450563</v>
      </c>
    </row>
    <row r="26" spans="1:13" x14ac:dyDescent="0.25">
      <c r="A26" t="s">
        <v>11</v>
      </c>
      <c r="B26">
        <v>2011</v>
      </c>
      <c r="C26" t="s">
        <v>49</v>
      </c>
      <c r="D26">
        <v>5</v>
      </c>
      <c r="E26">
        <v>-0.16</v>
      </c>
      <c r="F26">
        <v>-0.43</v>
      </c>
      <c r="G26">
        <v>0.11</v>
      </c>
      <c r="H26">
        <f t="shared" si="0"/>
        <v>0.13775510204081634</v>
      </c>
      <c r="I26">
        <f t="shared" si="1"/>
        <v>0.30802977241068535</v>
      </c>
      <c r="J26">
        <f t="shared" si="2"/>
        <v>-0.51943030943995105</v>
      </c>
      <c r="K26">
        <f t="shared" ref="K26:K27" si="10">1-3/(4*(D26*3-1)-1)</f>
        <v>0.94545454545454544</v>
      </c>
      <c r="L26">
        <f t="shared" si="4"/>
        <v>0.49109774710686283</v>
      </c>
      <c r="M26">
        <f t="shared" si="5"/>
        <v>0.42282012665450563</v>
      </c>
    </row>
    <row r="27" spans="1:13" x14ac:dyDescent="0.25">
      <c r="A27" t="s">
        <v>11</v>
      </c>
      <c r="B27">
        <v>2011</v>
      </c>
      <c r="C27" t="s">
        <v>50</v>
      </c>
      <c r="D27">
        <v>5</v>
      </c>
      <c r="E27">
        <v>-0.04</v>
      </c>
      <c r="F27">
        <v>-0.27</v>
      </c>
      <c r="G27">
        <v>0.19</v>
      </c>
      <c r="H27">
        <f t="shared" si="0"/>
        <v>0.11734693877551021</v>
      </c>
      <c r="I27">
        <f t="shared" si="1"/>
        <v>0.26239573205354677</v>
      </c>
      <c r="J27">
        <f t="shared" si="2"/>
        <v>-0.15244150385737695</v>
      </c>
      <c r="K27">
        <f t="shared" si="10"/>
        <v>0.94545454545454544</v>
      </c>
      <c r="L27">
        <f t="shared" si="4"/>
        <v>0.14412651273788366</v>
      </c>
      <c r="M27">
        <f t="shared" si="5"/>
        <v>0.42282012665450563</v>
      </c>
    </row>
    <row r="28" spans="1:13" x14ac:dyDescent="0.25">
      <c r="A28" t="s">
        <v>12</v>
      </c>
      <c r="B28">
        <v>2009</v>
      </c>
      <c r="C28" t="s">
        <v>51</v>
      </c>
      <c r="D28">
        <v>3.5</v>
      </c>
      <c r="E28">
        <v>0.28000000000000003</v>
      </c>
      <c r="F28">
        <v>-0.03</v>
      </c>
      <c r="G28">
        <v>0.59</v>
      </c>
      <c r="H28">
        <f t="shared" si="0"/>
        <v>0.15816326530612246</v>
      </c>
      <c r="I28">
        <f t="shared" si="1"/>
        <v>0.29589637497446986</v>
      </c>
      <c r="J28">
        <f t="shared" si="2"/>
        <v>0.94627722297766781</v>
      </c>
      <c r="K28" s="1">
        <f>1-3/(4*(D28*2-1)-1)</f>
        <v>0.86956521739130432</v>
      </c>
      <c r="L28">
        <f t="shared" si="4"/>
        <v>-0.82284975911101543</v>
      </c>
      <c r="M28">
        <f t="shared" si="5"/>
        <v>0.46480215984769457</v>
      </c>
    </row>
    <row r="29" spans="1:13" x14ac:dyDescent="0.25">
      <c r="A29" t="s">
        <v>12</v>
      </c>
      <c r="B29">
        <v>2009</v>
      </c>
      <c r="C29" t="s">
        <v>52</v>
      </c>
      <c r="D29">
        <v>3.5</v>
      </c>
      <c r="E29">
        <v>0</v>
      </c>
      <c r="F29">
        <v>-0.31</v>
      </c>
      <c r="G29">
        <v>0.31</v>
      </c>
      <c r="H29">
        <f t="shared" si="0"/>
        <v>0.15816326530612246</v>
      </c>
      <c r="I29">
        <f t="shared" si="1"/>
        <v>0.29589637497446986</v>
      </c>
      <c r="J29">
        <f t="shared" si="2"/>
        <v>0</v>
      </c>
      <c r="K29" s="1">
        <f>1-3/(4*(D29*2-1)-1)</f>
        <v>0.86956521739130432</v>
      </c>
      <c r="L29">
        <f t="shared" si="4"/>
        <v>0</v>
      </c>
      <c r="M29">
        <f t="shared" si="5"/>
        <v>0.46480215984769457</v>
      </c>
    </row>
    <row r="30" spans="1:13" x14ac:dyDescent="0.25">
      <c r="A30" t="s">
        <v>13</v>
      </c>
      <c r="B30">
        <v>2020</v>
      </c>
      <c r="C30" t="s">
        <v>53</v>
      </c>
      <c r="D30">
        <v>10</v>
      </c>
      <c r="E30">
        <v>0.16</v>
      </c>
      <c r="F30">
        <v>-0.21</v>
      </c>
      <c r="G30">
        <v>0.54</v>
      </c>
      <c r="H30">
        <f t="shared" si="0"/>
        <v>0.19132653061224489</v>
      </c>
      <c r="I30">
        <f t="shared" si="1"/>
        <v>0.60502761355262358</v>
      </c>
      <c r="J30">
        <f t="shared" si="2"/>
        <v>0.26445073979434769</v>
      </c>
      <c r="K30">
        <f t="shared" si="3"/>
        <v>0.91428571428571426</v>
      </c>
      <c r="L30">
        <f t="shared" si="4"/>
        <v>-0.24178353352626072</v>
      </c>
      <c r="M30">
        <f t="shared" si="5"/>
        <v>0.28912252892968038</v>
      </c>
    </row>
    <row r="31" spans="1:13" x14ac:dyDescent="0.25">
      <c r="A31" t="s">
        <v>13</v>
      </c>
      <c r="B31">
        <v>2020</v>
      </c>
      <c r="C31" t="s">
        <v>54</v>
      </c>
      <c r="D31">
        <v>11</v>
      </c>
      <c r="E31">
        <v>0.31</v>
      </c>
      <c r="F31">
        <v>-0.1</v>
      </c>
      <c r="G31">
        <v>0.71</v>
      </c>
      <c r="H31">
        <f t="shared" si="0"/>
        <v>0.20663265306122447</v>
      </c>
      <c r="I31">
        <f t="shared" si="1"/>
        <v>0.68532297963976363</v>
      </c>
      <c r="J31">
        <f t="shared" si="2"/>
        <v>0.45234146411222026</v>
      </c>
      <c r="K31">
        <f t="shared" si="3"/>
        <v>0.92307692307692313</v>
      </c>
      <c r="L31">
        <f t="shared" si="4"/>
        <v>-0.4175459668728187</v>
      </c>
      <c r="M31">
        <f t="shared" si="5"/>
        <v>0.278318164225628</v>
      </c>
    </row>
    <row r="32" spans="1:13" x14ac:dyDescent="0.25">
      <c r="A32" t="s">
        <v>14</v>
      </c>
      <c r="B32">
        <v>2016</v>
      </c>
      <c r="C32" t="s">
        <v>55</v>
      </c>
      <c r="D32">
        <v>10</v>
      </c>
      <c r="E32">
        <v>-0.18</v>
      </c>
      <c r="F32">
        <v>-0.37</v>
      </c>
      <c r="G32">
        <v>0</v>
      </c>
      <c r="H32">
        <f t="shared" si="0"/>
        <v>9.438775510204081E-2</v>
      </c>
      <c r="I32">
        <f t="shared" si="1"/>
        <v>0.29848028935262766</v>
      </c>
      <c r="J32">
        <f t="shared" si="2"/>
        <v>-0.60305489649048871</v>
      </c>
      <c r="K32">
        <f t="shared" si="3"/>
        <v>0.91428571428571426</v>
      </c>
      <c r="L32">
        <f t="shared" si="4"/>
        <v>0.55136447679130396</v>
      </c>
      <c r="M32">
        <f t="shared" si="5"/>
        <v>0.28912252892968032</v>
      </c>
    </row>
    <row r="33" spans="1:13" x14ac:dyDescent="0.25">
      <c r="A33" t="s">
        <v>14</v>
      </c>
      <c r="B33">
        <v>2016</v>
      </c>
      <c r="C33" t="s">
        <v>56</v>
      </c>
      <c r="D33">
        <v>10</v>
      </c>
      <c r="E33">
        <v>-0.54</v>
      </c>
      <c r="F33">
        <v>-1.08</v>
      </c>
      <c r="G33">
        <v>0.01</v>
      </c>
      <c r="H33">
        <f t="shared" si="0"/>
        <v>0.27806122448979592</v>
      </c>
      <c r="I33">
        <f t="shared" si="1"/>
        <v>0.8793067983631464</v>
      </c>
      <c r="J33">
        <f t="shared" si="2"/>
        <v>-0.61412012394902982</v>
      </c>
      <c r="K33">
        <f t="shared" si="3"/>
        <v>0.91428571428571426</v>
      </c>
      <c r="L33">
        <f t="shared" si="4"/>
        <v>0.56148125618197009</v>
      </c>
      <c r="M33">
        <f t="shared" si="5"/>
        <v>0.28912252892968032</v>
      </c>
    </row>
    <row r="34" spans="1:13" x14ac:dyDescent="0.25">
      <c r="A34" t="s">
        <v>15</v>
      </c>
      <c r="B34">
        <v>2011</v>
      </c>
      <c r="C34" t="s">
        <v>26</v>
      </c>
      <c r="D34">
        <v>6</v>
      </c>
      <c r="E34">
        <v>-0.31</v>
      </c>
      <c r="F34">
        <v>-11.39</v>
      </c>
      <c r="G34">
        <v>10.77</v>
      </c>
      <c r="H34">
        <f t="shared" si="0"/>
        <v>5.6530612244897958</v>
      </c>
      <c r="I34">
        <f t="shared" si="1"/>
        <v>13.847115484713067</v>
      </c>
      <c r="J34">
        <f t="shared" si="2"/>
        <v>-2.238733405106888E-2</v>
      </c>
      <c r="K34">
        <f t="shared" si="3"/>
        <v>0.84210526315789469</v>
      </c>
      <c r="L34">
        <f t="shared" si="4"/>
        <v>1.8852491832479057E-2</v>
      </c>
      <c r="M34">
        <f t="shared" si="5"/>
        <v>0.34378803407483205</v>
      </c>
    </row>
    <row r="35" spans="1:13" x14ac:dyDescent="0.25">
      <c r="A35" t="s">
        <v>16</v>
      </c>
      <c r="B35">
        <v>2013</v>
      </c>
      <c r="C35" t="s">
        <v>33</v>
      </c>
      <c r="D35">
        <v>17</v>
      </c>
      <c r="E35">
        <v>0.36</v>
      </c>
      <c r="F35">
        <v>0.05</v>
      </c>
      <c r="G35">
        <v>0.67</v>
      </c>
      <c r="H35">
        <f t="shared" si="0"/>
        <v>0.15816326530612246</v>
      </c>
      <c r="I35">
        <f t="shared" si="1"/>
        <v>0.65212384894973208</v>
      </c>
      <c r="J35">
        <f t="shared" si="2"/>
        <v>0.55204237750205332</v>
      </c>
      <c r="K35">
        <f t="shared" si="3"/>
        <v>0.95238095238095233</v>
      </c>
      <c r="L35">
        <f t="shared" si="4"/>
        <v>-0.52575464524005078</v>
      </c>
      <c r="M35">
        <f t="shared" si="5"/>
        <v>0.23098630955841234</v>
      </c>
    </row>
    <row r="36" spans="1:13" x14ac:dyDescent="0.25">
      <c r="A36" t="s">
        <v>17</v>
      </c>
      <c r="B36">
        <v>2000</v>
      </c>
      <c r="C36" t="s">
        <v>57</v>
      </c>
      <c r="D36">
        <v>24</v>
      </c>
      <c r="E36">
        <v>0.24</v>
      </c>
      <c r="F36">
        <v>0.02</v>
      </c>
      <c r="G36">
        <v>0.45</v>
      </c>
      <c r="H36">
        <f t="shared" si="0"/>
        <v>0.10969387755102041</v>
      </c>
      <c r="I36">
        <f t="shared" si="1"/>
        <v>0.53738805581467675</v>
      </c>
      <c r="J36">
        <f t="shared" si="2"/>
        <v>0.44660464147488649</v>
      </c>
      <c r="K36">
        <f t="shared" si="3"/>
        <v>0.96703296703296704</v>
      </c>
      <c r="L36">
        <f t="shared" si="4"/>
        <v>-0.43188141153615395</v>
      </c>
      <c r="M36">
        <f t="shared" si="5"/>
        <v>0.19739477780670303</v>
      </c>
    </row>
    <row r="37" spans="1:13" x14ac:dyDescent="0.25">
      <c r="A37" t="s">
        <v>18</v>
      </c>
      <c r="B37">
        <v>1984</v>
      </c>
      <c r="C37" t="s">
        <v>27</v>
      </c>
      <c r="D37">
        <v>12</v>
      </c>
      <c r="E37">
        <v>-0.19</v>
      </c>
      <c r="F37">
        <v>-0.55000000000000004</v>
      </c>
      <c r="G37">
        <v>0.18</v>
      </c>
      <c r="H37">
        <f t="shared" si="0"/>
        <v>0.18622448979591838</v>
      </c>
      <c r="I37">
        <f t="shared" si="1"/>
        <v>0.64510055588024517</v>
      </c>
      <c r="J37">
        <f t="shared" si="2"/>
        <v>-0.29452772636468028</v>
      </c>
      <c r="K37">
        <f t="shared" si="3"/>
        <v>0.93023255813953487</v>
      </c>
      <c r="L37">
        <f t="shared" si="4"/>
        <v>0.27397928033923746</v>
      </c>
      <c r="M37">
        <f t="shared" si="5"/>
        <v>0.26853500892540733</v>
      </c>
    </row>
    <row r="38" spans="1:13" x14ac:dyDescent="0.25">
      <c r="A38" t="s">
        <v>19</v>
      </c>
      <c r="B38">
        <v>2019</v>
      </c>
      <c r="C38" t="s">
        <v>58</v>
      </c>
      <c r="D38">
        <v>10</v>
      </c>
      <c r="E38">
        <v>-0.02</v>
      </c>
      <c r="F38">
        <v>-0.38</v>
      </c>
      <c r="G38">
        <v>0.34</v>
      </c>
      <c r="H38">
        <f t="shared" si="0"/>
        <v>0.18367346938775511</v>
      </c>
      <c r="I38">
        <f t="shared" si="1"/>
        <v>0.58082650901051869</v>
      </c>
      <c r="J38">
        <f t="shared" si="2"/>
        <v>-3.4433690077389015E-2</v>
      </c>
      <c r="K38">
        <f t="shared" si="3"/>
        <v>0.91428571428571426</v>
      </c>
      <c r="L38">
        <f t="shared" si="4"/>
        <v>3.1482230927898529E-2</v>
      </c>
      <c r="M38">
        <f t="shared" si="5"/>
        <v>0.28912252892968038</v>
      </c>
    </row>
    <row r="39" spans="1:13" x14ac:dyDescent="0.25">
      <c r="A39" t="s">
        <v>20</v>
      </c>
      <c r="B39">
        <v>2011</v>
      </c>
      <c r="C39" t="s">
        <v>59</v>
      </c>
      <c r="D39">
        <v>4</v>
      </c>
      <c r="E39">
        <v>-0.17</v>
      </c>
      <c r="F39">
        <v>-0.31</v>
      </c>
      <c r="G39">
        <v>-0.03</v>
      </c>
      <c r="H39">
        <f t="shared" si="0"/>
        <v>7.1428571428571438E-2</v>
      </c>
      <c r="I39">
        <f t="shared" si="1"/>
        <v>0.14285714285714288</v>
      </c>
      <c r="J39">
        <f t="shared" si="2"/>
        <v>-1.19</v>
      </c>
      <c r="K39" s="1">
        <f>1-3/(4*(D39*3-1)-1)</f>
        <v>0.93023255813953487</v>
      </c>
      <c r="L39">
        <f t="shared" si="4"/>
        <v>1.1069767441860465</v>
      </c>
      <c r="M39">
        <f t="shared" si="5"/>
        <v>0.46511627906976744</v>
      </c>
    </row>
    <row r="40" spans="1:13" x14ac:dyDescent="0.25">
      <c r="A40" t="s">
        <v>20</v>
      </c>
      <c r="B40">
        <v>2011</v>
      </c>
      <c r="C40" t="s">
        <v>57</v>
      </c>
      <c r="D40">
        <v>4</v>
      </c>
      <c r="E40">
        <v>-7.0000000000000007E-2</v>
      </c>
      <c r="F40">
        <v>-0.24</v>
      </c>
      <c r="G40">
        <v>0.09</v>
      </c>
      <c r="H40">
        <f t="shared" si="0"/>
        <v>8.4183673469387751E-2</v>
      </c>
      <c r="I40">
        <f t="shared" si="1"/>
        <v>0.1683673469387755</v>
      </c>
      <c r="J40">
        <f t="shared" si="2"/>
        <v>-0.41575757575757583</v>
      </c>
      <c r="K40" s="1">
        <f t="shared" ref="K40:K41" si="11">1-3/(4*(D40*3-1)-1)</f>
        <v>0.93023255813953487</v>
      </c>
      <c r="L40">
        <f t="shared" si="4"/>
        <v>0.3867512332628612</v>
      </c>
      <c r="M40">
        <f t="shared" si="5"/>
        <v>0.46511627906976744</v>
      </c>
    </row>
    <row r="41" spans="1:13" x14ac:dyDescent="0.25">
      <c r="A41" t="s">
        <v>20</v>
      </c>
      <c r="B41">
        <v>2011</v>
      </c>
      <c r="C41" t="s">
        <v>33</v>
      </c>
      <c r="D41">
        <v>4</v>
      </c>
      <c r="E41">
        <v>0</v>
      </c>
      <c r="F41">
        <v>-0.16</v>
      </c>
      <c r="G41">
        <v>0.16</v>
      </c>
      <c r="H41">
        <f t="shared" si="0"/>
        <v>8.1632653061224497E-2</v>
      </c>
      <c r="I41">
        <f t="shared" si="1"/>
        <v>0.16326530612244899</v>
      </c>
      <c r="J41">
        <f t="shared" si="2"/>
        <v>0</v>
      </c>
      <c r="K41" s="1">
        <f t="shared" si="11"/>
        <v>0.93023255813953487</v>
      </c>
      <c r="L41">
        <f t="shared" si="4"/>
        <v>0</v>
      </c>
      <c r="M41">
        <f t="shared" si="5"/>
        <v>0.46511627906976749</v>
      </c>
    </row>
    <row r="42" spans="1:13" x14ac:dyDescent="0.25">
      <c r="A42" t="s">
        <v>21</v>
      </c>
      <c r="B42">
        <v>2016</v>
      </c>
      <c r="C42" t="s">
        <v>60</v>
      </c>
      <c r="D42">
        <v>10</v>
      </c>
      <c r="E42">
        <v>0.14000000000000001</v>
      </c>
      <c r="F42">
        <v>-0.22</v>
      </c>
      <c r="G42">
        <v>0.5</v>
      </c>
      <c r="H42">
        <f t="shared" si="0"/>
        <v>0.18367346938775511</v>
      </c>
      <c r="I42">
        <f t="shared" si="1"/>
        <v>0.58082650901051869</v>
      </c>
      <c r="J42">
        <f t="shared" si="2"/>
        <v>0.24103583054172315</v>
      </c>
      <c r="K42" s="1">
        <f>1-3/(4*(D42*3-1)-1)</f>
        <v>0.97391304347826091</v>
      </c>
      <c r="L42">
        <f t="shared" si="4"/>
        <v>-0.23474793931019994</v>
      </c>
      <c r="M42">
        <f t="shared" si="5"/>
        <v>0.30797834603378998</v>
      </c>
    </row>
    <row r="43" spans="1:13" x14ac:dyDescent="0.25">
      <c r="A43" t="s">
        <v>21</v>
      </c>
      <c r="B43">
        <v>2016</v>
      </c>
      <c r="C43" t="s">
        <v>61</v>
      </c>
      <c r="D43">
        <v>10</v>
      </c>
      <c r="E43">
        <v>-0.04</v>
      </c>
      <c r="F43">
        <v>-0.39</v>
      </c>
      <c r="G43">
        <v>0.3</v>
      </c>
      <c r="H43">
        <f t="shared" si="0"/>
        <v>0.17602040816326531</v>
      </c>
      <c r="I43">
        <f t="shared" si="1"/>
        <v>0.5566254044684138</v>
      </c>
      <c r="J43">
        <f t="shared" si="2"/>
        <v>-7.1861614074550981E-2</v>
      </c>
      <c r="K43" s="1">
        <f t="shared" ref="K43:K47" si="12">1-3/(4*(D43*3-1)-1)</f>
        <v>0.97391304347826091</v>
      </c>
      <c r="L43">
        <f t="shared" si="4"/>
        <v>6.9986963272606173E-2</v>
      </c>
      <c r="M43">
        <f t="shared" si="5"/>
        <v>0.30797834603378993</v>
      </c>
    </row>
    <row r="44" spans="1:13" x14ac:dyDescent="0.25">
      <c r="A44" t="s">
        <v>21</v>
      </c>
      <c r="B44">
        <v>2016</v>
      </c>
      <c r="C44" t="s">
        <v>62</v>
      </c>
      <c r="D44">
        <v>10</v>
      </c>
      <c r="E44">
        <v>-0.16</v>
      </c>
      <c r="F44">
        <v>-0.5</v>
      </c>
      <c r="G44">
        <v>0.18</v>
      </c>
      <c r="H44">
        <f t="shared" si="0"/>
        <v>0.17346938775510204</v>
      </c>
      <c r="I44">
        <f t="shared" si="1"/>
        <v>0.54855836962104543</v>
      </c>
      <c r="J44">
        <f t="shared" si="2"/>
        <v>-0.2916736100672952</v>
      </c>
      <c r="K44" s="1">
        <f t="shared" si="12"/>
        <v>0.97391304347826091</v>
      </c>
      <c r="L44">
        <f t="shared" si="4"/>
        <v>0.28406473328293097</v>
      </c>
      <c r="M44">
        <f t="shared" si="5"/>
        <v>0.30797834603378998</v>
      </c>
    </row>
    <row r="45" spans="1:13" x14ac:dyDescent="0.25">
      <c r="A45" t="s">
        <v>21</v>
      </c>
      <c r="B45">
        <v>2016</v>
      </c>
      <c r="C45" t="s">
        <v>63</v>
      </c>
      <c r="D45">
        <f>31/3</f>
        <v>10.333333333333334</v>
      </c>
      <c r="E45">
        <v>0.25</v>
      </c>
      <c r="F45">
        <v>-0.12</v>
      </c>
      <c r="G45">
        <v>0.62</v>
      </c>
      <c r="H45">
        <f t="shared" si="0"/>
        <v>0.18877551020408162</v>
      </c>
      <c r="I45">
        <f t="shared" si="1"/>
        <v>0.6068283642121417</v>
      </c>
      <c r="J45">
        <f t="shared" si="2"/>
        <v>0.41197810574425003</v>
      </c>
      <c r="K45" s="1">
        <f t="shared" si="12"/>
        <v>0.97478991596638653</v>
      </c>
      <c r="L45">
        <f t="shared" si="4"/>
        <v>-0.40159210307842858</v>
      </c>
      <c r="M45">
        <f t="shared" si="5"/>
        <v>0.303243016610242</v>
      </c>
    </row>
    <row r="46" spans="1:13" x14ac:dyDescent="0.25">
      <c r="A46" t="s">
        <v>21</v>
      </c>
      <c r="B46">
        <v>2016</v>
      </c>
      <c r="C46" t="s">
        <v>64</v>
      </c>
      <c r="D46">
        <f>31/3</f>
        <v>10.333333333333334</v>
      </c>
      <c r="E46">
        <v>0.19</v>
      </c>
      <c r="F46">
        <v>-0.19</v>
      </c>
      <c r="G46">
        <v>0.56999999999999995</v>
      </c>
      <c r="H46">
        <f t="shared" si="0"/>
        <v>0.19387755102040816</v>
      </c>
      <c r="I46">
        <f t="shared" si="1"/>
        <v>0.62322913081246989</v>
      </c>
      <c r="J46">
        <f t="shared" si="2"/>
        <v>0.30486379825074506</v>
      </c>
      <c r="K46" s="1">
        <f t="shared" si="12"/>
        <v>0.97478991596638653</v>
      </c>
      <c r="L46">
        <f t="shared" si="4"/>
        <v>-0.29717815627803718</v>
      </c>
      <c r="M46">
        <f t="shared" si="5"/>
        <v>0.303243016610242</v>
      </c>
    </row>
    <row r="47" spans="1:13" x14ac:dyDescent="0.25">
      <c r="A47" t="s">
        <v>21</v>
      </c>
      <c r="B47">
        <v>2016</v>
      </c>
      <c r="C47" t="s">
        <v>65</v>
      </c>
      <c r="D47">
        <f>31/3</f>
        <v>10.333333333333334</v>
      </c>
      <c r="E47">
        <v>-0.06</v>
      </c>
      <c r="F47">
        <v>-0.44</v>
      </c>
      <c r="G47">
        <v>0.32</v>
      </c>
      <c r="H47">
        <f t="shared" si="0"/>
        <v>0.19387755102040816</v>
      </c>
      <c r="I47">
        <f t="shared" si="1"/>
        <v>0.62322913081246989</v>
      </c>
      <c r="J47">
        <f t="shared" si="2"/>
        <v>-9.6272778394972114E-2</v>
      </c>
      <c r="K47" s="1">
        <f t="shared" si="12"/>
        <v>0.97478991596638653</v>
      </c>
      <c r="L47">
        <f t="shared" si="4"/>
        <v>9.3845733561485414E-2</v>
      </c>
      <c r="M47">
        <f t="shared" si="5"/>
        <v>0.303243016610242</v>
      </c>
    </row>
    <row r="48" spans="1:13" x14ac:dyDescent="0.25">
      <c r="A48" t="s">
        <v>22</v>
      </c>
      <c r="B48">
        <v>2015</v>
      </c>
      <c r="C48" t="s">
        <v>44</v>
      </c>
      <c r="D48">
        <v>4</v>
      </c>
      <c r="E48">
        <v>0.33</v>
      </c>
      <c r="F48">
        <v>-0.05</v>
      </c>
      <c r="G48">
        <v>0.7</v>
      </c>
      <c r="H48">
        <f t="shared" si="0"/>
        <v>0.19132653061224489</v>
      </c>
      <c r="I48">
        <f t="shared" si="1"/>
        <v>0.38265306122448978</v>
      </c>
      <c r="J48">
        <f t="shared" si="2"/>
        <v>0.86240000000000006</v>
      </c>
      <c r="K48" s="1">
        <f>1-3/(4*(D48*2-1)-1)</f>
        <v>0.88888888888888884</v>
      </c>
      <c r="L48">
        <f t="shared" si="4"/>
        <v>-0.7665777777777778</v>
      </c>
      <c r="M48">
        <f t="shared" si="5"/>
        <v>0.44444444444444448</v>
      </c>
    </row>
    <row r="49" spans="1:13" x14ac:dyDescent="0.25">
      <c r="A49" t="s">
        <v>22</v>
      </c>
      <c r="B49">
        <v>2015</v>
      </c>
      <c r="C49" t="s">
        <v>66</v>
      </c>
      <c r="D49">
        <v>4</v>
      </c>
      <c r="E49">
        <v>-0.48</v>
      </c>
      <c r="F49">
        <v>-0.82</v>
      </c>
      <c r="G49">
        <v>-0.14000000000000001</v>
      </c>
      <c r="H49">
        <f t="shared" si="0"/>
        <v>0.17346938775510204</v>
      </c>
      <c r="I49">
        <f t="shared" si="1"/>
        <v>0.34693877551020408</v>
      </c>
      <c r="J49">
        <f t="shared" si="2"/>
        <v>-1.3835294117647059</v>
      </c>
      <c r="K49" s="1">
        <f t="shared" ref="K49:K51" si="13">1-3/(4*(D49*2-1)-1)</f>
        <v>0.88888888888888884</v>
      </c>
      <c r="L49">
        <f t="shared" si="4"/>
        <v>1.2298039215686274</v>
      </c>
      <c r="M49">
        <f t="shared" si="5"/>
        <v>0.44444444444444442</v>
      </c>
    </row>
    <row r="50" spans="1:13" x14ac:dyDescent="0.25">
      <c r="A50" t="s">
        <v>22</v>
      </c>
      <c r="B50">
        <v>2015</v>
      </c>
      <c r="C50" t="s">
        <v>67</v>
      </c>
      <c r="D50">
        <v>4</v>
      </c>
      <c r="E50">
        <v>0.04</v>
      </c>
      <c r="F50">
        <v>-0.7</v>
      </c>
      <c r="G50">
        <v>0.78</v>
      </c>
      <c r="H50">
        <f t="shared" si="0"/>
        <v>0.37755102040816324</v>
      </c>
      <c r="I50">
        <f t="shared" si="1"/>
        <v>0.75510204081632648</v>
      </c>
      <c r="J50">
        <f t="shared" si="2"/>
        <v>5.297297297297298E-2</v>
      </c>
      <c r="K50" s="1">
        <f t="shared" si="13"/>
        <v>0.88888888888888884</v>
      </c>
      <c r="L50">
        <f t="shared" si="4"/>
        <v>-4.7087087087087094E-2</v>
      </c>
      <c r="M50">
        <f t="shared" si="5"/>
        <v>0.44444444444444442</v>
      </c>
    </row>
    <row r="51" spans="1:13" x14ac:dyDescent="0.25">
      <c r="A51" t="s">
        <v>22</v>
      </c>
      <c r="B51">
        <v>2015</v>
      </c>
      <c r="C51" t="s">
        <v>68</v>
      </c>
      <c r="D51">
        <v>4</v>
      </c>
      <c r="E51">
        <v>-0.39</v>
      </c>
      <c r="F51">
        <v>-1.08</v>
      </c>
      <c r="G51">
        <v>0.3</v>
      </c>
      <c r="H51">
        <f t="shared" si="0"/>
        <v>0.35204081632653067</v>
      </c>
      <c r="I51">
        <f t="shared" si="1"/>
        <v>0.70408163265306134</v>
      </c>
      <c r="J51">
        <f t="shared" si="2"/>
        <v>-0.55391304347826076</v>
      </c>
      <c r="K51" s="1">
        <f t="shared" si="13"/>
        <v>0.88888888888888884</v>
      </c>
      <c r="L51">
        <f t="shared" si="4"/>
        <v>0.49236714975845397</v>
      </c>
      <c r="M51">
        <f t="shared" si="5"/>
        <v>0.44444444444444436</v>
      </c>
    </row>
    <row r="52" spans="1:13" x14ac:dyDescent="0.25">
      <c r="A52" t="s">
        <v>23</v>
      </c>
      <c r="B52">
        <v>1990</v>
      </c>
      <c r="C52" t="s">
        <v>57</v>
      </c>
      <c r="D52">
        <v>7</v>
      </c>
      <c r="E52">
        <v>0.01</v>
      </c>
      <c r="F52">
        <v>-1.3</v>
      </c>
      <c r="G52">
        <v>1.32</v>
      </c>
      <c r="H52">
        <f t="shared" si="0"/>
        <v>0.66836734693877553</v>
      </c>
      <c r="I52">
        <f t="shared" si="1"/>
        <v>1.7683337844360276</v>
      </c>
      <c r="J52">
        <f t="shared" si="2"/>
        <v>5.6550409702143915E-3</v>
      </c>
      <c r="K52">
        <f t="shared" si="3"/>
        <v>0.86956521739130432</v>
      </c>
      <c r="L52">
        <f t="shared" si="4"/>
        <v>-4.9174269306212102E-3</v>
      </c>
      <c r="M52">
        <f t="shared" si="5"/>
        <v>0.32866475913845838</v>
      </c>
    </row>
    <row r="53" spans="1:13" x14ac:dyDescent="0.25">
      <c r="A53" t="s">
        <v>24</v>
      </c>
      <c r="B53">
        <v>2016</v>
      </c>
      <c r="C53" t="s">
        <v>69</v>
      </c>
      <c r="D53">
        <v>20</v>
      </c>
      <c r="E53">
        <v>0.16</v>
      </c>
      <c r="F53">
        <v>0.08</v>
      </c>
      <c r="G53">
        <v>0.24</v>
      </c>
      <c r="H53">
        <f t="shared" si="0"/>
        <v>4.0816326530612242E-2</v>
      </c>
      <c r="I53">
        <f t="shared" si="1"/>
        <v>0.18253616142855425</v>
      </c>
      <c r="J53">
        <f t="shared" si="2"/>
        <v>0.87653864717991758</v>
      </c>
      <c r="K53">
        <f t="shared" si="3"/>
        <v>0.96</v>
      </c>
      <c r="L53">
        <f t="shared" si="4"/>
        <v>-0.8414771012927208</v>
      </c>
      <c r="M53">
        <f t="shared" si="5"/>
        <v>0.2146625258399798</v>
      </c>
    </row>
    <row r="54" spans="1:13" x14ac:dyDescent="0.25">
      <c r="A54" t="s">
        <v>25</v>
      </c>
      <c r="B54">
        <v>2016</v>
      </c>
      <c r="C54" t="s">
        <v>70</v>
      </c>
      <c r="D54">
        <f>10/3</f>
        <v>3.3333333333333335</v>
      </c>
      <c r="E54">
        <v>0</v>
      </c>
      <c r="F54">
        <v>-0.61</v>
      </c>
      <c r="G54">
        <v>0.61</v>
      </c>
      <c r="H54">
        <f t="shared" si="0"/>
        <v>0.31122448979591838</v>
      </c>
      <c r="I54">
        <f t="shared" si="1"/>
        <v>0.568215578364203</v>
      </c>
      <c r="J54">
        <f t="shared" si="2"/>
        <v>0</v>
      </c>
      <c r="K54" s="1">
        <f>1-3/(4*(D54*3-1)-1)</f>
        <v>0.91428571428571426</v>
      </c>
      <c r="L54">
        <f t="shared" si="4"/>
        <v>0</v>
      </c>
      <c r="M54">
        <f t="shared" si="5"/>
        <v>0.50077490971900895</v>
      </c>
    </row>
    <row r="55" spans="1:13" x14ac:dyDescent="0.25">
      <c r="A55" t="s">
        <v>25</v>
      </c>
      <c r="B55">
        <v>2016</v>
      </c>
      <c r="C55" t="s">
        <v>71</v>
      </c>
      <c r="D55">
        <f t="shared" ref="D55:D56" si="14">10/3</f>
        <v>3.3333333333333335</v>
      </c>
      <c r="E55">
        <v>0</v>
      </c>
      <c r="F55">
        <v>-0.61</v>
      </c>
      <c r="G55">
        <v>0.61</v>
      </c>
      <c r="H55">
        <f t="shared" si="0"/>
        <v>0.31122448979591838</v>
      </c>
      <c r="I55">
        <f t="shared" si="1"/>
        <v>0.568215578364203</v>
      </c>
      <c r="J55">
        <f t="shared" si="2"/>
        <v>0</v>
      </c>
      <c r="K55" s="1">
        <f t="shared" ref="K55:K56" si="15">1-3/(4*(D55*3-1)-1)</f>
        <v>0.91428571428571426</v>
      </c>
      <c r="L55">
        <f t="shared" si="4"/>
        <v>0</v>
      </c>
      <c r="M55">
        <f t="shared" si="5"/>
        <v>0.50077490971900895</v>
      </c>
    </row>
    <row r="56" spans="1:13" x14ac:dyDescent="0.25">
      <c r="A56" t="s">
        <v>25</v>
      </c>
      <c r="B56">
        <v>2016</v>
      </c>
      <c r="C56" t="s">
        <v>33</v>
      </c>
      <c r="D56">
        <f t="shared" si="14"/>
        <v>3.3333333333333335</v>
      </c>
      <c r="E56">
        <v>0</v>
      </c>
      <c r="F56">
        <v>-0.61</v>
      </c>
      <c r="G56">
        <v>0.61</v>
      </c>
      <c r="H56">
        <f t="shared" si="0"/>
        <v>0.31122448979591838</v>
      </c>
      <c r="I56">
        <f t="shared" si="1"/>
        <v>0.568215578364203</v>
      </c>
      <c r="J56">
        <f t="shared" si="2"/>
        <v>0</v>
      </c>
      <c r="K56" s="1">
        <f t="shared" si="15"/>
        <v>0.91428571428571426</v>
      </c>
      <c r="L56">
        <f t="shared" si="4"/>
        <v>0</v>
      </c>
      <c r="M56">
        <f t="shared" si="5"/>
        <v>0.50077490971900895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2026-01-29T03:06:57Z</dcterms:modified>
</cp:coreProperties>
</file>