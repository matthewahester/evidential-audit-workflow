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greyling2020\"/>
    </mc:Choice>
  </mc:AlternateContent>
  <xr:revisionPtr revIDLastSave="0" documentId="13_ncr:1_{9C86438D-4B65-49E1-8633-D01807518D77}" xr6:coauthVersionLast="47" xr6:coauthVersionMax="47" xr10:uidLastSave="{00000000-0000-0000-0000-000000000000}"/>
  <bookViews>
    <workbookView xWindow="38790" yWindow="3330" windowWidth="12135" windowHeight="7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M2" i="1"/>
  <c r="L2" i="1"/>
  <c r="H3" i="1"/>
  <c r="I3" i="1" s="1"/>
  <c r="J3" i="1" s="1"/>
  <c r="H4" i="1"/>
  <c r="I4" i="1" s="1"/>
  <c r="J4" i="1" s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9" i="1"/>
  <c r="I9" i="1"/>
  <c r="J9" i="1" s="1"/>
  <c r="H10" i="1"/>
  <c r="I10" i="1"/>
  <c r="J10" i="1" s="1"/>
  <c r="H11" i="1"/>
  <c r="I11" i="1" s="1"/>
  <c r="J11" i="1" s="1"/>
  <c r="H12" i="1"/>
  <c r="I12" i="1" s="1"/>
  <c r="J12" i="1" s="1"/>
  <c r="H13" i="1"/>
  <c r="I13" i="1"/>
  <c r="J13" i="1" s="1"/>
  <c r="H14" i="1"/>
  <c r="I14" i="1"/>
  <c r="J14" i="1" s="1"/>
  <c r="H15" i="1"/>
  <c r="I15" i="1" s="1"/>
  <c r="J15" i="1" s="1"/>
  <c r="H16" i="1"/>
  <c r="I16" i="1" s="1"/>
  <c r="J16" i="1" s="1"/>
  <c r="H17" i="1"/>
  <c r="I17" i="1"/>
  <c r="J17" i="1" s="1"/>
  <c r="H18" i="1"/>
  <c r="I18" i="1"/>
  <c r="J18" i="1" s="1"/>
  <c r="H19" i="1"/>
  <c r="I19" i="1" s="1"/>
  <c r="J19" i="1" s="1"/>
  <c r="H20" i="1"/>
  <c r="I20" i="1" s="1"/>
  <c r="J20" i="1" s="1"/>
  <c r="H21" i="1"/>
  <c r="I21" i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J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41" i="1"/>
  <c r="I41" i="1" s="1"/>
  <c r="J41" i="1" s="1"/>
  <c r="H42" i="1"/>
  <c r="I42" i="1" s="1"/>
  <c r="J42" i="1" s="1"/>
  <c r="H43" i="1"/>
  <c r="I43" i="1" s="1"/>
  <c r="J43" i="1" s="1"/>
  <c r="H44" i="1"/>
  <c r="I44" i="1" s="1"/>
  <c r="J44" i="1" s="1"/>
  <c r="H45" i="1"/>
  <c r="I45" i="1" s="1"/>
  <c r="J45" i="1" s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/>
  <c r="J50" i="1" s="1"/>
  <c r="H51" i="1"/>
  <c r="I51" i="1" s="1"/>
  <c r="J51" i="1" s="1"/>
  <c r="H2" i="1"/>
  <c r="I2" i="1" s="1"/>
  <c r="J2" i="1" s="1"/>
</calcChain>
</file>

<file path=xl/sharedStrings.xml><?xml version="1.0" encoding="utf-8"?>
<sst xmlns="http://schemas.openxmlformats.org/spreadsheetml/2006/main" count="115" uniqueCount="77">
  <si>
    <t>Author</t>
  </si>
  <si>
    <t>Year</t>
  </si>
  <si>
    <t>Azari</t>
  </si>
  <si>
    <t>Saccharin</t>
  </si>
  <si>
    <t>Brown</t>
  </si>
  <si>
    <t>Healthy; Sucralose + Acesulfame K</t>
  </si>
  <si>
    <t>Burns</t>
  </si>
  <si>
    <t>Sucrose preload; Aspartame</t>
  </si>
  <si>
    <t>Fasted; Aspartame</t>
  </si>
  <si>
    <t>Cooper</t>
  </si>
  <si>
    <t>Ford</t>
  </si>
  <si>
    <t>Sucralose</t>
  </si>
  <si>
    <t>Gregersen</t>
  </si>
  <si>
    <t>Stevioside</t>
  </si>
  <si>
    <t>Halschou-Jensen</t>
  </si>
  <si>
    <t>5900 mg L-Arabinose</t>
  </si>
  <si>
    <t>2900 mg L-Arabinose</t>
  </si>
  <si>
    <t>4900 mg L-Arabinose</t>
  </si>
  <si>
    <t>2500 mg L-Arabinose</t>
  </si>
  <si>
    <t>10,200 mg L-Arabinose; Liquid meal</t>
  </si>
  <si>
    <t>10,200 mg L-Arabinose; Semisolid meal</t>
  </si>
  <si>
    <t>10,200 mg L-Arabinose; Solid meal</t>
  </si>
  <si>
    <t>Helou</t>
  </si>
  <si>
    <t>Lean; Acesulfame K</t>
  </si>
  <si>
    <t>Obese; Acesulfame K</t>
  </si>
  <si>
    <t>Horwitz</t>
  </si>
  <si>
    <t>Healthy; Aspartame</t>
  </si>
  <si>
    <t>Healthy; Saccharin</t>
  </si>
  <si>
    <t>T2D; Aspartame</t>
  </si>
  <si>
    <t>T2D; Saccharin</t>
  </si>
  <si>
    <t>Krog-Mikkelsen</t>
  </si>
  <si>
    <t>1000 mg L-Arabinose</t>
  </si>
  <si>
    <t>2000 mg L-Arabinose</t>
  </si>
  <si>
    <t>3000 mg L-Arabinose</t>
  </si>
  <si>
    <t>Ma</t>
  </si>
  <si>
    <t>800 mg Sucralose</t>
  </si>
  <si>
    <t>80 mg Sucralose</t>
  </si>
  <si>
    <t>Nichol</t>
  </si>
  <si>
    <t>Lean; Sucralose</t>
  </si>
  <si>
    <t>Obese; Sucralose</t>
  </si>
  <si>
    <t>Overduin</t>
  </si>
  <si>
    <t>Lean; Erythritol</t>
  </si>
  <si>
    <t>Obese; Erythritol</t>
  </si>
  <si>
    <t>Pepino</t>
  </si>
  <si>
    <t>Prat-Larquemin</t>
  </si>
  <si>
    <t>Aspartame</t>
  </si>
  <si>
    <t>Slama</t>
  </si>
  <si>
    <t>Steinert</t>
  </si>
  <si>
    <t>Acesulfame K</t>
  </si>
  <si>
    <t>Sylvetsky</t>
  </si>
  <si>
    <t>68 mg Sucralose</t>
  </si>
  <si>
    <t>170 mg Sucralose</t>
  </si>
  <si>
    <t>250 mg Sucralose</t>
  </si>
  <si>
    <t>Sucralose + Acesulfame K; Water</t>
  </si>
  <si>
    <t>Sucralose + Acesulfame K; Cola</t>
  </si>
  <si>
    <t>Sucralose + Acesulfame K + Aspartame</t>
  </si>
  <si>
    <t>Temizkan</t>
  </si>
  <si>
    <t>Healthy; Sucralose</t>
  </si>
  <si>
    <t>T2D; Sucralose</t>
  </si>
  <si>
    <t>Wolf-Novak</t>
  </si>
  <si>
    <t>Wölnerhanssen</t>
  </si>
  <si>
    <t>Erythritol</t>
  </si>
  <si>
    <t>Wu</t>
  </si>
  <si>
    <t>Acesulfame K + Sucralose</t>
  </si>
  <si>
    <t>n</t>
  </si>
  <si>
    <t>J</t>
  </si>
  <si>
    <t>arm</t>
  </si>
  <si>
    <t>md</t>
  </si>
  <si>
    <t>lCI</t>
  </si>
  <si>
    <t>uCI</t>
  </si>
  <si>
    <t>se_md</t>
  </si>
  <si>
    <t>pooled_sd</t>
  </si>
  <si>
    <t>d</t>
  </si>
  <si>
    <t>g</t>
  </si>
  <si>
    <t>se_g</t>
  </si>
  <si>
    <t>notes</t>
  </si>
  <si>
    <t>J used total df for CO, while pooled_sd used split arm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</si>
</sst>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J6" sqref="J6"/>
    </sheetView>
  </sheetViews>
  <sheetFormatPr defaultColWidth="6.28515625" defaultRowHeight="15" x14ac:dyDescent="0.25"/>
  <sheetData>
    <row r="1" spans="1:14" x14ac:dyDescent="0.25">
      <c r="A1" t="s">
        <v>0</v>
      </c>
      <c r="B1" t="s">
        <v>1</v>
      </c>
      <c r="C1" t="s">
        <v>66</v>
      </c>
      <c r="D1" t="s">
        <v>64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65</v>
      </c>
      <c r="L1" t="s">
        <v>73</v>
      </c>
      <c r="M1" t="s">
        <v>74</v>
      </c>
      <c r="N1" t="s">
        <v>75</v>
      </c>
    </row>
    <row r="2" spans="1:14" x14ac:dyDescent="0.25">
      <c r="A2" t="s">
        <v>2</v>
      </c>
      <c r="B2">
        <v>2017</v>
      </c>
      <c r="C2" t="s">
        <v>3</v>
      </c>
      <c r="D2">
        <v>10</v>
      </c>
      <c r="E2">
        <v>18.62</v>
      </c>
      <c r="F2">
        <v>-33.99</v>
      </c>
      <c r="G2">
        <v>71.22</v>
      </c>
      <c r="H2">
        <f>(G2-F2)/2/1.96</f>
        <v>26.839285714285715</v>
      </c>
      <c r="I2">
        <f>H2*SQRT(D2)</f>
        <v>84.873273629162043</v>
      </c>
      <c r="J2">
        <f>E2/I2</f>
        <v>0.21938590564276597</v>
      </c>
      <c r="K2">
        <v>0.91428571428571426</v>
      </c>
      <c r="L2">
        <f>-K2*J2</f>
        <v>-0.2005813994448146</v>
      </c>
      <c r="M2">
        <f>K2*H2/I2</f>
        <v>0.28912252892968038</v>
      </c>
      <c r="N2" t="s">
        <v>76</v>
      </c>
    </row>
    <row r="3" spans="1:14" x14ac:dyDescent="0.25">
      <c r="A3" t="s">
        <v>4</v>
      </c>
      <c r="B3">
        <v>2009</v>
      </c>
      <c r="C3" t="s">
        <v>5</v>
      </c>
      <c r="D3">
        <v>25</v>
      </c>
      <c r="E3">
        <v>13.04</v>
      </c>
      <c r="F3">
        <v>-46.49</v>
      </c>
      <c r="G3">
        <v>72.569999999999993</v>
      </c>
      <c r="H3">
        <f t="shared" ref="H3:H51" si="0">(G3-F3)/2/1.96</f>
        <v>30.372448979591837</v>
      </c>
      <c r="I3">
        <f t="shared" ref="I3:I51" si="1">H3*SQRT(D3)</f>
        <v>151.86224489795919</v>
      </c>
      <c r="J3">
        <f t="shared" ref="J3:J51" si="2">E3/I3</f>
        <v>8.5867293801444644E-2</v>
      </c>
      <c r="K3">
        <v>0.96842105263157896</v>
      </c>
      <c r="L3">
        <f t="shared" ref="L3:L51" si="3">-K3*J3</f>
        <v>-8.315569504982008E-2</v>
      </c>
      <c r="M3">
        <f t="shared" ref="M3:M51" si="4">K3*H3/I3</f>
        <v>0.19368421052631579</v>
      </c>
    </row>
    <row r="4" spans="1:14" x14ac:dyDescent="0.25">
      <c r="A4" t="s">
        <v>6</v>
      </c>
      <c r="B4">
        <v>1991</v>
      </c>
      <c r="C4" t="s">
        <v>7</v>
      </c>
      <c r="D4">
        <v>8</v>
      </c>
      <c r="E4">
        <v>1.17</v>
      </c>
      <c r="F4">
        <v>-54.72</v>
      </c>
      <c r="G4">
        <v>57.06</v>
      </c>
      <c r="H4">
        <f t="shared" si="0"/>
        <v>28.51530612244898</v>
      </c>
      <c r="I4">
        <f t="shared" si="1"/>
        <v>80.653465307175807</v>
      </c>
      <c r="J4">
        <f t="shared" si="2"/>
        <v>1.4506506267820634E-2</v>
      </c>
      <c r="K4">
        <v>0.88888888888888884</v>
      </c>
      <c r="L4">
        <f t="shared" si="3"/>
        <v>-1.2894672238062786E-2</v>
      </c>
      <c r="M4">
        <f t="shared" si="4"/>
        <v>0.31426968052735443</v>
      </c>
    </row>
    <row r="5" spans="1:14" x14ac:dyDescent="0.25">
      <c r="A5" t="s">
        <v>6</v>
      </c>
      <c r="B5">
        <v>1991</v>
      </c>
      <c r="C5" t="s">
        <v>8</v>
      </c>
      <c r="D5">
        <v>8</v>
      </c>
      <c r="E5">
        <v>-6.08</v>
      </c>
      <c r="F5">
        <v>-61.97</v>
      </c>
      <c r="G5">
        <v>49.81</v>
      </c>
      <c r="H5">
        <f t="shared" si="0"/>
        <v>28.51530612244898</v>
      </c>
      <c r="I5">
        <f t="shared" si="1"/>
        <v>80.653465307175807</v>
      </c>
      <c r="J5">
        <f t="shared" si="2"/>
        <v>-7.5384237699443982E-2</v>
      </c>
      <c r="K5">
        <v>0.88888888888888884</v>
      </c>
      <c r="L5">
        <f t="shared" si="3"/>
        <v>6.7008211288394653E-2</v>
      </c>
      <c r="M5">
        <f t="shared" si="4"/>
        <v>0.31426968052735443</v>
      </c>
    </row>
    <row r="6" spans="1:14" x14ac:dyDescent="0.25">
      <c r="A6" t="s">
        <v>9</v>
      </c>
      <c r="B6">
        <v>1988</v>
      </c>
      <c r="C6" t="s">
        <v>3</v>
      </c>
      <c r="D6">
        <v>17</v>
      </c>
      <c r="E6">
        <v>-4.92</v>
      </c>
      <c r="F6">
        <v>-44.02</v>
      </c>
      <c r="G6">
        <v>34.18</v>
      </c>
      <c r="H6">
        <f t="shared" si="0"/>
        <v>19.948979591836736</v>
      </c>
      <c r="I6">
        <f t="shared" si="1"/>
        <v>82.251749980433942</v>
      </c>
      <c r="J6">
        <f t="shared" si="2"/>
        <v>-5.981635650512445E-2</v>
      </c>
      <c r="K6">
        <v>0.95238095238095233</v>
      </c>
      <c r="L6">
        <f t="shared" si="3"/>
        <v>5.6967958576309E-2</v>
      </c>
      <c r="M6">
        <f t="shared" si="4"/>
        <v>0.23098630955841234</v>
      </c>
    </row>
    <row r="7" spans="1:14" x14ac:dyDescent="0.25">
      <c r="A7" t="s">
        <v>10</v>
      </c>
      <c r="B7">
        <v>2011</v>
      </c>
      <c r="C7" t="s">
        <v>11</v>
      </c>
      <c r="D7">
        <v>8</v>
      </c>
      <c r="E7">
        <v>-6.22</v>
      </c>
      <c r="F7">
        <v>-11.44</v>
      </c>
      <c r="G7">
        <v>-0.99</v>
      </c>
      <c r="H7">
        <f t="shared" si="0"/>
        <v>2.6658163265306123</v>
      </c>
      <c r="I7">
        <f t="shared" si="1"/>
        <v>7.5400672075504307</v>
      </c>
      <c r="J7">
        <f t="shared" si="2"/>
        <v>-0.82492633404798443</v>
      </c>
      <c r="K7">
        <v>0.88888888888888884</v>
      </c>
      <c r="L7">
        <f t="shared" si="3"/>
        <v>0.73326785248709725</v>
      </c>
      <c r="M7">
        <f t="shared" si="4"/>
        <v>0.31426968052735443</v>
      </c>
    </row>
    <row r="8" spans="1:14" x14ac:dyDescent="0.25">
      <c r="A8" t="s">
        <v>12</v>
      </c>
      <c r="B8">
        <v>2004</v>
      </c>
      <c r="C8" t="s">
        <v>13</v>
      </c>
      <c r="D8">
        <v>12</v>
      </c>
      <c r="E8">
        <v>27.04</v>
      </c>
      <c r="F8">
        <v>-7.95</v>
      </c>
      <c r="G8">
        <v>62.03</v>
      </c>
      <c r="H8">
        <f t="shared" si="0"/>
        <v>17.852040816326532</v>
      </c>
      <c r="I8">
        <f t="shared" si="1"/>
        <v>61.841283425341857</v>
      </c>
      <c r="J8">
        <f t="shared" si="2"/>
        <v>0.43724836391282451</v>
      </c>
      <c r="K8">
        <v>0.93023255813953487</v>
      </c>
      <c r="L8">
        <f t="shared" si="3"/>
        <v>-0.40674266410495302</v>
      </c>
      <c r="M8">
        <f t="shared" si="4"/>
        <v>0.26853500892540733</v>
      </c>
    </row>
    <row r="9" spans="1:14" x14ac:dyDescent="0.25">
      <c r="A9" t="s">
        <v>14</v>
      </c>
      <c r="B9">
        <v>2015</v>
      </c>
      <c r="C9" t="s">
        <v>15</v>
      </c>
      <c r="D9">
        <v>4.25</v>
      </c>
      <c r="E9">
        <v>25.64</v>
      </c>
      <c r="F9">
        <v>0.22</v>
      </c>
      <c r="G9">
        <v>51.07</v>
      </c>
      <c r="H9">
        <f t="shared" si="0"/>
        <v>12.971938775510205</v>
      </c>
      <c r="I9">
        <f t="shared" si="1"/>
        <v>26.742336870236997</v>
      </c>
      <c r="J9">
        <f t="shared" si="2"/>
        <v>0.95877933646614677</v>
      </c>
      <c r="K9" s="1">
        <v>0.95238095238095233</v>
      </c>
      <c r="L9">
        <f t="shared" si="3"/>
        <v>-0.91312317758680639</v>
      </c>
      <c r="M9">
        <f t="shared" si="4"/>
        <v>0.46197261911682469</v>
      </c>
    </row>
    <row r="10" spans="1:14" x14ac:dyDescent="0.25">
      <c r="A10" t="s">
        <v>14</v>
      </c>
      <c r="B10">
        <v>2015</v>
      </c>
      <c r="C10" t="s">
        <v>16</v>
      </c>
      <c r="D10">
        <v>4.25</v>
      </c>
      <c r="E10">
        <v>6.73</v>
      </c>
      <c r="F10">
        <v>-14.21</v>
      </c>
      <c r="G10">
        <v>27.66</v>
      </c>
      <c r="H10">
        <f t="shared" si="0"/>
        <v>10.681122448979593</v>
      </c>
      <c r="I10">
        <f t="shared" si="1"/>
        <v>22.019698028649422</v>
      </c>
      <c r="J10">
        <f t="shared" si="2"/>
        <v>0.3056354356560077</v>
      </c>
      <c r="K10" s="1">
        <v>0.95238095238095233</v>
      </c>
      <c r="L10">
        <f t="shared" si="3"/>
        <v>-0.29108136729143591</v>
      </c>
      <c r="M10">
        <f t="shared" si="4"/>
        <v>0.46197261911682469</v>
      </c>
    </row>
    <row r="11" spans="1:14" x14ac:dyDescent="0.25">
      <c r="A11" t="s">
        <v>14</v>
      </c>
      <c r="B11">
        <v>2015</v>
      </c>
      <c r="C11" t="s">
        <v>17</v>
      </c>
      <c r="D11">
        <v>4.25</v>
      </c>
      <c r="E11">
        <v>18.63</v>
      </c>
      <c r="F11">
        <v>0.72</v>
      </c>
      <c r="G11">
        <v>36.54</v>
      </c>
      <c r="H11">
        <f t="shared" si="0"/>
        <v>9.137755102040817</v>
      </c>
      <c r="I11">
        <f t="shared" si="1"/>
        <v>18.837964733370487</v>
      </c>
      <c r="J11">
        <f t="shared" si="2"/>
        <v>0.98896033959538687</v>
      </c>
      <c r="K11" s="1">
        <v>0.95238095238095233</v>
      </c>
      <c r="L11">
        <f t="shared" si="3"/>
        <v>-0.94186699009084462</v>
      </c>
      <c r="M11">
        <f t="shared" si="4"/>
        <v>0.46197261911682469</v>
      </c>
    </row>
    <row r="12" spans="1:14" x14ac:dyDescent="0.25">
      <c r="A12" t="s">
        <v>14</v>
      </c>
      <c r="B12">
        <v>2015</v>
      </c>
      <c r="C12" t="s">
        <v>18</v>
      </c>
      <c r="D12">
        <v>4.25</v>
      </c>
      <c r="E12">
        <v>24.87</v>
      </c>
      <c r="F12">
        <v>5.39</v>
      </c>
      <c r="G12">
        <v>44.34</v>
      </c>
      <c r="H12">
        <f t="shared" si="0"/>
        <v>9.9362244897959187</v>
      </c>
      <c r="I12">
        <f t="shared" si="1"/>
        <v>20.48405154563876</v>
      </c>
      <c r="J12">
        <f t="shared" si="2"/>
        <v>1.2141152810804681</v>
      </c>
      <c r="K12" s="1">
        <v>0.95238095238095233</v>
      </c>
      <c r="L12">
        <f t="shared" si="3"/>
        <v>-1.1563002676956837</v>
      </c>
      <c r="M12">
        <f t="shared" si="4"/>
        <v>0.46197261911682475</v>
      </c>
    </row>
    <row r="13" spans="1:14" x14ac:dyDescent="0.25">
      <c r="A13" t="s">
        <v>14</v>
      </c>
      <c r="B13">
        <v>2015</v>
      </c>
      <c r="C13" t="s">
        <v>19</v>
      </c>
      <c r="D13">
        <v>2</v>
      </c>
      <c r="E13">
        <v>11.01</v>
      </c>
      <c r="F13">
        <v>-111.92</v>
      </c>
      <c r="G13">
        <v>133.94999999999999</v>
      </c>
      <c r="H13">
        <f t="shared" si="0"/>
        <v>62.721938775510203</v>
      </c>
      <c r="I13">
        <f t="shared" si="1"/>
        <v>88.702216474661455</v>
      </c>
      <c r="J13">
        <f t="shared" si="2"/>
        <v>0.12412316667583048</v>
      </c>
      <c r="K13" s="1">
        <v>0.84210526315789469</v>
      </c>
      <c r="L13">
        <f t="shared" si="3"/>
        <v>-0.10452477193754145</v>
      </c>
      <c r="M13">
        <f t="shared" si="4"/>
        <v>0.59545834205182935</v>
      </c>
    </row>
    <row r="14" spans="1:14" x14ac:dyDescent="0.25">
      <c r="A14" t="s">
        <v>14</v>
      </c>
      <c r="B14">
        <v>2015</v>
      </c>
      <c r="C14" t="s">
        <v>20</v>
      </c>
      <c r="D14">
        <v>2</v>
      </c>
      <c r="E14">
        <v>-50.31</v>
      </c>
      <c r="F14">
        <v>-122.46</v>
      </c>
      <c r="G14">
        <v>21.84</v>
      </c>
      <c r="H14">
        <f t="shared" si="0"/>
        <v>36.811224489795912</v>
      </c>
      <c r="I14">
        <f t="shared" si="1"/>
        <v>52.058932921029999</v>
      </c>
      <c r="J14">
        <f t="shared" si="2"/>
        <v>-0.9664047489470633</v>
      </c>
      <c r="K14" s="1">
        <v>0.84210526315789469</v>
      </c>
      <c r="L14">
        <f t="shared" si="3"/>
        <v>0.81381452542910593</v>
      </c>
      <c r="M14">
        <f t="shared" si="4"/>
        <v>0.59545834205182935</v>
      </c>
    </row>
    <row r="15" spans="1:14" x14ac:dyDescent="0.25">
      <c r="A15" t="s">
        <v>14</v>
      </c>
      <c r="B15">
        <v>2015</v>
      </c>
      <c r="C15" t="s">
        <v>21</v>
      </c>
      <c r="D15">
        <v>2</v>
      </c>
      <c r="E15">
        <v>72.69</v>
      </c>
      <c r="F15">
        <v>-57.67</v>
      </c>
      <c r="G15">
        <v>203.05</v>
      </c>
      <c r="H15">
        <f t="shared" si="0"/>
        <v>66.510204081632665</v>
      </c>
      <c r="I15">
        <f t="shared" si="1"/>
        <v>94.059632648447305</v>
      </c>
      <c r="J15">
        <f t="shared" si="2"/>
        <v>0.77280761101505246</v>
      </c>
      <c r="K15" s="1">
        <v>0.84210526315789469</v>
      </c>
      <c r="L15">
        <f t="shared" si="3"/>
        <v>-0.65078535664425463</v>
      </c>
      <c r="M15">
        <f t="shared" si="4"/>
        <v>0.59545834205182935</v>
      </c>
    </row>
    <row r="16" spans="1:14" x14ac:dyDescent="0.25">
      <c r="A16" t="s">
        <v>22</v>
      </c>
      <c r="B16">
        <v>2019</v>
      </c>
      <c r="C16" t="s">
        <v>23</v>
      </c>
      <c r="D16">
        <v>15</v>
      </c>
      <c r="E16">
        <v>8.5399999999999991</v>
      </c>
      <c r="F16">
        <v>-24.99</v>
      </c>
      <c r="G16">
        <v>42.07</v>
      </c>
      <c r="H16">
        <f t="shared" si="0"/>
        <v>17.107142857142858</v>
      </c>
      <c r="I16">
        <f t="shared" si="1"/>
        <v>66.255679386905456</v>
      </c>
      <c r="J16">
        <f t="shared" si="2"/>
        <v>0.12889461068129679</v>
      </c>
      <c r="K16">
        <v>0.94545454545454544</v>
      </c>
      <c r="L16">
        <f t="shared" si="3"/>
        <v>-0.12186399555322605</v>
      </c>
      <c r="M16">
        <f t="shared" si="4"/>
        <v>0.2441153139427705</v>
      </c>
    </row>
    <row r="17" spans="1:13" x14ac:dyDescent="0.25">
      <c r="A17" t="s">
        <v>22</v>
      </c>
      <c r="B17">
        <v>2019</v>
      </c>
      <c r="C17" t="s">
        <v>24</v>
      </c>
      <c r="D17">
        <v>15</v>
      </c>
      <c r="E17">
        <v>-55.62</v>
      </c>
      <c r="F17">
        <v>-141.27000000000001</v>
      </c>
      <c r="G17">
        <v>30.02</v>
      </c>
      <c r="H17">
        <f t="shared" si="0"/>
        <v>43.696428571428577</v>
      </c>
      <c r="I17">
        <f t="shared" si="1"/>
        <v>169.23554014588484</v>
      </c>
      <c r="J17">
        <f t="shared" si="2"/>
        <v>-0.32865437101482531</v>
      </c>
      <c r="K17">
        <v>0.94545454545454544</v>
      </c>
      <c r="L17">
        <f t="shared" si="3"/>
        <v>0.31072776895947118</v>
      </c>
      <c r="M17">
        <f t="shared" si="4"/>
        <v>0.24411531394277047</v>
      </c>
    </row>
    <row r="18" spans="1:13" x14ac:dyDescent="0.25">
      <c r="A18" t="s">
        <v>25</v>
      </c>
      <c r="B18">
        <v>1988</v>
      </c>
      <c r="C18" t="s">
        <v>26</v>
      </c>
      <c r="D18">
        <v>6</v>
      </c>
      <c r="E18">
        <v>9.1</v>
      </c>
      <c r="F18">
        <v>0</v>
      </c>
      <c r="G18">
        <v>18.2</v>
      </c>
      <c r="H18">
        <f t="shared" si="0"/>
        <v>4.6428571428571423</v>
      </c>
      <c r="I18">
        <f t="shared" si="1"/>
        <v>11.372630948636182</v>
      </c>
      <c r="J18">
        <f t="shared" si="2"/>
        <v>0.80016664930917158</v>
      </c>
      <c r="K18" s="1">
        <v>0.93023255813953487</v>
      </c>
      <c r="L18">
        <f t="shared" si="3"/>
        <v>-0.74434106912481079</v>
      </c>
      <c r="M18">
        <f t="shared" si="4"/>
        <v>0.37976585159429121</v>
      </c>
    </row>
    <row r="19" spans="1:13" x14ac:dyDescent="0.25">
      <c r="A19" t="s">
        <v>25</v>
      </c>
      <c r="B19">
        <v>1988</v>
      </c>
      <c r="C19" t="s">
        <v>27</v>
      </c>
      <c r="D19">
        <v>6</v>
      </c>
      <c r="E19">
        <v>3.58</v>
      </c>
      <c r="F19">
        <v>-5.34</v>
      </c>
      <c r="G19">
        <v>12.5</v>
      </c>
      <c r="H19">
        <f t="shared" si="0"/>
        <v>4.5510204081632653</v>
      </c>
      <c r="I19">
        <f t="shared" si="1"/>
        <v>11.14767780899283</v>
      </c>
      <c r="J19">
        <f t="shared" si="2"/>
        <v>0.32114311709942089</v>
      </c>
      <c r="K19" s="1">
        <v>0.93023255813953487</v>
      </c>
      <c r="L19">
        <f t="shared" si="3"/>
        <v>-0.29873778334829848</v>
      </c>
      <c r="M19">
        <f t="shared" si="4"/>
        <v>0.37976585159429121</v>
      </c>
    </row>
    <row r="20" spans="1:13" x14ac:dyDescent="0.25">
      <c r="A20" t="s">
        <v>25</v>
      </c>
      <c r="B20">
        <v>1988</v>
      </c>
      <c r="C20" t="s">
        <v>28</v>
      </c>
      <c r="D20">
        <v>5</v>
      </c>
      <c r="E20">
        <v>1.1599999999999999</v>
      </c>
      <c r="F20">
        <v>-19.510000000000002</v>
      </c>
      <c r="G20">
        <v>21.84</v>
      </c>
      <c r="H20">
        <f t="shared" si="0"/>
        <v>10.548469387755103</v>
      </c>
      <c r="I20">
        <f t="shared" si="1"/>
        <v>23.587094609596001</v>
      </c>
      <c r="J20">
        <f t="shared" si="2"/>
        <v>4.9179435585427041E-2</v>
      </c>
      <c r="K20" s="1">
        <v>0.91428571428571426</v>
      </c>
      <c r="L20">
        <f t="shared" si="3"/>
        <v>-4.4964055392390435E-2</v>
      </c>
      <c r="M20">
        <f t="shared" si="4"/>
        <v>0.40888100159996149</v>
      </c>
    </row>
    <row r="21" spans="1:13" x14ac:dyDescent="0.25">
      <c r="A21" t="s">
        <v>25</v>
      </c>
      <c r="B21">
        <v>1988</v>
      </c>
      <c r="C21" t="s">
        <v>29</v>
      </c>
      <c r="D21">
        <v>5</v>
      </c>
      <c r="E21">
        <v>-2.98</v>
      </c>
      <c r="F21">
        <v>-24.82</v>
      </c>
      <c r="G21">
        <v>18.87</v>
      </c>
      <c r="H21">
        <f t="shared" si="0"/>
        <v>11.145408163265305</v>
      </c>
      <c r="I21">
        <f t="shared" si="1"/>
        <v>24.921890290042299</v>
      </c>
      <c r="J21">
        <f t="shared" si="2"/>
        <v>-0.11957359435093405</v>
      </c>
      <c r="K21" s="1">
        <v>0.91428571428571426</v>
      </c>
      <c r="L21">
        <f t="shared" si="3"/>
        <v>0.10932442912085398</v>
      </c>
      <c r="M21">
        <f t="shared" si="4"/>
        <v>0.40888100159996149</v>
      </c>
    </row>
    <row r="22" spans="1:13" x14ac:dyDescent="0.25">
      <c r="A22" t="s">
        <v>30</v>
      </c>
      <c r="B22">
        <v>2011</v>
      </c>
      <c r="C22" t="s">
        <v>31</v>
      </c>
      <c r="D22">
        <v>5</v>
      </c>
      <c r="E22">
        <v>-15.74</v>
      </c>
      <c r="F22">
        <v>-36.51</v>
      </c>
      <c r="G22">
        <v>5.04</v>
      </c>
      <c r="H22">
        <f t="shared" si="0"/>
        <v>10.599489795918366</v>
      </c>
      <c r="I22">
        <f t="shared" si="1"/>
        <v>23.701179710488841</v>
      </c>
      <c r="J22">
        <f t="shared" si="2"/>
        <v>-0.66410196421717949</v>
      </c>
      <c r="K22">
        <v>0.94545454545454544</v>
      </c>
      <c r="L22">
        <f t="shared" si="3"/>
        <v>0.62787822071442423</v>
      </c>
      <c r="M22">
        <f t="shared" si="4"/>
        <v>0.42282012665450563</v>
      </c>
    </row>
    <row r="23" spans="1:13" x14ac:dyDescent="0.25">
      <c r="A23" t="s">
        <v>30</v>
      </c>
      <c r="B23">
        <v>2011</v>
      </c>
      <c r="C23" t="s">
        <v>32</v>
      </c>
      <c r="D23">
        <v>5</v>
      </c>
      <c r="E23">
        <v>-37.97</v>
      </c>
      <c r="F23">
        <v>-58.97</v>
      </c>
      <c r="G23">
        <v>-16.96</v>
      </c>
      <c r="H23">
        <f t="shared" si="0"/>
        <v>10.716836734693878</v>
      </c>
      <c r="I23">
        <f t="shared" si="1"/>
        <v>23.963575442542393</v>
      </c>
      <c r="J23">
        <f t="shared" si="2"/>
        <v>-1.5844880949022357</v>
      </c>
      <c r="K23">
        <v>0.94545454545454544</v>
      </c>
      <c r="L23">
        <f t="shared" si="3"/>
        <v>1.498061471543932</v>
      </c>
      <c r="M23">
        <f t="shared" si="4"/>
        <v>0.42282012665450563</v>
      </c>
    </row>
    <row r="24" spans="1:13" x14ac:dyDescent="0.25">
      <c r="A24" t="s">
        <v>30</v>
      </c>
      <c r="B24">
        <v>2011</v>
      </c>
      <c r="C24" t="s">
        <v>33</v>
      </c>
      <c r="D24">
        <v>5</v>
      </c>
      <c r="E24">
        <v>-39.53</v>
      </c>
      <c r="F24">
        <v>-60.77</v>
      </c>
      <c r="G24">
        <v>-18.29</v>
      </c>
      <c r="H24">
        <f t="shared" si="0"/>
        <v>10.836734693877553</v>
      </c>
      <c r="I24">
        <f t="shared" si="1"/>
        <v>24.231675429640582</v>
      </c>
      <c r="J24">
        <f t="shared" si="2"/>
        <v>-1.6313358155848463</v>
      </c>
      <c r="K24">
        <v>0.94545454545454544</v>
      </c>
      <c r="L24">
        <f t="shared" si="3"/>
        <v>1.542353862007491</v>
      </c>
      <c r="M24">
        <f t="shared" si="4"/>
        <v>0.42282012665450569</v>
      </c>
    </row>
    <row r="25" spans="1:13" x14ac:dyDescent="0.25">
      <c r="A25" t="s">
        <v>34</v>
      </c>
      <c r="B25">
        <v>2009</v>
      </c>
      <c r="C25" t="s">
        <v>35</v>
      </c>
      <c r="D25">
        <v>3.5</v>
      </c>
      <c r="E25">
        <v>0</v>
      </c>
      <c r="F25">
        <v>-24.98</v>
      </c>
      <c r="G25">
        <v>24.98</v>
      </c>
      <c r="H25">
        <f t="shared" si="0"/>
        <v>12.744897959183675</v>
      </c>
      <c r="I25">
        <f t="shared" si="1"/>
        <v>23.843520796329862</v>
      </c>
      <c r="J25">
        <f t="shared" si="2"/>
        <v>0</v>
      </c>
      <c r="K25" s="1">
        <v>0.86956521739130432</v>
      </c>
      <c r="L25">
        <f t="shared" si="3"/>
        <v>0</v>
      </c>
      <c r="M25">
        <f t="shared" si="4"/>
        <v>0.46480215984769463</v>
      </c>
    </row>
    <row r="26" spans="1:13" x14ac:dyDescent="0.25">
      <c r="A26" t="s">
        <v>34</v>
      </c>
      <c r="B26">
        <v>2009</v>
      </c>
      <c r="C26" t="s">
        <v>36</v>
      </c>
      <c r="D26">
        <v>3.5</v>
      </c>
      <c r="E26">
        <v>0</v>
      </c>
      <c r="F26">
        <v>-24.98</v>
      </c>
      <c r="G26">
        <v>24.98</v>
      </c>
      <c r="H26">
        <f t="shared" si="0"/>
        <v>12.744897959183675</v>
      </c>
      <c r="I26">
        <f t="shared" si="1"/>
        <v>23.843520796329862</v>
      </c>
      <c r="J26">
        <f t="shared" si="2"/>
        <v>0</v>
      </c>
      <c r="K26" s="1">
        <v>0.86956521739130432</v>
      </c>
      <c r="L26">
        <f t="shared" si="3"/>
        <v>0</v>
      </c>
      <c r="M26">
        <f t="shared" si="4"/>
        <v>0.46480215984769463</v>
      </c>
    </row>
    <row r="27" spans="1:13" x14ac:dyDescent="0.25">
      <c r="A27" t="s">
        <v>37</v>
      </c>
      <c r="B27">
        <v>2020</v>
      </c>
      <c r="C27" t="s">
        <v>38</v>
      </c>
      <c r="D27">
        <v>10</v>
      </c>
      <c r="E27">
        <v>-54.74</v>
      </c>
      <c r="F27">
        <v>-171.4</v>
      </c>
      <c r="G27">
        <v>61.92</v>
      </c>
      <c r="H27">
        <f t="shared" si="0"/>
        <v>59.520408163265309</v>
      </c>
      <c r="I27">
        <f t="shared" si="1"/>
        <v>188.22005705879752</v>
      </c>
      <c r="J27">
        <f t="shared" si="2"/>
        <v>-0.2908297917628403</v>
      </c>
      <c r="K27">
        <v>0.91428571428571426</v>
      </c>
      <c r="L27">
        <f t="shared" si="3"/>
        <v>0.26590152389745397</v>
      </c>
      <c r="M27">
        <f t="shared" si="4"/>
        <v>0.28912252892968038</v>
      </c>
    </row>
    <row r="28" spans="1:13" x14ac:dyDescent="0.25">
      <c r="A28" t="s">
        <v>37</v>
      </c>
      <c r="B28">
        <v>2020</v>
      </c>
      <c r="C28" t="s">
        <v>39</v>
      </c>
      <c r="D28">
        <v>11</v>
      </c>
      <c r="E28">
        <v>93.17</v>
      </c>
      <c r="F28">
        <v>-89.94</v>
      </c>
      <c r="G28">
        <v>276.27999999999997</v>
      </c>
      <c r="H28">
        <f t="shared" si="0"/>
        <v>93.423469387755091</v>
      </c>
      <c r="I28">
        <f t="shared" si="1"/>
        <v>309.85059457243733</v>
      </c>
      <c r="J28">
        <f t="shared" si="2"/>
        <v>0.30069330713586412</v>
      </c>
      <c r="K28">
        <v>0.92307692307692313</v>
      </c>
      <c r="L28">
        <f t="shared" si="3"/>
        <v>-0.27756305274079768</v>
      </c>
      <c r="M28">
        <f t="shared" si="4"/>
        <v>0.278318164225628</v>
      </c>
    </row>
    <row r="29" spans="1:13" x14ac:dyDescent="0.25">
      <c r="A29" t="s">
        <v>40</v>
      </c>
      <c r="B29">
        <v>2016</v>
      </c>
      <c r="C29" t="s">
        <v>41</v>
      </c>
      <c r="D29">
        <v>10</v>
      </c>
      <c r="E29">
        <v>-44.86</v>
      </c>
      <c r="F29">
        <v>-74.239999999999995</v>
      </c>
      <c r="G29">
        <v>-15.49</v>
      </c>
      <c r="H29">
        <f t="shared" si="0"/>
        <v>14.987244897959183</v>
      </c>
      <c r="I29">
        <f t="shared" si="1"/>
        <v>47.39382972828885</v>
      </c>
      <c r="J29">
        <f t="shared" si="2"/>
        <v>-0.9465367170617901</v>
      </c>
      <c r="K29">
        <v>0.91428571428571426</v>
      </c>
      <c r="L29">
        <f t="shared" si="3"/>
        <v>0.86540499845649377</v>
      </c>
      <c r="M29">
        <f t="shared" si="4"/>
        <v>0.28912252892968038</v>
      </c>
    </row>
    <row r="30" spans="1:13" x14ac:dyDescent="0.25">
      <c r="A30" t="s">
        <v>40</v>
      </c>
      <c r="B30">
        <v>2016</v>
      </c>
      <c r="C30" t="s">
        <v>42</v>
      </c>
      <c r="D30">
        <v>10</v>
      </c>
      <c r="E30">
        <v>-125.84</v>
      </c>
      <c r="F30">
        <v>-210.31</v>
      </c>
      <c r="G30">
        <v>-41.37</v>
      </c>
      <c r="H30">
        <f t="shared" si="0"/>
        <v>43.096938775510203</v>
      </c>
      <c r="I30">
        <f t="shared" si="1"/>
        <v>136.28448671144031</v>
      </c>
      <c r="J30">
        <f t="shared" si="2"/>
        <v>-0.92336261475192871</v>
      </c>
      <c r="K30">
        <v>0.91428571428571426</v>
      </c>
      <c r="L30">
        <f t="shared" si="3"/>
        <v>0.84421724777319196</v>
      </c>
      <c r="M30">
        <f t="shared" si="4"/>
        <v>0.28912252892968038</v>
      </c>
    </row>
    <row r="31" spans="1:13" x14ac:dyDescent="0.25">
      <c r="A31" t="s">
        <v>43</v>
      </c>
      <c r="B31">
        <v>2013</v>
      </c>
      <c r="C31" t="s">
        <v>11</v>
      </c>
      <c r="D31">
        <v>17</v>
      </c>
      <c r="E31">
        <v>81.19</v>
      </c>
      <c r="F31">
        <v>13.22</v>
      </c>
      <c r="G31">
        <v>149.16</v>
      </c>
      <c r="H31">
        <f t="shared" si="0"/>
        <v>34.678571428571431</v>
      </c>
      <c r="I31">
        <f t="shared" si="1"/>
        <v>142.98341294552674</v>
      </c>
      <c r="J31">
        <f t="shared" si="2"/>
        <v>0.56782810206755552</v>
      </c>
      <c r="K31">
        <v>0.95238095238095233</v>
      </c>
      <c r="L31">
        <f t="shared" si="3"/>
        <v>-0.54078866863576713</v>
      </c>
      <c r="M31">
        <f t="shared" si="4"/>
        <v>0.23098630955841234</v>
      </c>
    </row>
    <row r="32" spans="1:13" x14ac:dyDescent="0.25">
      <c r="A32" t="s">
        <v>44</v>
      </c>
      <c r="B32">
        <v>2000</v>
      </c>
      <c r="C32" t="s">
        <v>45</v>
      </c>
      <c r="D32">
        <v>24</v>
      </c>
      <c r="E32">
        <v>22.77</v>
      </c>
      <c r="F32">
        <v>8.18</v>
      </c>
      <c r="G32">
        <v>37.369999999999997</v>
      </c>
      <c r="H32">
        <f t="shared" si="0"/>
        <v>7.4464285714285712</v>
      </c>
      <c r="I32">
        <f t="shared" si="1"/>
        <v>36.479900812163756</v>
      </c>
      <c r="J32">
        <f t="shared" si="2"/>
        <v>0.6241793287005768</v>
      </c>
      <c r="K32">
        <v>0.96703296703296704</v>
      </c>
      <c r="L32">
        <f t="shared" si="3"/>
        <v>-0.60360198819396438</v>
      </c>
      <c r="M32">
        <f t="shared" si="4"/>
        <v>0.197394777806703</v>
      </c>
    </row>
    <row r="33" spans="1:13" x14ac:dyDescent="0.25">
      <c r="A33" t="s">
        <v>46</v>
      </c>
      <c r="B33">
        <v>1984</v>
      </c>
      <c r="C33" t="s">
        <v>3</v>
      </c>
      <c r="D33">
        <v>12</v>
      </c>
      <c r="E33">
        <v>31.46</v>
      </c>
      <c r="F33">
        <v>-24.52</v>
      </c>
      <c r="G33">
        <v>87.44</v>
      </c>
      <c r="H33">
        <f t="shared" si="0"/>
        <v>28.561224489795919</v>
      </c>
      <c r="I33">
        <f t="shared" si="1"/>
        <v>98.938983885414032</v>
      </c>
      <c r="J33">
        <f t="shared" si="2"/>
        <v>0.31797375275690448</v>
      </c>
      <c r="K33">
        <v>0.93023255813953487</v>
      </c>
      <c r="L33">
        <f t="shared" si="3"/>
        <v>-0.29578953744828324</v>
      </c>
      <c r="M33">
        <f t="shared" si="4"/>
        <v>0.26853500892540733</v>
      </c>
    </row>
    <row r="34" spans="1:13" x14ac:dyDescent="0.25">
      <c r="A34" t="s">
        <v>47</v>
      </c>
      <c r="B34">
        <v>2011</v>
      </c>
      <c r="C34" t="s">
        <v>48</v>
      </c>
      <c r="D34">
        <v>4</v>
      </c>
      <c r="E34">
        <v>-0.41</v>
      </c>
      <c r="F34">
        <v>-15</v>
      </c>
      <c r="G34">
        <v>14.17</v>
      </c>
      <c r="H34">
        <f t="shared" si="0"/>
        <v>7.4413265306122458</v>
      </c>
      <c r="I34">
        <f t="shared" si="1"/>
        <v>14.882653061224492</v>
      </c>
      <c r="J34">
        <f t="shared" si="2"/>
        <v>-2.754885155982173E-2</v>
      </c>
      <c r="K34" s="1">
        <v>0.93023255813953487</v>
      </c>
      <c r="L34">
        <f t="shared" si="3"/>
        <v>2.5626838660299283E-2</v>
      </c>
      <c r="M34">
        <f t="shared" si="4"/>
        <v>0.46511627906976744</v>
      </c>
    </row>
    <row r="35" spans="1:13" x14ac:dyDescent="0.25">
      <c r="A35" t="s">
        <v>47</v>
      </c>
      <c r="B35">
        <v>2011</v>
      </c>
      <c r="C35" t="s">
        <v>45</v>
      </c>
      <c r="D35">
        <v>4</v>
      </c>
      <c r="E35">
        <v>-8.9700000000000006</v>
      </c>
      <c r="F35">
        <v>-31.57</v>
      </c>
      <c r="G35">
        <v>13.63</v>
      </c>
      <c r="H35">
        <f t="shared" si="0"/>
        <v>11.530612244897959</v>
      </c>
      <c r="I35">
        <f t="shared" si="1"/>
        <v>23.061224489795919</v>
      </c>
      <c r="J35">
        <f t="shared" si="2"/>
        <v>-0.38896460176991154</v>
      </c>
      <c r="K35" s="1">
        <v>0.93023255813953487</v>
      </c>
      <c r="L35">
        <f t="shared" si="3"/>
        <v>0.36182753653015026</v>
      </c>
      <c r="M35">
        <f t="shared" si="4"/>
        <v>0.46511627906976744</v>
      </c>
    </row>
    <row r="36" spans="1:13" x14ac:dyDescent="0.25">
      <c r="A36" t="s">
        <v>47</v>
      </c>
      <c r="B36">
        <v>2011</v>
      </c>
      <c r="C36" t="s">
        <v>11</v>
      </c>
      <c r="D36">
        <v>4</v>
      </c>
      <c r="E36">
        <v>-13.31</v>
      </c>
      <c r="F36">
        <v>-36.08</v>
      </c>
      <c r="G36">
        <v>9.4700000000000006</v>
      </c>
      <c r="H36">
        <f t="shared" si="0"/>
        <v>11.619897959183673</v>
      </c>
      <c r="I36">
        <f t="shared" si="1"/>
        <v>23.239795918367346</v>
      </c>
      <c r="J36">
        <f t="shared" si="2"/>
        <v>-0.57272447859495068</v>
      </c>
      <c r="K36" s="1">
        <v>0.93023255813953487</v>
      </c>
      <c r="L36">
        <f t="shared" si="3"/>
        <v>0.5327669568325123</v>
      </c>
      <c r="M36">
        <f t="shared" si="4"/>
        <v>0.46511627906976744</v>
      </c>
    </row>
    <row r="37" spans="1:13" x14ac:dyDescent="0.25">
      <c r="A37" t="s">
        <v>49</v>
      </c>
      <c r="B37">
        <v>2016</v>
      </c>
      <c r="C37" t="s">
        <v>50</v>
      </c>
      <c r="D37">
        <v>10</v>
      </c>
      <c r="E37">
        <v>11.78</v>
      </c>
      <c r="F37">
        <v>-43.17</v>
      </c>
      <c r="G37">
        <v>66.73</v>
      </c>
      <c r="H37">
        <f t="shared" si="0"/>
        <v>28.035714285714288</v>
      </c>
      <c r="I37">
        <f t="shared" si="1"/>
        <v>88.656712972577793</v>
      </c>
      <c r="J37">
        <f t="shared" si="2"/>
        <v>0.13287205903566091</v>
      </c>
      <c r="K37" s="1">
        <v>0.97391304347826091</v>
      </c>
      <c r="L37">
        <f t="shared" si="3"/>
        <v>-0.12940583140864367</v>
      </c>
      <c r="M37">
        <f t="shared" si="4"/>
        <v>0.30797834603378998</v>
      </c>
    </row>
    <row r="38" spans="1:13" x14ac:dyDescent="0.25">
      <c r="A38" t="s">
        <v>49</v>
      </c>
      <c r="B38">
        <v>2016</v>
      </c>
      <c r="C38" t="s">
        <v>51</v>
      </c>
      <c r="D38">
        <v>10</v>
      </c>
      <c r="E38">
        <v>-6.85</v>
      </c>
      <c r="F38">
        <v>-44.91</v>
      </c>
      <c r="G38">
        <v>31.2</v>
      </c>
      <c r="H38">
        <f t="shared" si="0"/>
        <v>19.415816326530614</v>
      </c>
      <c r="I38">
        <f t="shared" si="1"/>
        <v>61.398202223320247</v>
      </c>
      <c r="J38">
        <f t="shared" si="2"/>
        <v>-0.11156678456292381</v>
      </c>
      <c r="K38" s="1">
        <v>0.97391304347826091</v>
      </c>
      <c r="L38">
        <f t="shared" si="3"/>
        <v>0.10865634670476058</v>
      </c>
      <c r="M38">
        <f t="shared" si="4"/>
        <v>0.30797834603378998</v>
      </c>
    </row>
    <row r="39" spans="1:13" x14ac:dyDescent="0.25">
      <c r="A39" t="s">
        <v>49</v>
      </c>
      <c r="B39">
        <v>2016</v>
      </c>
      <c r="C39" t="s">
        <v>52</v>
      </c>
      <c r="D39">
        <v>10</v>
      </c>
      <c r="E39">
        <v>-17.78</v>
      </c>
      <c r="F39">
        <v>-50.77</v>
      </c>
      <c r="G39">
        <v>15.21</v>
      </c>
      <c r="H39">
        <f t="shared" si="0"/>
        <v>16.831632653061227</v>
      </c>
      <c r="I39">
        <f t="shared" si="1"/>
        <v>53.226295922936153</v>
      </c>
      <c r="J39">
        <f t="shared" si="2"/>
        <v>-0.33404541292414608</v>
      </c>
      <c r="K39" s="1">
        <v>0.97391304347826091</v>
      </c>
      <c r="L39">
        <f t="shared" si="3"/>
        <v>0.3253311847609075</v>
      </c>
      <c r="M39">
        <f t="shared" si="4"/>
        <v>0.30797834603378998</v>
      </c>
    </row>
    <row r="40" spans="1:13" x14ac:dyDescent="0.25">
      <c r="A40" t="s">
        <v>49</v>
      </c>
      <c r="B40">
        <v>2016</v>
      </c>
      <c r="C40" t="s">
        <v>53</v>
      </c>
      <c r="D40">
        <v>10.333333333333334</v>
      </c>
      <c r="E40">
        <v>104.18</v>
      </c>
      <c r="F40">
        <v>7.03</v>
      </c>
      <c r="G40">
        <v>201.32</v>
      </c>
      <c r="H40">
        <f t="shared" si="0"/>
        <v>49.563775510204081</v>
      </c>
      <c r="I40">
        <f t="shared" si="1"/>
        <v>159.32524713888787</v>
      </c>
      <c r="J40">
        <f t="shared" si="2"/>
        <v>0.65388255703870746</v>
      </c>
      <c r="K40" s="1">
        <v>0.97478991596638653</v>
      </c>
      <c r="L40">
        <f t="shared" si="3"/>
        <v>-0.63739812282764763</v>
      </c>
      <c r="M40">
        <f t="shared" si="4"/>
        <v>0.303243016610242</v>
      </c>
    </row>
    <row r="41" spans="1:13" x14ac:dyDescent="0.25">
      <c r="A41" t="s">
        <v>49</v>
      </c>
      <c r="B41">
        <v>2016</v>
      </c>
      <c r="C41" t="s">
        <v>54</v>
      </c>
      <c r="D41">
        <v>10.333333333333334</v>
      </c>
      <c r="E41">
        <v>113.55</v>
      </c>
      <c r="F41">
        <v>16.77</v>
      </c>
      <c r="G41">
        <v>210.33</v>
      </c>
      <c r="H41">
        <f t="shared" si="0"/>
        <v>49.377551020408163</v>
      </c>
      <c r="I41">
        <f t="shared" si="1"/>
        <v>158.72661915797588</v>
      </c>
      <c r="J41">
        <f t="shared" si="2"/>
        <v>0.71538095249787348</v>
      </c>
      <c r="K41" s="1">
        <v>0.97478991596638653</v>
      </c>
      <c r="L41">
        <f t="shared" si="3"/>
        <v>-0.69734613856935568</v>
      </c>
      <c r="M41">
        <f t="shared" si="4"/>
        <v>0.303243016610242</v>
      </c>
    </row>
    <row r="42" spans="1:13" x14ac:dyDescent="0.25">
      <c r="A42" t="s">
        <v>49</v>
      </c>
      <c r="B42">
        <v>2016</v>
      </c>
      <c r="C42" t="s">
        <v>55</v>
      </c>
      <c r="D42">
        <v>10.333333333333334</v>
      </c>
      <c r="E42">
        <v>102.88</v>
      </c>
      <c r="F42">
        <v>13.01</v>
      </c>
      <c r="G42">
        <v>192.75</v>
      </c>
      <c r="H42">
        <f t="shared" si="0"/>
        <v>45.852040816326536</v>
      </c>
      <c r="I42">
        <f t="shared" si="1"/>
        <v>147.39368943714916</v>
      </c>
      <c r="J42">
        <f t="shared" si="2"/>
        <v>0.69799460474099562</v>
      </c>
      <c r="K42" s="1">
        <v>0.97478991596638653</v>
      </c>
      <c r="L42">
        <f t="shared" si="3"/>
        <v>-0.68039810210046625</v>
      </c>
      <c r="M42">
        <f t="shared" si="4"/>
        <v>0.303243016610242</v>
      </c>
    </row>
    <row r="43" spans="1:13" x14ac:dyDescent="0.25">
      <c r="A43" t="s">
        <v>56</v>
      </c>
      <c r="B43">
        <v>2015</v>
      </c>
      <c r="C43" t="s">
        <v>26</v>
      </c>
      <c r="D43">
        <v>4</v>
      </c>
      <c r="E43">
        <v>-75.709999999999994</v>
      </c>
      <c r="F43">
        <v>-128.19</v>
      </c>
      <c r="G43">
        <v>-23.23</v>
      </c>
      <c r="H43">
        <f t="shared" si="0"/>
        <v>26.77551020408163</v>
      </c>
      <c r="I43">
        <f t="shared" si="1"/>
        <v>53.551020408163261</v>
      </c>
      <c r="J43">
        <f t="shared" si="2"/>
        <v>-1.4137919207317073</v>
      </c>
      <c r="K43" s="1">
        <v>0.88888888888888884</v>
      </c>
      <c r="L43">
        <f t="shared" si="3"/>
        <v>1.2567039295392954</v>
      </c>
      <c r="M43">
        <f t="shared" si="4"/>
        <v>0.44444444444444442</v>
      </c>
    </row>
    <row r="44" spans="1:13" x14ac:dyDescent="0.25">
      <c r="A44" t="s">
        <v>56</v>
      </c>
      <c r="B44">
        <v>2015</v>
      </c>
      <c r="C44" t="s">
        <v>57</v>
      </c>
      <c r="D44">
        <v>4</v>
      </c>
      <c r="E44">
        <v>-37.28</v>
      </c>
      <c r="F44">
        <v>-93.1</v>
      </c>
      <c r="G44">
        <v>18.54</v>
      </c>
      <c r="H44">
        <f t="shared" si="0"/>
        <v>28.479591836734691</v>
      </c>
      <c r="I44">
        <f t="shared" si="1"/>
        <v>56.959183673469383</v>
      </c>
      <c r="J44">
        <f t="shared" si="2"/>
        <v>-0.6545037620924401</v>
      </c>
      <c r="K44" s="1">
        <v>0.88888888888888884</v>
      </c>
      <c r="L44">
        <f t="shared" si="3"/>
        <v>0.58178112185994668</v>
      </c>
      <c r="M44">
        <f t="shared" si="4"/>
        <v>0.44444444444444442</v>
      </c>
    </row>
    <row r="45" spans="1:13" x14ac:dyDescent="0.25">
      <c r="A45" t="s">
        <v>56</v>
      </c>
      <c r="B45">
        <v>2015</v>
      </c>
      <c r="C45" t="s">
        <v>28</v>
      </c>
      <c r="D45">
        <v>4</v>
      </c>
      <c r="E45">
        <v>-37.520000000000003</v>
      </c>
      <c r="F45">
        <v>-125.38</v>
      </c>
      <c r="G45">
        <v>50.35</v>
      </c>
      <c r="H45">
        <f t="shared" si="0"/>
        <v>44.829081632653057</v>
      </c>
      <c r="I45">
        <f t="shared" si="1"/>
        <v>89.658163265306115</v>
      </c>
      <c r="J45">
        <f t="shared" si="2"/>
        <v>-0.41847834746486096</v>
      </c>
      <c r="K45" s="1">
        <v>0.88888888888888884</v>
      </c>
      <c r="L45">
        <f t="shared" si="3"/>
        <v>0.37198075330209862</v>
      </c>
      <c r="M45">
        <f t="shared" si="4"/>
        <v>0.44444444444444436</v>
      </c>
    </row>
    <row r="46" spans="1:13" x14ac:dyDescent="0.25">
      <c r="A46" t="s">
        <v>56</v>
      </c>
      <c r="B46">
        <v>2015</v>
      </c>
      <c r="C46" t="s">
        <v>58</v>
      </c>
      <c r="D46">
        <v>4</v>
      </c>
      <c r="E46">
        <v>-85.42</v>
      </c>
      <c r="F46">
        <v>-172.54</v>
      </c>
      <c r="G46">
        <v>1.69</v>
      </c>
      <c r="H46">
        <f t="shared" si="0"/>
        <v>44.446428571428569</v>
      </c>
      <c r="I46">
        <f t="shared" si="1"/>
        <v>88.892857142857139</v>
      </c>
      <c r="J46">
        <f t="shared" si="2"/>
        <v>-0.96093210124548023</v>
      </c>
      <c r="K46" s="1">
        <v>0.88888888888888884</v>
      </c>
      <c r="L46">
        <f t="shared" si="3"/>
        <v>0.85416186777376013</v>
      </c>
      <c r="M46">
        <f t="shared" si="4"/>
        <v>0.44444444444444442</v>
      </c>
    </row>
    <row r="47" spans="1:13" x14ac:dyDescent="0.25">
      <c r="A47" t="s">
        <v>59</v>
      </c>
      <c r="B47">
        <v>1990</v>
      </c>
      <c r="C47" t="s">
        <v>45</v>
      </c>
      <c r="D47">
        <v>7</v>
      </c>
      <c r="E47">
        <v>-19.87</v>
      </c>
      <c r="F47">
        <v>-66.13</v>
      </c>
      <c r="G47">
        <v>26.4</v>
      </c>
      <c r="H47">
        <f t="shared" si="0"/>
        <v>23.604591836734695</v>
      </c>
      <c r="I47">
        <f t="shared" si="1"/>
        <v>62.451879799185356</v>
      </c>
      <c r="J47">
        <f t="shared" si="2"/>
        <v>-0.31816496259027244</v>
      </c>
      <c r="K47">
        <v>0.86956521739130432</v>
      </c>
      <c r="L47">
        <f t="shared" si="3"/>
        <v>0.27666518486110647</v>
      </c>
      <c r="M47">
        <f t="shared" si="4"/>
        <v>0.32866475913845844</v>
      </c>
    </row>
    <row r="48" spans="1:13" x14ac:dyDescent="0.25">
      <c r="A48" t="s">
        <v>60</v>
      </c>
      <c r="B48">
        <v>2016</v>
      </c>
      <c r="C48" t="s">
        <v>61</v>
      </c>
      <c r="D48">
        <v>20</v>
      </c>
      <c r="E48">
        <v>4.3899999999999997</v>
      </c>
      <c r="F48">
        <v>-11.82</v>
      </c>
      <c r="G48">
        <v>20.6</v>
      </c>
      <c r="H48">
        <f t="shared" si="0"/>
        <v>8.2704081632653068</v>
      </c>
      <c r="I48">
        <f t="shared" si="1"/>
        <v>36.986389709460809</v>
      </c>
      <c r="J48">
        <f t="shared" si="2"/>
        <v>0.11869230910301781</v>
      </c>
      <c r="K48">
        <v>0.96</v>
      </c>
      <c r="L48">
        <f t="shared" si="3"/>
        <v>-0.11394461673889709</v>
      </c>
      <c r="M48">
        <f t="shared" si="4"/>
        <v>0.2146625258399798</v>
      </c>
    </row>
    <row r="49" spans="1:13" x14ac:dyDescent="0.25">
      <c r="A49" t="s">
        <v>62</v>
      </c>
      <c r="B49">
        <v>2016</v>
      </c>
      <c r="C49" t="s">
        <v>48</v>
      </c>
      <c r="D49">
        <v>3.3333333333333335</v>
      </c>
      <c r="E49">
        <v>13.72</v>
      </c>
      <c r="F49">
        <v>-49.35</v>
      </c>
      <c r="G49">
        <v>76.790000000000006</v>
      </c>
      <c r="H49">
        <f t="shared" si="0"/>
        <v>32.178571428571431</v>
      </c>
      <c r="I49">
        <f t="shared" si="1"/>
        <v>58.749764799066035</v>
      </c>
      <c r="J49">
        <f t="shared" si="2"/>
        <v>0.23353284982373432</v>
      </c>
      <c r="K49" s="1">
        <v>0.91428571428571426</v>
      </c>
      <c r="L49">
        <f t="shared" si="3"/>
        <v>-0.21351574841027138</v>
      </c>
      <c r="M49">
        <f t="shared" si="4"/>
        <v>0.50077490971900895</v>
      </c>
    </row>
    <row r="50" spans="1:13" x14ac:dyDescent="0.25">
      <c r="A50" t="s">
        <v>62</v>
      </c>
      <c r="B50">
        <v>2016</v>
      </c>
      <c r="C50" t="s">
        <v>63</v>
      </c>
      <c r="D50">
        <v>3.3333333333333335</v>
      </c>
      <c r="E50">
        <v>-0.49</v>
      </c>
      <c r="F50">
        <v>-64.02</v>
      </c>
      <c r="G50">
        <v>63.05</v>
      </c>
      <c r="H50">
        <f t="shared" si="0"/>
        <v>32.41581632653061</v>
      </c>
      <c r="I50">
        <f t="shared" si="1"/>
        <v>59.182912739950218</v>
      </c>
      <c r="J50">
        <f t="shared" si="2"/>
        <v>-8.2794167660023843E-3</v>
      </c>
      <c r="K50" s="1">
        <v>0.91428571428571426</v>
      </c>
      <c r="L50">
        <f t="shared" si="3"/>
        <v>7.5697524717736079E-3</v>
      </c>
      <c r="M50">
        <f t="shared" si="4"/>
        <v>0.50077490971900895</v>
      </c>
    </row>
    <row r="51" spans="1:13" x14ac:dyDescent="0.25">
      <c r="A51" t="s">
        <v>62</v>
      </c>
      <c r="B51">
        <v>2016</v>
      </c>
      <c r="C51" t="s">
        <v>11</v>
      </c>
      <c r="D51">
        <v>3.3333333333333335</v>
      </c>
      <c r="E51">
        <v>-5.3</v>
      </c>
      <c r="F51">
        <v>-56.2</v>
      </c>
      <c r="G51">
        <v>45.6</v>
      </c>
      <c r="H51">
        <f t="shared" si="0"/>
        <v>25.969387755102044</v>
      </c>
      <c r="I51">
        <f t="shared" si="1"/>
        <v>47.413398260226124</v>
      </c>
      <c r="J51">
        <f t="shared" si="2"/>
        <v>-0.11178274906411914</v>
      </c>
      <c r="K51" s="1">
        <v>0.91428571428571426</v>
      </c>
      <c r="L51">
        <f t="shared" si="3"/>
        <v>0.10220137057290893</v>
      </c>
      <c r="M51">
        <f t="shared" si="4"/>
        <v>0.50077490971900895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2026-01-31T00:40:15Z</dcterms:modified>
</cp:coreProperties>
</file>