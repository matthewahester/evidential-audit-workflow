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NNS\zare2024\"/>
    </mc:Choice>
  </mc:AlternateContent>
  <xr:revisionPtr revIDLastSave="0" documentId="13_ncr:1_{CF962016-942A-4D95-9CD3-36405BB9800E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I13" i="1"/>
  <c r="J13" i="1" s="1"/>
  <c r="K13" i="1"/>
  <c r="M13" i="1" s="1"/>
  <c r="I14" i="1"/>
  <c r="J14" i="1" s="1"/>
  <c r="K14" i="1"/>
  <c r="I15" i="1"/>
  <c r="J15" i="1" s="1"/>
  <c r="K15" i="1"/>
  <c r="I16" i="1"/>
  <c r="J16" i="1" s="1"/>
  <c r="K16" i="1"/>
  <c r="I17" i="1"/>
  <c r="J17" i="1" s="1"/>
  <c r="K17" i="1"/>
  <c r="M17" i="1" s="1"/>
  <c r="I18" i="1"/>
  <c r="J18" i="1" s="1"/>
  <c r="K18" i="1"/>
  <c r="I19" i="1"/>
  <c r="J19" i="1"/>
  <c r="K19" i="1"/>
  <c r="M19" i="1"/>
  <c r="I20" i="1"/>
  <c r="J20" i="1" s="1"/>
  <c r="K20" i="1"/>
  <c r="M20" i="1"/>
  <c r="I21" i="1"/>
  <c r="J21" i="1" s="1"/>
  <c r="K21" i="1"/>
  <c r="M21" i="1" s="1"/>
  <c r="I22" i="1"/>
  <c r="J22" i="1"/>
  <c r="K22" i="1"/>
  <c r="I23" i="1"/>
  <c r="J23" i="1"/>
  <c r="K23" i="1"/>
  <c r="I24" i="1"/>
  <c r="J24" i="1" s="1"/>
  <c r="K24" i="1"/>
  <c r="M24" i="1"/>
  <c r="I25" i="1"/>
  <c r="J25" i="1"/>
  <c r="K25" i="1"/>
  <c r="M25" i="1"/>
  <c r="I26" i="1"/>
  <c r="J26" i="1"/>
  <c r="K26" i="1"/>
  <c r="M26" i="1"/>
  <c r="I27" i="1"/>
  <c r="M27" i="1" s="1"/>
  <c r="K27" i="1"/>
  <c r="I28" i="1"/>
  <c r="J28" i="1" s="1"/>
  <c r="K28" i="1"/>
  <c r="I29" i="1"/>
  <c r="J29" i="1"/>
  <c r="K29" i="1"/>
  <c r="M29" i="1" s="1"/>
  <c r="I30" i="1"/>
  <c r="J30" i="1" s="1"/>
  <c r="K30" i="1"/>
  <c r="I31" i="1"/>
  <c r="J31" i="1"/>
  <c r="K31" i="1"/>
  <c r="M31" i="1"/>
  <c r="I32" i="1"/>
  <c r="J32" i="1" s="1"/>
  <c r="K32" i="1"/>
  <c r="M32" i="1"/>
  <c r="M11" i="1"/>
  <c r="M12" i="1"/>
  <c r="K12" i="1"/>
  <c r="J10" i="1"/>
  <c r="J12" i="1"/>
  <c r="I12" i="1"/>
  <c r="I3" i="1"/>
  <c r="J3" i="1" s="1"/>
  <c r="K3" i="1"/>
  <c r="I4" i="1"/>
  <c r="J4" i="1"/>
  <c r="K4" i="1"/>
  <c r="M4" i="1" s="1"/>
  <c r="I5" i="1"/>
  <c r="M5" i="1" s="1"/>
  <c r="J5" i="1"/>
  <c r="K5" i="1"/>
  <c r="I6" i="1"/>
  <c r="J6" i="1" s="1"/>
  <c r="K6" i="1"/>
  <c r="I7" i="1"/>
  <c r="J7" i="1" s="1"/>
  <c r="K7" i="1"/>
  <c r="M7" i="1" s="1"/>
  <c r="I8" i="1"/>
  <c r="J8" i="1"/>
  <c r="K8" i="1"/>
  <c r="I9" i="1"/>
  <c r="J9" i="1"/>
  <c r="K9" i="1"/>
  <c r="M9" i="1"/>
  <c r="I10" i="1"/>
  <c r="K10" i="1"/>
  <c r="I11" i="1"/>
  <c r="J11" i="1"/>
  <c r="K11" i="1"/>
  <c r="M2" i="1"/>
  <c r="K2" i="1"/>
  <c r="J2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  <c r="J27" i="1" l="1"/>
  <c r="M14" i="1"/>
  <c r="M28" i="1"/>
  <c r="M16" i="1"/>
  <c r="M23" i="1"/>
  <c r="M30" i="1"/>
  <c r="M18" i="1"/>
  <c r="M15" i="1"/>
  <c r="M22" i="1"/>
  <c r="M6" i="1"/>
  <c r="M8" i="1"/>
  <c r="M3" i="1"/>
  <c r="M10" i="1"/>
</calcChain>
</file>

<file path=xl/sharedStrings.xml><?xml version="1.0" encoding="utf-8"?>
<sst xmlns="http://schemas.openxmlformats.org/spreadsheetml/2006/main" count="75" uniqueCount="41">
  <si>
    <t>Author</t>
  </si>
  <si>
    <t>Year</t>
  </si>
  <si>
    <t>WMD</t>
  </si>
  <si>
    <t>lCI</t>
  </si>
  <si>
    <t>uCI</t>
  </si>
  <si>
    <t>Design</t>
  </si>
  <si>
    <t>n</t>
  </si>
  <si>
    <t>Paul Chan</t>
  </si>
  <si>
    <t>Parallel</t>
  </si>
  <si>
    <t>Hsieh</t>
  </si>
  <si>
    <t>Gregersen</t>
  </si>
  <si>
    <t>Crossover</t>
  </si>
  <si>
    <t>da Silva</t>
  </si>
  <si>
    <t>Ferri</t>
  </si>
  <si>
    <t>GEUNS</t>
  </si>
  <si>
    <t>Maki</t>
  </si>
  <si>
    <t>Barriocanal</t>
  </si>
  <si>
    <t>Stephen D. Anton</t>
  </si>
  <si>
    <t>HAZALI</t>
  </si>
  <si>
    <t>Pallarés</t>
  </si>
  <si>
    <t>Mathur Ritu</t>
  </si>
  <si>
    <t>Siew Ling Tey</t>
  </si>
  <si>
    <t>Jamil Ahmad</t>
  </si>
  <si>
    <t>D Toora</t>
  </si>
  <si>
    <t>Kelly A Higgins</t>
  </si>
  <si>
    <t>Nikoleta S. Stamataki</t>
  </si>
  <si>
    <t>Nikoleta S Stamataki</t>
  </si>
  <si>
    <t>M. Ajami</t>
  </si>
  <si>
    <t>D'ebora Villaño</t>
  </si>
  <si>
    <t>Jribi</t>
  </si>
  <si>
    <t>Verónica Sambra</t>
  </si>
  <si>
    <t>Simoens</t>
  </si>
  <si>
    <t>Tobias Rüttgens</t>
  </si>
  <si>
    <t>Gibbons</t>
  </si>
  <si>
    <t>Kwok</t>
  </si>
  <si>
    <t>se_wmd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</si>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</sst>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D10" sqref="D10"/>
    </sheetView>
  </sheetViews>
  <sheetFormatPr defaultRowHeight="15" x14ac:dyDescent="0.25"/>
  <cols>
    <col min="1" max="1" width="20" bestFit="1" customWidth="1"/>
    <col min="2" max="2" width="5" bestFit="1" customWidth="1"/>
    <col min="3" max="3" width="6.7109375" bestFit="1" customWidth="1"/>
    <col min="4" max="4" width="7.7109375" bestFit="1" customWidth="1"/>
    <col min="5" max="5" width="6.7109375" bestFit="1" customWidth="1"/>
    <col min="6" max="6" width="6.7109375" customWidth="1"/>
    <col min="7" max="7" width="9.7109375" bestFit="1" customWidth="1"/>
    <col min="8" max="8" width="4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5</v>
      </c>
      <c r="H1" t="s">
        <v>6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3" x14ac:dyDescent="0.25">
      <c r="A2" t="s">
        <v>10</v>
      </c>
      <c r="B2">
        <v>2004</v>
      </c>
      <c r="C2">
        <v>-2.16</v>
      </c>
      <c r="D2">
        <v>-20.329999999999998</v>
      </c>
      <c r="E2">
        <v>16.010000000000002</v>
      </c>
      <c r="F2">
        <f>(E2-D2)/2/1.96</f>
        <v>9.2704081632653068</v>
      </c>
      <c r="G2" t="s">
        <v>11</v>
      </c>
      <c r="H2">
        <v>12</v>
      </c>
      <c r="I2">
        <f>F2*SQRT(H2)</f>
        <v>32.113635891353574</v>
      </c>
      <c r="J2">
        <f>C2/I2</f>
        <v>-6.7261147485998887E-2</v>
      </c>
      <c r="K2">
        <f>1-3/(4*(H2-1)-1)</f>
        <v>0.93023255813953487</v>
      </c>
      <c r="L2">
        <f>-K2*J2</f>
        <v>6.2568509289301286E-2</v>
      </c>
      <c r="M2">
        <f>K2*F2/I2</f>
        <v>0.26853500892540733</v>
      </c>
    </row>
    <row r="3" spans="1:13" x14ac:dyDescent="0.25">
      <c r="A3" t="s">
        <v>17</v>
      </c>
      <c r="B3">
        <v>2010</v>
      </c>
      <c r="C3">
        <v>3.84</v>
      </c>
      <c r="D3">
        <v>-1.0900000000000001</v>
      </c>
      <c r="E3">
        <v>8.77</v>
      </c>
      <c r="F3">
        <f t="shared" ref="F3:F32" si="0">(E3-D3)/2/1.96</f>
        <v>2.5153061224489797</v>
      </c>
      <c r="G3" t="s">
        <v>11</v>
      </c>
      <c r="H3">
        <v>31</v>
      </c>
      <c r="I3">
        <f t="shared" ref="I3:I11" si="1">F3*SQRT(H3)</f>
        <v>14.004631790179594</v>
      </c>
      <c r="J3">
        <f t="shared" ref="J3:J11" si="2">C3/I3</f>
        <v>0.27419499902115996</v>
      </c>
      <c r="K3">
        <f t="shared" ref="K3:K11" si="3">1-3/(4*(H3-1)-1)</f>
        <v>0.97478991596638653</v>
      </c>
      <c r="L3">
        <f t="shared" ref="L3:L32" si="4">-K3*J3</f>
        <v>-0.26728252005423997</v>
      </c>
      <c r="M3">
        <f t="shared" ref="M3:M12" si="5">K3*F3/I3</f>
        <v>0.17507743726979741</v>
      </c>
    </row>
    <row r="4" spans="1:13" x14ac:dyDescent="0.25">
      <c r="A4" t="s">
        <v>19</v>
      </c>
      <c r="B4">
        <v>2015</v>
      </c>
      <c r="C4">
        <v>-82.8</v>
      </c>
      <c r="D4">
        <v>-97.42</v>
      </c>
      <c r="E4">
        <v>-68.180000000000007</v>
      </c>
      <c r="F4">
        <f t="shared" si="0"/>
        <v>7.4591836734693864</v>
      </c>
      <c r="G4" t="s">
        <v>11</v>
      </c>
      <c r="H4">
        <v>113</v>
      </c>
      <c r="I4">
        <f t="shared" si="1"/>
        <v>79.292210092949261</v>
      </c>
      <c r="J4">
        <f t="shared" si="2"/>
        <v>-1.0442387707813765</v>
      </c>
      <c r="K4">
        <f t="shared" si="3"/>
        <v>0.99328859060402686</v>
      </c>
      <c r="L4">
        <f t="shared" si="4"/>
        <v>1.0372304568835149</v>
      </c>
      <c r="M4">
        <f t="shared" si="5"/>
        <v>9.3440730550853959E-2</v>
      </c>
    </row>
    <row r="5" spans="1:13" x14ac:dyDescent="0.25">
      <c r="A5" t="s">
        <v>21</v>
      </c>
      <c r="B5">
        <v>2017</v>
      </c>
      <c r="C5">
        <v>7.2</v>
      </c>
      <c r="D5">
        <v>-1.33</v>
      </c>
      <c r="E5">
        <v>15.73</v>
      </c>
      <c r="F5">
        <f t="shared" si="0"/>
        <v>4.3520408163265314</v>
      </c>
      <c r="G5" t="s">
        <v>11</v>
      </c>
      <c r="H5">
        <v>30</v>
      </c>
      <c r="I5">
        <f t="shared" si="1"/>
        <v>23.837109262852387</v>
      </c>
      <c r="J5">
        <f t="shared" si="2"/>
        <v>0.30205004812477149</v>
      </c>
      <c r="K5">
        <f t="shared" si="3"/>
        <v>0.97391304347826091</v>
      </c>
      <c r="L5">
        <f t="shared" si="4"/>
        <v>-0.29417048165195137</v>
      </c>
      <c r="M5">
        <f t="shared" si="5"/>
        <v>0.17781138098718438</v>
      </c>
    </row>
    <row r="6" spans="1:13" x14ac:dyDescent="0.25">
      <c r="A6" t="s">
        <v>22</v>
      </c>
      <c r="B6">
        <v>2018</v>
      </c>
      <c r="C6">
        <v>1.66</v>
      </c>
      <c r="D6">
        <v>-2.4500000000000002</v>
      </c>
      <c r="E6">
        <v>5.77</v>
      </c>
      <c r="F6">
        <f t="shared" si="0"/>
        <v>2.0969387755102038</v>
      </c>
      <c r="G6" t="s">
        <v>11</v>
      </c>
      <c r="H6">
        <v>20</v>
      </c>
      <c r="I6">
        <f t="shared" si="1"/>
        <v>9.3777952933919746</v>
      </c>
      <c r="J6">
        <f t="shared" si="2"/>
        <v>0.17701388738669868</v>
      </c>
      <c r="K6">
        <f t="shared" si="3"/>
        <v>0.96</v>
      </c>
      <c r="L6">
        <f t="shared" si="4"/>
        <v>-0.16993333189123072</v>
      </c>
      <c r="M6">
        <f t="shared" si="5"/>
        <v>0.2146625258399798</v>
      </c>
    </row>
    <row r="7" spans="1:13" x14ac:dyDescent="0.25">
      <c r="A7" t="s">
        <v>25</v>
      </c>
      <c r="B7">
        <v>2020</v>
      </c>
      <c r="C7">
        <v>-2.34</v>
      </c>
      <c r="D7">
        <v>-15.41</v>
      </c>
      <c r="E7">
        <v>10.73</v>
      </c>
      <c r="F7">
        <f t="shared" si="0"/>
        <v>6.6683673469387754</v>
      </c>
      <c r="G7" t="s">
        <v>11</v>
      </c>
      <c r="H7">
        <v>20</v>
      </c>
      <c r="I7">
        <f t="shared" si="1"/>
        <v>29.821845373390055</v>
      </c>
      <c r="J7">
        <f t="shared" si="2"/>
        <v>-7.8465969181369805E-2</v>
      </c>
      <c r="K7">
        <f t="shared" si="3"/>
        <v>0.96</v>
      </c>
      <c r="L7">
        <f t="shared" si="4"/>
        <v>7.5327330414115004E-2</v>
      </c>
      <c r="M7">
        <f t="shared" si="5"/>
        <v>0.21466252583997977</v>
      </c>
    </row>
    <row r="8" spans="1:13" x14ac:dyDescent="0.25">
      <c r="A8" t="s">
        <v>30</v>
      </c>
      <c r="B8">
        <v>2022</v>
      </c>
      <c r="C8">
        <v>10.98</v>
      </c>
      <c r="D8">
        <v>5.97</v>
      </c>
      <c r="E8">
        <v>15.99</v>
      </c>
      <c r="F8">
        <f t="shared" si="0"/>
        <v>2.556122448979592</v>
      </c>
      <c r="G8" t="s">
        <v>11</v>
      </c>
      <c r="H8">
        <v>33</v>
      </c>
      <c r="I8">
        <f t="shared" si="1"/>
        <v>14.683805540385471</v>
      </c>
      <c r="J8">
        <f t="shared" si="2"/>
        <v>0.74776255854119411</v>
      </c>
      <c r="K8">
        <f t="shared" si="3"/>
        <v>0.97637795275590555</v>
      </c>
      <c r="L8">
        <f t="shared" si="4"/>
        <v>-0.73009887605596913</v>
      </c>
      <c r="M8">
        <f t="shared" si="5"/>
        <v>0.16996558534257111</v>
      </c>
    </row>
    <row r="9" spans="1:13" x14ac:dyDescent="0.25">
      <c r="A9" t="s">
        <v>31</v>
      </c>
      <c r="B9">
        <v>2022</v>
      </c>
      <c r="C9">
        <v>-9.65</v>
      </c>
      <c r="D9">
        <v>-44.65</v>
      </c>
      <c r="E9">
        <v>25.35</v>
      </c>
      <c r="F9">
        <f t="shared" si="0"/>
        <v>17.857142857142858</v>
      </c>
      <c r="G9" t="s">
        <v>11</v>
      </c>
      <c r="H9">
        <v>30</v>
      </c>
      <c r="I9">
        <f t="shared" si="1"/>
        <v>97.807599554493947</v>
      </c>
      <c r="J9">
        <f t="shared" si="2"/>
        <v>-9.8663090025263925E-2</v>
      </c>
      <c r="K9">
        <f t="shared" si="3"/>
        <v>0.97391304347826091</v>
      </c>
      <c r="L9">
        <f t="shared" si="4"/>
        <v>9.608927028547444E-2</v>
      </c>
      <c r="M9">
        <f t="shared" si="5"/>
        <v>0.17781138098718438</v>
      </c>
    </row>
    <row r="10" spans="1:13" x14ac:dyDescent="0.25">
      <c r="A10" t="s">
        <v>32</v>
      </c>
      <c r="B10">
        <v>2022</v>
      </c>
      <c r="C10">
        <v>-63.38</v>
      </c>
      <c r="D10">
        <v>-111.67</v>
      </c>
      <c r="E10">
        <v>-15.09</v>
      </c>
      <c r="F10">
        <f t="shared" si="0"/>
        <v>24.637755102040817</v>
      </c>
      <c r="G10" t="s">
        <v>11</v>
      </c>
      <c r="H10">
        <v>36</v>
      </c>
      <c r="I10">
        <f t="shared" si="1"/>
        <v>147.82653061224491</v>
      </c>
      <c r="J10">
        <f>C10/I10</f>
        <v>-0.42874577207151238</v>
      </c>
      <c r="K10">
        <f t="shared" si="3"/>
        <v>0.97841726618705038</v>
      </c>
      <c r="L10">
        <f t="shared" si="4"/>
        <v>0.41949226619946534</v>
      </c>
      <c r="M10">
        <f t="shared" si="5"/>
        <v>0.16306954436450838</v>
      </c>
    </row>
    <row r="11" spans="1:13" x14ac:dyDescent="0.25">
      <c r="A11" t="s">
        <v>33</v>
      </c>
      <c r="B11">
        <v>2024</v>
      </c>
      <c r="C11">
        <v>0.92</v>
      </c>
      <c r="D11">
        <v>-3.76</v>
      </c>
      <c r="E11">
        <v>5.6</v>
      </c>
      <c r="F11">
        <f t="shared" si="0"/>
        <v>2.3877551020408161</v>
      </c>
      <c r="G11" t="s">
        <v>11</v>
      </c>
      <c r="H11">
        <v>53</v>
      </c>
      <c r="I11">
        <f t="shared" si="1"/>
        <v>17.383119531547358</v>
      </c>
      <c r="J11">
        <f t="shared" si="2"/>
        <v>5.2924907887238477E-2</v>
      </c>
      <c r="K11">
        <f t="shared" si="3"/>
        <v>0.98550724637681164</v>
      </c>
      <c r="L11">
        <f t="shared" si="4"/>
        <v>-5.2157880236698789E-2</v>
      </c>
      <c r="M11">
        <f>K11*F11/I11</f>
        <v>0.13536983113783849</v>
      </c>
    </row>
    <row r="12" spans="1:13" x14ac:dyDescent="0.25">
      <c r="A12" t="s">
        <v>7</v>
      </c>
      <c r="B12">
        <v>2000</v>
      </c>
      <c r="C12">
        <v>-0.01</v>
      </c>
      <c r="D12">
        <v>-3.89</v>
      </c>
      <c r="E12">
        <v>3.87</v>
      </c>
      <c r="F12">
        <f t="shared" si="0"/>
        <v>1.9795918367346939</v>
      </c>
      <c r="G12" t="s">
        <v>8</v>
      </c>
      <c r="H12">
        <v>106</v>
      </c>
      <c r="I12">
        <f>F12*SQRT(H12/4)</f>
        <v>10.190572690568766</v>
      </c>
      <c r="J12">
        <f>C12/I12</f>
        <v>-9.812991186702257E-4</v>
      </c>
      <c r="K12">
        <f>1-3/(4*(H12-2)-1)</f>
        <v>0.9927710843373494</v>
      </c>
      <c r="L12">
        <f t="shared" si="4"/>
        <v>9.7420539010152532E-4</v>
      </c>
      <c r="M12">
        <f>K12*F12/I12</f>
        <v>0.19285290375479172</v>
      </c>
    </row>
    <row r="13" spans="1:13" x14ac:dyDescent="0.25">
      <c r="A13" t="s">
        <v>9</v>
      </c>
      <c r="B13">
        <v>2003</v>
      </c>
      <c r="C13">
        <v>-5.0999999999999996</v>
      </c>
      <c r="D13">
        <v>-7.82</v>
      </c>
      <c r="E13">
        <v>-2.38</v>
      </c>
      <c r="F13">
        <f t="shared" si="0"/>
        <v>1.3877551020408165</v>
      </c>
      <c r="G13" t="s">
        <v>8</v>
      </c>
      <c r="H13">
        <v>168</v>
      </c>
      <c r="I13">
        <f t="shared" ref="I13:I32" si="6">F13*SQRT(H13/4)</f>
        <v>8.9936809692190725</v>
      </c>
      <c r="J13">
        <f t="shared" ref="J13:J32" si="7">C13/I13</f>
        <v>-0.56706481111068763</v>
      </c>
      <c r="K13">
        <f t="shared" ref="K13:K32" si="8">1-3/(4*(H13-2)-1)</f>
        <v>0.99547511312217196</v>
      </c>
      <c r="L13">
        <f t="shared" si="4"/>
        <v>0.56449890698801486</v>
      </c>
      <c r="M13">
        <f t="shared" ref="M13:M32" si="9">K13*F13/I13</f>
        <v>0.15360514475864354</v>
      </c>
    </row>
    <row r="14" spans="1:13" x14ac:dyDescent="0.25">
      <c r="A14" t="s">
        <v>12</v>
      </c>
      <c r="B14">
        <v>2006</v>
      </c>
      <c r="C14">
        <v>-2.27</v>
      </c>
      <c r="D14">
        <v>-9.2899999999999991</v>
      </c>
      <c r="E14">
        <v>4.75</v>
      </c>
      <c r="F14">
        <f t="shared" si="0"/>
        <v>3.5816326530612241</v>
      </c>
      <c r="G14" t="s">
        <v>8</v>
      </c>
      <c r="H14">
        <v>43</v>
      </c>
      <c r="I14">
        <f t="shared" si="6"/>
        <v>11.743167969540826</v>
      </c>
      <c r="J14">
        <f t="shared" si="7"/>
        <v>-0.19330388579026347</v>
      </c>
      <c r="K14">
        <f t="shared" si="8"/>
        <v>0.98159509202453987</v>
      </c>
      <c r="L14">
        <f t="shared" si="4"/>
        <v>0.18974614556099481</v>
      </c>
      <c r="M14">
        <f t="shared" si="9"/>
        <v>0.29938369635848772</v>
      </c>
    </row>
    <row r="15" spans="1:13" x14ac:dyDescent="0.25">
      <c r="A15" t="s">
        <v>13</v>
      </c>
      <c r="B15">
        <v>2006</v>
      </c>
      <c r="C15">
        <v>-1.9</v>
      </c>
      <c r="D15">
        <v>-7.28</v>
      </c>
      <c r="E15">
        <v>3.48</v>
      </c>
      <c r="F15">
        <f t="shared" si="0"/>
        <v>2.7448979591836733</v>
      </c>
      <c r="G15" t="s">
        <v>8</v>
      </c>
      <c r="H15">
        <v>14</v>
      </c>
      <c r="I15">
        <f t="shared" si="6"/>
        <v>5.1352338624601535</v>
      </c>
      <c r="J15">
        <f t="shared" si="7"/>
        <v>-0.3699928865731853</v>
      </c>
      <c r="K15">
        <f t="shared" si="8"/>
        <v>0.93617021276595747</v>
      </c>
      <c r="L15">
        <f t="shared" si="4"/>
        <v>0.34637631934510965</v>
      </c>
      <c r="M15">
        <f t="shared" si="9"/>
        <v>0.50040402741049683</v>
      </c>
    </row>
    <row r="16" spans="1:13" x14ac:dyDescent="0.25">
      <c r="A16" t="s">
        <v>14</v>
      </c>
      <c r="B16">
        <v>2007</v>
      </c>
      <c r="C16">
        <v>-0.9</v>
      </c>
      <c r="D16">
        <v>-4.83</v>
      </c>
      <c r="E16">
        <v>3.03</v>
      </c>
      <c r="F16">
        <f t="shared" si="0"/>
        <v>2.0051020408163263</v>
      </c>
      <c r="G16" t="s">
        <v>8</v>
      </c>
      <c r="H16">
        <v>10</v>
      </c>
      <c r="I16">
        <f t="shared" si="6"/>
        <v>3.1703446950157472</v>
      </c>
      <c r="J16">
        <f t="shared" si="7"/>
        <v>-0.28388080369145152</v>
      </c>
      <c r="K16">
        <f t="shared" si="8"/>
        <v>0.90322580645161288</v>
      </c>
      <c r="L16">
        <f t="shared" si="4"/>
        <v>0.25640846785034332</v>
      </c>
      <c r="M16">
        <f t="shared" si="9"/>
        <v>0.57125015796590073</v>
      </c>
    </row>
    <row r="17" spans="1:13" x14ac:dyDescent="0.25">
      <c r="A17" t="s">
        <v>15</v>
      </c>
      <c r="B17">
        <v>2008</v>
      </c>
      <c r="C17">
        <v>-1.78</v>
      </c>
      <c r="D17">
        <v>-21.16</v>
      </c>
      <c r="E17">
        <v>17.600000000000001</v>
      </c>
      <c r="F17">
        <f t="shared" si="0"/>
        <v>9.887755102040817</v>
      </c>
      <c r="G17" t="s">
        <v>8</v>
      </c>
      <c r="H17">
        <v>122</v>
      </c>
      <c r="I17">
        <f t="shared" si="6"/>
        <v>54.606912375788042</v>
      </c>
      <c r="J17">
        <f t="shared" si="7"/>
        <v>-3.2596605861005018E-2</v>
      </c>
      <c r="K17">
        <f t="shared" si="8"/>
        <v>0.99373695198329859</v>
      </c>
      <c r="L17">
        <f t="shared" si="4"/>
        <v>3.2392451753316051E-2</v>
      </c>
      <c r="M17">
        <f t="shared" si="9"/>
        <v>0.17993743263565271</v>
      </c>
    </row>
    <row r="18" spans="1:13" x14ac:dyDescent="0.25">
      <c r="A18" t="s">
        <v>16</v>
      </c>
      <c r="B18">
        <v>2008</v>
      </c>
      <c r="C18">
        <v>-68.599999999999994</v>
      </c>
      <c r="D18">
        <v>-129</v>
      </c>
      <c r="E18">
        <v>-8.1999999999999993</v>
      </c>
      <c r="F18">
        <f t="shared" si="0"/>
        <v>30.816326530612244</v>
      </c>
      <c r="G18" t="s">
        <v>8</v>
      </c>
      <c r="H18">
        <v>76</v>
      </c>
      <c r="I18">
        <f t="shared" si="6"/>
        <v>134.32525315809016</v>
      </c>
      <c r="J18">
        <f t="shared" si="7"/>
        <v>-0.51070069392881201</v>
      </c>
      <c r="K18">
        <f t="shared" si="8"/>
        <v>0.98983050847457632</v>
      </c>
      <c r="L18">
        <f t="shared" si="4"/>
        <v>0.50550712754987492</v>
      </c>
      <c r="M18">
        <f t="shared" si="9"/>
        <v>0.22708269250916621</v>
      </c>
    </row>
    <row r="19" spans="1:13" x14ac:dyDescent="0.25">
      <c r="A19" t="s">
        <v>16</v>
      </c>
      <c r="B19">
        <v>2008</v>
      </c>
      <c r="C19">
        <v>-5</v>
      </c>
      <c r="D19">
        <v>-30.86</v>
      </c>
      <c r="E19">
        <v>20.86</v>
      </c>
      <c r="F19">
        <f t="shared" si="0"/>
        <v>13.193877551020408</v>
      </c>
      <c r="G19" t="s">
        <v>8</v>
      </c>
      <c r="H19">
        <v>76</v>
      </c>
      <c r="I19">
        <f t="shared" si="6"/>
        <v>57.510778918347874</v>
      </c>
      <c r="J19">
        <f t="shared" si="7"/>
        <v>-8.6940223972602662E-2</v>
      </c>
      <c r="K19">
        <f t="shared" si="8"/>
        <v>0.98983050847457632</v>
      </c>
      <c r="L19">
        <f t="shared" si="4"/>
        <v>8.6056086101694837E-2</v>
      </c>
      <c r="M19">
        <f t="shared" si="9"/>
        <v>0.22708269250916618</v>
      </c>
    </row>
    <row r="20" spans="1:13" x14ac:dyDescent="0.25">
      <c r="A20" t="s">
        <v>16</v>
      </c>
      <c r="B20">
        <v>2008</v>
      </c>
      <c r="C20">
        <v>-0.6</v>
      </c>
      <c r="D20">
        <v>-5.24</v>
      </c>
      <c r="E20">
        <v>4.04</v>
      </c>
      <c r="F20">
        <f t="shared" si="0"/>
        <v>2.3673469387755106</v>
      </c>
      <c r="G20" t="s">
        <v>8</v>
      </c>
      <c r="H20">
        <v>76</v>
      </c>
      <c r="I20">
        <f t="shared" si="6"/>
        <v>10.319026070422822</v>
      </c>
      <c r="J20">
        <f t="shared" si="7"/>
        <v>-5.8145022205125116E-2</v>
      </c>
      <c r="K20">
        <f t="shared" si="8"/>
        <v>0.98983050847457632</v>
      </c>
      <c r="L20">
        <f t="shared" si="4"/>
        <v>5.7553716894564524E-2</v>
      </c>
      <c r="M20">
        <f t="shared" si="9"/>
        <v>0.22708269250916618</v>
      </c>
    </row>
    <row r="21" spans="1:13" x14ac:dyDescent="0.25">
      <c r="A21" t="s">
        <v>18</v>
      </c>
      <c r="B21">
        <v>2014</v>
      </c>
      <c r="C21">
        <v>5.4</v>
      </c>
      <c r="D21">
        <v>1.87</v>
      </c>
      <c r="E21">
        <v>8.93</v>
      </c>
      <c r="F21">
        <f t="shared" si="0"/>
        <v>1.8010204081632653</v>
      </c>
      <c r="G21" t="s">
        <v>8</v>
      </c>
      <c r="H21">
        <v>32</v>
      </c>
      <c r="I21">
        <f t="shared" si="6"/>
        <v>5.094054974670434</v>
      </c>
      <c r="J21">
        <f t="shared" si="7"/>
        <v>1.0600592311725807</v>
      </c>
      <c r="K21">
        <f t="shared" si="8"/>
        <v>0.97478991596638653</v>
      </c>
      <c r="L21">
        <f t="shared" si="4"/>
        <v>-1.0333350488741122</v>
      </c>
      <c r="M21">
        <f t="shared" si="9"/>
        <v>0.3446402799060484</v>
      </c>
    </row>
    <row r="22" spans="1:13" x14ac:dyDescent="0.25">
      <c r="A22" t="s">
        <v>18</v>
      </c>
      <c r="B22">
        <v>2014</v>
      </c>
      <c r="C22">
        <v>5.4</v>
      </c>
      <c r="D22">
        <v>2.25</v>
      </c>
      <c r="E22">
        <v>8.5500000000000007</v>
      </c>
      <c r="F22">
        <f t="shared" si="0"/>
        <v>1.6071428571428574</v>
      </c>
      <c r="G22" t="s">
        <v>8</v>
      </c>
      <c r="H22">
        <v>32</v>
      </c>
      <c r="I22">
        <f t="shared" si="6"/>
        <v>4.5456864504849497</v>
      </c>
      <c r="J22">
        <f t="shared" si="7"/>
        <v>1.1879393923933996</v>
      </c>
      <c r="K22">
        <f t="shared" si="8"/>
        <v>0.97478991596638653</v>
      </c>
      <c r="L22">
        <f t="shared" si="4"/>
        <v>-1.1579913404843223</v>
      </c>
      <c r="M22">
        <f t="shared" si="9"/>
        <v>0.34464027990604834</v>
      </c>
    </row>
    <row r="23" spans="1:13" x14ac:dyDescent="0.25">
      <c r="A23" t="s">
        <v>20</v>
      </c>
      <c r="B23">
        <v>2016</v>
      </c>
      <c r="C23">
        <v>-32.729999999999997</v>
      </c>
      <c r="D23">
        <v>-55.15</v>
      </c>
      <c r="E23">
        <v>-10.31</v>
      </c>
      <c r="F23">
        <f t="shared" si="0"/>
        <v>11.438775510204081</v>
      </c>
      <c r="G23" t="s">
        <v>8</v>
      </c>
      <c r="H23">
        <v>20</v>
      </c>
      <c r="I23">
        <f t="shared" si="6"/>
        <v>25.577879620176166</v>
      </c>
      <c r="J23">
        <f t="shared" si="7"/>
        <v>-1.2796213167796029</v>
      </c>
      <c r="K23">
        <f t="shared" si="8"/>
        <v>0.95774647887323949</v>
      </c>
      <c r="L23">
        <f t="shared" si="4"/>
        <v>1.2255528104368028</v>
      </c>
      <c r="M23">
        <f t="shared" si="9"/>
        <v>0.42831724639432589</v>
      </c>
    </row>
    <row r="24" spans="1:13" x14ac:dyDescent="0.25">
      <c r="A24" t="s">
        <v>20</v>
      </c>
      <c r="B24">
        <v>2016</v>
      </c>
      <c r="C24">
        <v>-20.13</v>
      </c>
      <c r="D24">
        <v>-45.65</v>
      </c>
      <c r="E24">
        <v>5.39</v>
      </c>
      <c r="F24">
        <f t="shared" si="0"/>
        <v>13.020408163265307</v>
      </c>
      <c r="G24" t="s">
        <v>8</v>
      </c>
      <c r="H24">
        <v>20</v>
      </c>
      <c r="I24">
        <f t="shared" si="6"/>
        <v>29.114517747854407</v>
      </c>
      <c r="J24">
        <f t="shared" si="7"/>
        <v>-0.69140763980140041</v>
      </c>
      <c r="K24">
        <f t="shared" si="8"/>
        <v>0.95774647887323949</v>
      </c>
      <c r="L24">
        <f t="shared" si="4"/>
        <v>0.66219323248584827</v>
      </c>
      <c r="M24">
        <f t="shared" si="9"/>
        <v>0.42831724639432589</v>
      </c>
    </row>
    <row r="25" spans="1:13" x14ac:dyDescent="0.25">
      <c r="A25" t="s">
        <v>23</v>
      </c>
      <c r="B25">
        <v>2018</v>
      </c>
      <c r="C25">
        <v>-5.8</v>
      </c>
      <c r="D25">
        <v>-8.76</v>
      </c>
      <c r="E25">
        <v>-2.84</v>
      </c>
      <c r="F25">
        <f t="shared" si="0"/>
        <v>1.510204081632653</v>
      </c>
      <c r="G25" t="s">
        <v>8</v>
      </c>
      <c r="H25">
        <v>30</v>
      </c>
      <c r="I25">
        <f t="shared" si="6"/>
        <v>4.1358642097328868</v>
      </c>
      <c r="J25">
        <f t="shared" si="7"/>
        <v>-1.4023671247114253</v>
      </c>
      <c r="K25">
        <f t="shared" si="8"/>
        <v>0.97297297297297303</v>
      </c>
      <c r="L25">
        <f t="shared" si="4"/>
        <v>1.3644653105300355</v>
      </c>
      <c r="M25">
        <f t="shared" si="9"/>
        <v>0.35527949676010778</v>
      </c>
    </row>
    <row r="26" spans="1:13" x14ac:dyDescent="0.25">
      <c r="A26" t="s">
        <v>24</v>
      </c>
      <c r="B26">
        <v>2019</v>
      </c>
      <c r="C26">
        <v>5.07</v>
      </c>
      <c r="D26">
        <v>-20.6</v>
      </c>
      <c r="E26">
        <v>30.74</v>
      </c>
      <c r="F26">
        <f t="shared" si="0"/>
        <v>13.096938775510205</v>
      </c>
      <c r="G26" t="s">
        <v>8</v>
      </c>
      <c r="H26">
        <v>154</v>
      </c>
      <c r="I26">
        <f t="shared" si="6"/>
        <v>81.264367982802383</v>
      </c>
      <c r="J26">
        <f t="shared" si="7"/>
        <v>6.2388967340187056E-2</v>
      </c>
      <c r="K26">
        <f t="shared" si="8"/>
        <v>0.99505766062602963</v>
      </c>
      <c r="L26">
        <f t="shared" si="4"/>
        <v>-6.2080619890400299E-2</v>
      </c>
      <c r="M26">
        <f t="shared" si="9"/>
        <v>0.16036806269236561</v>
      </c>
    </row>
    <row r="27" spans="1:13" x14ac:dyDescent="0.25">
      <c r="A27" t="s">
        <v>26</v>
      </c>
      <c r="B27">
        <v>2020</v>
      </c>
      <c r="C27">
        <v>3.42</v>
      </c>
      <c r="D27">
        <v>-6.22</v>
      </c>
      <c r="E27">
        <v>13.06</v>
      </c>
      <c r="F27">
        <f t="shared" si="0"/>
        <v>4.9183673469387763</v>
      </c>
      <c r="G27" t="s">
        <v>8</v>
      </c>
      <c r="H27">
        <v>28</v>
      </c>
      <c r="I27">
        <f t="shared" si="6"/>
        <v>13.01277685646054</v>
      </c>
      <c r="J27">
        <f t="shared" si="7"/>
        <v>0.26281861571322107</v>
      </c>
      <c r="K27">
        <f t="shared" si="8"/>
        <v>0.970873786407767</v>
      </c>
      <c r="L27">
        <f t="shared" si="4"/>
        <v>-0.25516370457594278</v>
      </c>
      <c r="M27">
        <f t="shared" si="9"/>
        <v>0.36695579903808467</v>
      </c>
    </row>
    <row r="28" spans="1:13" x14ac:dyDescent="0.25">
      <c r="A28" t="s">
        <v>27</v>
      </c>
      <c r="B28">
        <v>2020</v>
      </c>
      <c r="C28">
        <v>-20.79</v>
      </c>
      <c r="D28">
        <v>-55.37</v>
      </c>
      <c r="E28">
        <v>13.79</v>
      </c>
      <c r="F28">
        <f t="shared" si="0"/>
        <v>17.642857142857142</v>
      </c>
      <c r="G28" t="s">
        <v>8</v>
      </c>
      <c r="H28">
        <v>34</v>
      </c>
      <c r="I28">
        <f t="shared" si="6"/>
        <v>51.437325643813899</v>
      </c>
      <c r="J28">
        <f t="shared" si="7"/>
        <v>-0.40418119993181068</v>
      </c>
      <c r="K28">
        <f t="shared" si="8"/>
        <v>0.97637795275590555</v>
      </c>
      <c r="L28">
        <f t="shared" si="4"/>
        <v>0.39463361253184664</v>
      </c>
      <c r="M28">
        <f t="shared" si="9"/>
        <v>0.33489487492395431</v>
      </c>
    </row>
    <row r="29" spans="1:13" x14ac:dyDescent="0.25">
      <c r="A29" t="s">
        <v>27</v>
      </c>
      <c r="B29">
        <v>2020</v>
      </c>
      <c r="C29">
        <v>-9.34</v>
      </c>
      <c r="D29">
        <v>-35.65</v>
      </c>
      <c r="E29">
        <v>16.97</v>
      </c>
      <c r="F29">
        <f t="shared" si="0"/>
        <v>13.423469387755102</v>
      </c>
      <c r="G29" t="s">
        <v>8</v>
      </c>
      <c r="H29">
        <v>34</v>
      </c>
      <c r="I29">
        <f t="shared" si="6"/>
        <v>39.135802130964251</v>
      </c>
      <c r="J29">
        <f t="shared" si="7"/>
        <v>-0.23865615348178057</v>
      </c>
      <c r="K29">
        <f t="shared" si="8"/>
        <v>0.97637795275590555</v>
      </c>
      <c r="L29">
        <f t="shared" si="4"/>
        <v>0.23301860654914008</v>
      </c>
      <c r="M29">
        <f t="shared" si="9"/>
        <v>0.33489487492395426</v>
      </c>
    </row>
    <row r="30" spans="1:13" x14ac:dyDescent="0.25">
      <c r="A30" t="s">
        <v>28</v>
      </c>
      <c r="B30">
        <v>2021</v>
      </c>
      <c r="C30">
        <v>-9.4</v>
      </c>
      <c r="D30">
        <v>-13.04</v>
      </c>
      <c r="E30">
        <v>-5.76</v>
      </c>
      <c r="F30">
        <f t="shared" si="0"/>
        <v>1.857142857142857</v>
      </c>
      <c r="G30" t="s">
        <v>8</v>
      </c>
      <c r="H30">
        <v>91</v>
      </c>
      <c r="I30">
        <f t="shared" si="6"/>
        <v>8.8580068703002084</v>
      </c>
      <c r="J30">
        <f t="shared" si="7"/>
        <v>-1.0611868039431114</v>
      </c>
      <c r="K30">
        <f t="shared" si="8"/>
        <v>0.9915492957746479</v>
      </c>
      <c r="L30">
        <f t="shared" si="4"/>
        <v>1.0522190281351413</v>
      </c>
      <c r="M30">
        <f t="shared" si="9"/>
        <v>0.20788521832457199</v>
      </c>
    </row>
    <row r="31" spans="1:13" x14ac:dyDescent="0.25">
      <c r="A31" t="s">
        <v>29</v>
      </c>
      <c r="B31">
        <v>2021</v>
      </c>
      <c r="C31">
        <v>-9.48</v>
      </c>
      <c r="D31">
        <v>-14.06</v>
      </c>
      <c r="E31">
        <v>-4.9000000000000004</v>
      </c>
      <c r="F31">
        <f t="shared" si="0"/>
        <v>2.3367346938775513</v>
      </c>
      <c r="G31" t="s">
        <v>8</v>
      </c>
      <c r="H31">
        <v>12</v>
      </c>
      <c r="I31">
        <f t="shared" si="6"/>
        <v>4.047343213604826</v>
      </c>
      <c r="J31">
        <f t="shared" si="7"/>
        <v>-2.3422772667595191</v>
      </c>
      <c r="K31">
        <f t="shared" si="8"/>
        <v>0.92307692307692313</v>
      </c>
      <c r="L31">
        <f t="shared" si="4"/>
        <v>2.1621020923934022</v>
      </c>
      <c r="M31">
        <f t="shared" si="9"/>
        <v>0.53293871002119308</v>
      </c>
    </row>
    <row r="32" spans="1:13" x14ac:dyDescent="0.25">
      <c r="A32" t="s">
        <v>34</v>
      </c>
      <c r="B32">
        <v>2024</v>
      </c>
      <c r="C32">
        <v>-1.26</v>
      </c>
      <c r="D32">
        <v>-4.37</v>
      </c>
      <c r="E32">
        <v>1.85</v>
      </c>
      <c r="F32">
        <f t="shared" si="0"/>
        <v>1.5867346938775513</v>
      </c>
      <c r="G32" t="s">
        <v>8</v>
      </c>
      <c r="H32">
        <v>59</v>
      </c>
      <c r="I32">
        <f t="shared" si="6"/>
        <v>6.0939702234365747</v>
      </c>
      <c r="J32">
        <f t="shared" si="7"/>
        <v>-0.20676175855835538</v>
      </c>
      <c r="K32">
        <f t="shared" si="8"/>
        <v>0.986784140969163</v>
      </c>
      <c r="L32">
        <f t="shared" si="4"/>
        <v>0.20402922430428019</v>
      </c>
      <c r="M32">
        <f t="shared" si="9"/>
        <v>0.25693670537184626</v>
      </c>
    </row>
  </sheetData>
  <sortState xmlns:xlrd2="http://schemas.microsoft.com/office/spreadsheetml/2017/richdata2" ref="A2:H32">
    <sortCondition ref="G2:G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2026-02-02T02:47:28Z</dcterms:modified>
</cp:coreProperties>
</file>