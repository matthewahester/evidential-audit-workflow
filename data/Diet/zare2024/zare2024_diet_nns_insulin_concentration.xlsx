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NNS\zare2024\"/>
    </mc:Choice>
  </mc:AlternateContent>
  <xr:revisionPtr revIDLastSave="0" documentId="13_ncr:1_{44A2800E-CA63-4EDE-B67C-AFFC4CB7AB40}" xr6:coauthVersionLast="47" xr6:coauthVersionMax="47" xr10:uidLastSave="{00000000-0000-0000-0000-000000000000}"/>
  <bookViews>
    <workbookView xWindow="528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2" i="1"/>
  <c r="I9" i="1"/>
  <c r="J9" i="1" s="1"/>
  <c r="K9" i="1"/>
  <c r="I10" i="1"/>
  <c r="J10" i="1"/>
  <c r="K10" i="1"/>
  <c r="M10" i="1"/>
  <c r="I11" i="1"/>
  <c r="M11" i="1" s="1"/>
  <c r="J11" i="1"/>
  <c r="K11" i="1"/>
  <c r="I12" i="1"/>
  <c r="J12" i="1" s="1"/>
  <c r="K12" i="1"/>
  <c r="M12" i="1"/>
  <c r="I13" i="1"/>
  <c r="J13" i="1" s="1"/>
  <c r="K13" i="1"/>
  <c r="M13" i="1" s="1"/>
  <c r="I14" i="1"/>
  <c r="J14" i="1" s="1"/>
  <c r="K14" i="1"/>
  <c r="I15" i="1"/>
  <c r="J15" i="1"/>
  <c r="K15" i="1"/>
  <c r="M15" i="1"/>
  <c r="I16" i="1"/>
  <c r="J16" i="1" s="1"/>
  <c r="K16" i="1"/>
  <c r="I8" i="1"/>
  <c r="J8" i="1" s="1"/>
  <c r="K8" i="1"/>
  <c r="I3" i="1"/>
  <c r="J3" i="1" s="1"/>
  <c r="K3" i="1"/>
  <c r="I4" i="1"/>
  <c r="J4" i="1"/>
  <c r="K4" i="1"/>
  <c r="M4" i="1"/>
  <c r="I5" i="1"/>
  <c r="J5" i="1" s="1"/>
  <c r="K5" i="1"/>
  <c r="I6" i="1"/>
  <c r="J6" i="1" s="1"/>
  <c r="K6" i="1"/>
  <c r="M6" i="1"/>
  <c r="I7" i="1"/>
  <c r="J7" i="1"/>
  <c r="K7" i="1"/>
  <c r="M7" i="1" s="1"/>
  <c r="K2" i="1"/>
  <c r="M2" i="1" s="1"/>
  <c r="I2" i="1"/>
  <c r="J2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M14" i="1" l="1"/>
  <c r="M9" i="1"/>
  <c r="M16" i="1"/>
  <c r="M8" i="1"/>
  <c r="M3" i="1"/>
  <c r="M5" i="1"/>
</calcChain>
</file>

<file path=xl/sharedStrings.xml><?xml version="1.0" encoding="utf-8"?>
<sst xmlns="http://schemas.openxmlformats.org/spreadsheetml/2006/main" count="43" uniqueCount="29">
  <si>
    <t>Author</t>
  </si>
  <si>
    <t>Year</t>
  </si>
  <si>
    <t>WMD</t>
  </si>
  <si>
    <t>lCI</t>
  </si>
  <si>
    <t>uCI</t>
  </si>
  <si>
    <t>Design</t>
  </si>
  <si>
    <t>n</t>
  </si>
  <si>
    <t>Gregersen</t>
  </si>
  <si>
    <t>Crossover</t>
  </si>
  <si>
    <t>Ferri</t>
  </si>
  <si>
    <t>Parallel</t>
  </si>
  <si>
    <t>GEUNS</t>
  </si>
  <si>
    <t>Maki</t>
  </si>
  <si>
    <t>Barriocanal</t>
  </si>
  <si>
    <t>Stephen D. Anton</t>
  </si>
  <si>
    <t>Siew Ling Tey</t>
  </si>
  <si>
    <t>Kelly A Higgins</t>
  </si>
  <si>
    <t>Nikoleta S. Stamataki</t>
  </si>
  <si>
    <t>M. Ajami</t>
  </si>
  <si>
    <t>D'ebora Villaño</t>
  </si>
  <si>
    <t>Simoens</t>
  </si>
  <si>
    <t>Gibbons</t>
  </si>
  <si>
    <t>Kwok</t>
  </si>
  <si>
    <t>se_wmd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</si>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</sst>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selection activeCell="J7" sqref="J7"/>
    </sheetView>
  </sheetViews>
  <sheetFormatPr defaultRowHeight="15" x14ac:dyDescent="0.25"/>
  <cols>
    <col min="1" max="1" width="20" bestFit="1" customWidth="1"/>
    <col min="2" max="2" width="5" bestFit="1" customWidth="1"/>
    <col min="3" max="3" width="6.7109375" bestFit="1" customWidth="1"/>
    <col min="4" max="4" width="7.7109375" bestFit="1" customWidth="1"/>
    <col min="5" max="5" width="6" bestFit="1" customWidth="1"/>
    <col min="6" max="6" width="6" customWidth="1"/>
    <col min="7" max="7" width="9.7109375" bestFit="1" customWidth="1"/>
    <col min="8" max="8" width="4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</v>
      </c>
      <c r="G1" t="s">
        <v>5</v>
      </c>
      <c r="H1" t="s">
        <v>6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 x14ac:dyDescent="0.25">
      <c r="A2" t="s">
        <v>7</v>
      </c>
      <c r="B2">
        <v>2004</v>
      </c>
      <c r="C2">
        <v>-0.41</v>
      </c>
      <c r="D2">
        <v>-3.97</v>
      </c>
      <c r="E2">
        <v>3.15</v>
      </c>
      <c r="F2">
        <f>(E2-D2)/2/1.96</f>
        <v>1.8163265306122449</v>
      </c>
      <c r="G2" t="s">
        <v>8</v>
      </c>
      <c r="H2">
        <v>12</v>
      </c>
      <c r="I2">
        <f>F2*SQRT(H2)</f>
        <v>6.2919396683114313</v>
      </c>
      <c r="J2">
        <f>C2/I2</f>
        <v>-6.5162735438312261E-2</v>
      </c>
      <c r="K2">
        <f>1-3/(4*(H2-1)-1)</f>
        <v>0.93023255813953487</v>
      </c>
      <c r="L2">
        <f>K2*J2</f>
        <v>-6.0616498082150937E-2</v>
      </c>
      <c r="M2">
        <f>K2*F2/I2</f>
        <v>0.26853500892540733</v>
      </c>
    </row>
    <row r="3" spans="1:13" x14ac:dyDescent="0.25">
      <c r="A3" t="s">
        <v>14</v>
      </c>
      <c r="B3">
        <v>2010</v>
      </c>
      <c r="C3">
        <v>3.81</v>
      </c>
      <c r="D3">
        <v>1.56</v>
      </c>
      <c r="E3">
        <v>6.06</v>
      </c>
      <c r="F3">
        <f t="shared" ref="F3:F16" si="0">(E3-D3)/2/1.96</f>
        <v>1.1479591836734695</v>
      </c>
      <c r="G3" t="s">
        <v>8</v>
      </c>
      <c r="H3">
        <v>31</v>
      </c>
      <c r="I3">
        <f t="shared" ref="I3:I7" si="1">F3*SQRT(H3)</f>
        <v>6.3915662328405869</v>
      </c>
      <c r="J3">
        <f t="shared" ref="J3:J7" si="2">C3/I3</f>
        <v>0.59609802374006404</v>
      </c>
      <c r="K3">
        <f t="shared" ref="K3:K7" si="3">1-3/(4*(H3-1)-1)</f>
        <v>0.97478991596638653</v>
      </c>
      <c r="L3">
        <f t="shared" ref="L3:L16" si="4">K3*J3</f>
        <v>0.58107034246930611</v>
      </c>
      <c r="M3">
        <f t="shared" ref="M3:M7" si="5">K3*F3/I3</f>
        <v>0.17507743726979738</v>
      </c>
    </row>
    <row r="4" spans="1:13" x14ac:dyDescent="0.25">
      <c r="A4" t="s">
        <v>15</v>
      </c>
      <c r="B4">
        <v>2017</v>
      </c>
      <c r="C4">
        <v>7.47</v>
      </c>
      <c r="D4">
        <v>-4.3099999999999996</v>
      </c>
      <c r="E4">
        <v>19.25</v>
      </c>
      <c r="F4">
        <f t="shared" si="0"/>
        <v>6.0102040816326525</v>
      </c>
      <c r="G4" t="s">
        <v>8</v>
      </c>
      <c r="H4">
        <v>30</v>
      </c>
      <c r="I4">
        <f t="shared" si="1"/>
        <v>32.919243507198246</v>
      </c>
      <c r="J4">
        <f t="shared" si="2"/>
        <v>0.22691894479186867</v>
      </c>
      <c r="K4">
        <f t="shared" si="3"/>
        <v>0.97391304347826091</v>
      </c>
      <c r="L4">
        <f t="shared" si="4"/>
        <v>0.22099932014512427</v>
      </c>
      <c r="M4">
        <f t="shared" si="5"/>
        <v>0.17781138098718435</v>
      </c>
    </row>
    <row r="5" spans="1:13" x14ac:dyDescent="0.25">
      <c r="A5" t="s">
        <v>17</v>
      </c>
      <c r="B5">
        <v>2020</v>
      </c>
      <c r="C5">
        <v>-11.74</v>
      </c>
      <c r="D5">
        <v>-32.770000000000003</v>
      </c>
      <c r="E5">
        <v>9.2899999999999991</v>
      </c>
      <c r="F5">
        <f t="shared" si="0"/>
        <v>10.729591836734695</v>
      </c>
      <c r="G5" t="s">
        <v>8</v>
      </c>
      <c r="H5">
        <v>20</v>
      </c>
      <c r="I5">
        <f t="shared" si="1"/>
        <v>47.984193435531211</v>
      </c>
      <c r="J5">
        <f t="shared" si="2"/>
        <v>-0.24466390199458465</v>
      </c>
      <c r="K5">
        <f t="shared" si="3"/>
        <v>0.96</v>
      </c>
      <c r="L5">
        <f t="shared" si="4"/>
        <v>-0.23487734591480125</v>
      </c>
      <c r="M5">
        <f t="shared" si="5"/>
        <v>0.21466252583997977</v>
      </c>
    </row>
    <row r="6" spans="1:13" x14ac:dyDescent="0.25">
      <c r="A6" t="s">
        <v>20</v>
      </c>
      <c r="B6">
        <v>2022</v>
      </c>
      <c r="C6">
        <v>-5.46</v>
      </c>
      <c r="D6">
        <v>-23.83</v>
      </c>
      <c r="E6">
        <v>12.91</v>
      </c>
      <c r="F6">
        <f t="shared" si="0"/>
        <v>9.3724489795918355</v>
      </c>
      <c r="G6" t="s">
        <v>8</v>
      </c>
      <c r="H6">
        <v>30</v>
      </c>
      <c r="I6">
        <f t="shared" si="1"/>
        <v>51.335017251887244</v>
      </c>
      <c r="J6">
        <f t="shared" si="2"/>
        <v>-0.10636014736703478</v>
      </c>
      <c r="K6">
        <f t="shared" si="3"/>
        <v>0.97391304347826091</v>
      </c>
      <c r="L6">
        <f t="shared" si="4"/>
        <v>-0.10358553482702518</v>
      </c>
      <c r="M6">
        <f t="shared" si="5"/>
        <v>0.17781138098718438</v>
      </c>
    </row>
    <row r="7" spans="1:13" x14ac:dyDescent="0.25">
      <c r="A7" t="s">
        <v>21</v>
      </c>
      <c r="B7">
        <v>2024</v>
      </c>
      <c r="C7">
        <v>5.7</v>
      </c>
      <c r="D7">
        <v>1</v>
      </c>
      <c r="E7">
        <v>10.4</v>
      </c>
      <c r="F7">
        <f t="shared" si="0"/>
        <v>2.3979591836734695</v>
      </c>
      <c r="G7" t="s">
        <v>8</v>
      </c>
      <c r="H7">
        <v>53</v>
      </c>
      <c r="I7">
        <f t="shared" si="1"/>
        <v>17.457406367152263</v>
      </c>
      <c r="J7">
        <f t="shared" si="2"/>
        <v>0.32650898307122422</v>
      </c>
      <c r="K7">
        <f t="shared" si="3"/>
        <v>0.98550724637681164</v>
      </c>
      <c r="L7">
        <f t="shared" si="4"/>
        <v>0.32177696882381518</v>
      </c>
      <c r="M7">
        <f t="shared" si="5"/>
        <v>0.13536983113783849</v>
      </c>
    </row>
    <row r="8" spans="1:13" x14ac:dyDescent="0.25">
      <c r="A8" t="s">
        <v>9</v>
      </c>
      <c r="B8">
        <v>2006</v>
      </c>
      <c r="C8">
        <v>0.2</v>
      </c>
      <c r="D8">
        <v>-3.19</v>
      </c>
      <c r="E8">
        <v>3.59</v>
      </c>
      <c r="F8">
        <f t="shared" si="0"/>
        <v>1.7295918367346939</v>
      </c>
      <c r="G8" t="s">
        <v>10</v>
      </c>
      <c r="H8">
        <v>14</v>
      </c>
      <c r="I8">
        <f>F8*SQRT(H8/4)</f>
        <v>3.2357700360111381</v>
      </c>
      <c r="J8">
        <f>C8/I8</f>
        <v>6.180908957502676E-2</v>
      </c>
      <c r="K8">
        <f>1-3/(4*(H8-2)-1)</f>
        <v>0.93617021276595747</v>
      </c>
      <c r="L8">
        <f t="shared" si="4"/>
        <v>5.7863828538322927E-2</v>
      </c>
      <c r="M8">
        <f>K8*F8/I8</f>
        <v>0.50040402741049672</v>
      </c>
    </row>
    <row r="9" spans="1:13" x14ac:dyDescent="0.25">
      <c r="A9" t="s">
        <v>11</v>
      </c>
      <c r="B9">
        <v>2007</v>
      </c>
      <c r="C9">
        <v>0.9</v>
      </c>
      <c r="D9">
        <v>-0.67</v>
      </c>
      <c r="E9">
        <v>2.4700000000000002</v>
      </c>
      <c r="F9">
        <f t="shared" si="0"/>
        <v>0.80102040816326536</v>
      </c>
      <c r="G9" t="s">
        <v>10</v>
      </c>
      <c r="H9">
        <v>10</v>
      </c>
      <c r="I9">
        <f t="shared" ref="I9:I16" si="6">F9*SQRT(H9/4)</f>
        <v>1.2665244710368255</v>
      </c>
      <c r="J9">
        <f t="shared" ref="J9:J16" si="7">C9/I9</f>
        <v>0.71060608822127658</v>
      </c>
      <c r="K9">
        <f t="shared" ref="K9:K16" si="8">1-3/(4*(H9-2)-1)</f>
        <v>0.90322580645161288</v>
      </c>
      <c r="L9">
        <f t="shared" si="4"/>
        <v>0.64183775710308855</v>
      </c>
      <c r="M9">
        <f t="shared" ref="M9:M16" si="9">K9*F9/I9</f>
        <v>0.57125015796590073</v>
      </c>
    </row>
    <row r="10" spans="1:13" x14ac:dyDescent="0.25">
      <c r="A10" t="s">
        <v>12</v>
      </c>
      <c r="B10">
        <v>2008</v>
      </c>
      <c r="C10">
        <v>-2.2999999999999998</v>
      </c>
      <c r="D10">
        <v>-6.75</v>
      </c>
      <c r="E10">
        <v>2.15</v>
      </c>
      <c r="F10">
        <f t="shared" si="0"/>
        <v>2.2704081632653064</v>
      </c>
      <c r="G10" t="s">
        <v>10</v>
      </c>
      <c r="H10">
        <v>122</v>
      </c>
      <c r="I10">
        <f t="shared" si="6"/>
        <v>12.538738909817173</v>
      </c>
      <c r="J10">
        <f t="shared" si="7"/>
        <v>-0.18343152501558357</v>
      </c>
      <c r="K10">
        <f t="shared" si="8"/>
        <v>0.99373695198329859</v>
      </c>
      <c r="L10">
        <f t="shared" si="4"/>
        <v>-0.18228268456663421</v>
      </c>
      <c r="M10">
        <f t="shared" si="9"/>
        <v>0.17993743263565271</v>
      </c>
    </row>
    <row r="11" spans="1:13" x14ac:dyDescent="0.25">
      <c r="A11" t="s">
        <v>13</v>
      </c>
      <c r="B11">
        <v>2008</v>
      </c>
      <c r="C11">
        <v>-2.2999999999999998</v>
      </c>
      <c r="D11">
        <v>-9.06</v>
      </c>
      <c r="E11">
        <v>4.46</v>
      </c>
      <c r="F11">
        <f t="shared" si="0"/>
        <v>3.4489795918367347</v>
      </c>
      <c r="G11" t="s">
        <v>10</v>
      </c>
      <c r="H11">
        <v>76</v>
      </c>
      <c r="I11">
        <f t="shared" si="6"/>
        <v>15.033753499150489</v>
      </c>
      <c r="J11">
        <f t="shared" si="7"/>
        <v>-0.15298907223202546</v>
      </c>
      <c r="K11">
        <f t="shared" si="8"/>
        <v>0.98983050847457632</v>
      </c>
      <c r="L11">
        <f t="shared" si="4"/>
        <v>-0.15143325115847944</v>
      </c>
      <c r="M11">
        <f t="shared" si="9"/>
        <v>0.22708269250916621</v>
      </c>
    </row>
    <row r="12" spans="1:13" x14ac:dyDescent="0.25">
      <c r="A12" t="s">
        <v>13</v>
      </c>
      <c r="B12">
        <v>2008</v>
      </c>
      <c r="C12">
        <v>0.4</v>
      </c>
      <c r="D12">
        <v>-2.73</v>
      </c>
      <c r="E12">
        <v>3.53</v>
      </c>
      <c r="F12">
        <f t="shared" si="0"/>
        <v>1.596938775510204</v>
      </c>
      <c r="G12" t="s">
        <v>10</v>
      </c>
      <c r="H12">
        <v>76</v>
      </c>
      <c r="I12">
        <f t="shared" si="6"/>
        <v>6.9608947414705655</v>
      </c>
      <c r="J12">
        <f t="shared" si="7"/>
        <v>5.7463877110070428E-2</v>
      </c>
      <c r="K12">
        <f t="shared" si="8"/>
        <v>0.98983050847457632</v>
      </c>
      <c r="L12">
        <f t="shared" si="4"/>
        <v>5.6879498698781582E-2</v>
      </c>
      <c r="M12">
        <f t="shared" si="9"/>
        <v>0.22708269250916621</v>
      </c>
    </row>
    <row r="13" spans="1:13" x14ac:dyDescent="0.25">
      <c r="A13" t="s">
        <v>16</v>
      </c>
      <c r="B13">
        <v>2019</v>
      </c>
      <c r="C13">
        <v>-34.26</v>
      </c>
      <c r="D13">
        <v>-144.77000000000001</v>
      </c>
      <c r="E13">
        <v>76.25</v>
      </c>
      <c r="F13">
        <f t="shared" si="0"/>
        <v>56.382653061224495</v>
      </c>
      <c r="G13" t="s">
        <v>10</v>
      </c>
      <c r="H13">
        <v>154</v>
      </c>
      <c r="I13">
        <f t="shared" si="6"/>
        <v>349.84516189246165</v>
      </c>
      <c r="J13">
        <f t="shared" si="7"/>
        <v>-9.7929037562426338E-2</v>
      </c>
      <c r="K13">
        <f t="shared" si="8"/>
        <v>0.99505766062602963</v>
      </c>
      <c r="L13">
        <f t="shared" si="4"/>
        <v>-9.7445039024226535E-2</v>
      </c>
      <c r="M13">
        <f t="shared" si="9"/>
        <v>0.16036806269236564</v>
      </c>
    </row>
    <row r="14" spans="1:13" x14ac:dyDescent="0.25">
      <c r="A14" t="s">
        <v>18</v>
      </c>
      <c r="B14">
        <v>2020</v>
      </c>
      <c r="C14">
        <v>-1.44</v>
      </c>
      <c r="D14">
        <v>-4</v>
      </c>
      <c r="E14">
        <v>1.1200000000000001</v>
      </c>
      <c r="F14">
        <f t="shared" si="0"/>
        <v>1.306122448979592</v>
      </c>
      <c r="G14" t="s">
        <v>10</v>
      </c>
      <c r="H14">
        <v>34</v>
      </c>
      <c r="I14">
        <f t="shared" si="6"/>
        <v>3.8079685843887683</v>
      </c>
      <c r="J14">
        <f t="shared" si="7"/>
        <v>-0.37815438023923192</v>
      </c>
      <c r="K14">
        <f t="shared" si="8"/>
        <v>0.97637795275590555</v>
      </c>
      <c r="L14">
        <f t="shared" si="4"/>
        <v>-0.36922159960365952</v>
      </c>
      <c r="M14">
        <f t="shared" si="9"/>
        <v>0.33489487492395426</v>
      </c>
    </row>
    <row r="15" spans="1:13" x14ac:dyDescent="0.25">
      <c r="A15" t="s">
        <v>19</v>
      </c>
      <c r="B15">
        <v>2021</v>
      </c>
      <c r="C15">
        <v>-1.4</v>
      </c>
      <c r="D15">
        <v>-2.77</v>
      </c>
      <c r="E15">
        <v>-0.03</v>
      </c>
      <c r="F15">
        <f t="shared" si="0"/>
        <v>0.69897959183673475</v>
      </c>
      <c r="G15" t="s">
        <v>10</v>
      </c>
      <c r="H15">
        <v>91</v>
      </c>
      <c r="I15">
        <f t="shared" si="6"/>
        <v>3.3339201682173867</v>
      </c>
      <c r="J15">
        <f t="shared" si="7"/>
        <v>-0.41992607181969976</v>
      </c>
      <c r="K15">
        <f t="shared" si="8"/>
        <v>0.9915492957746479</v>
      </c>
      <c r="L15">
        <f t="shared" si="4"/>
        <v>-0.4163774007902375</v>
      </c>
      <c r="M15">
        <f t="shared" si="9"/>
        <v>0.20788521832457196</v>
      </c>
    </row>
    <row r="16" spans="1:13" x14ac:dyDescent="0.25">
      <c r="A16" t="s">
        <v>22</v>
      </c>
      <c r="B16">
        <v>2024</v>
      </c>
      <c r="C16">
        <v>0.34</v>
      </c>
      <c r="D16">
        <v>-0.97</v>
      </c>
      <c r="E16">
        <v>1.65</v>
      </c>
      <c r="F16">
        <f t="shared" si="0"/>
        <v>0.66836734693877553</v>
      </c>
      <c r="G16" t="s">
        <v>10</v>
      </c>
      <c r="H16">
        <v>59</v>
      </c>
      <c r="I16">
        <f t="shared" si="6"/>
        <v>2.5669135024764991</v>
      </c>
      <c r="J16">
        <f t="shared" si="7"/>
        <v>0.13245479431697868</v>
      </c>
      <c r="K16">
        <f t="shared" si="8"/>
        <v>0.986784140969163</v>
      </c>
      <c r="L16">
        <f t="shared" si="4"/>
        <v>0.13070429042732698</v>
      </c>
      <c r="M16">
        <f t="shared" si="9"/>
        <v>0.25693670537184621</v>
      </c>
    </row>
  </sheetData>
  <sortState xmlns:xlrd2="http://schemas.microsoft.com/office/spreadsheetml/2017/richdata2" ref="A2:H16">
    <sortCondition ref="G2:G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2026-02-02T02:52:15Z</dcterms:modified>
</cp:coreProperties>
</file>