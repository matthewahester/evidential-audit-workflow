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lanhers2015\"/>
    </mc:Choice>
  </mc:AlternateContent>
  <xr:revisionPtr revIDLastSave="0" documentId="13_ncr:1_{B76F3AF1-2570-43E3-A154-7BB514767D05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N3" i="1" s="1"/>
  <c r="M3" i="1"/>
  <c r="K4" i="1"/>
  <c r="M4" i="1"/>
  <c r="N4" i="1"/>
  <c r="K5" i="1"/>
  <c r="N5" i="1" s="1"/>
  <c r="M5" i="1"/>
  <c r="K6" i="1"/>
  <c r="M6" i="1"/>
  <c r="N6" i="1"/>
  <c r="K7" i="1"/>
  <c r="N7" i="1" s="1"/>
  <c r="M7" i="1"/>
  <c r="K8" i="1"/>
  <c r="N8" i="1" s="1"/>
  <c r="M8" i="1"/>
  <c r="K9" i="1"/>
  <c r="M9" i="1"/>
  <c r="N9" i="1"/>
  <c r="K10" i="1"/>
  <c r="M10" i="1"/>
  <c r="N10" i="1"/>
  <c r="K11" i="1"/>
  <c r="N11" i="1" s="1"/>
  <c r="M11" i="1"/>
  <c r="K12" i="1"/>
  <c r="M12" i="1"/>
  <c r="N12" i="1"/>
  <c r="K13" i="1"/>
  <c r="M13" i="1"/>
  <c r="N13" i="1"/>
  <c r="K14" i="1"/>
  <c r="M14" i="1"/>
  <c r="N14" i="1"/>
  <c r="K15" i="1"/>
  <c r="N15" i="1" s="1"/>
  <c r="M15" i="1"/>
  <c r="K16" i="1"/>
  <c r="M16" i="1"/>
  <c r="N16" i="1"/>
  <c r="K17" i="1"/>
  <c r="M17" i="1"/>
  <c r="N17" i="1"/>
  <c r="M2" i="1"/>
  <c r="K2" i="1"/>
  <c r="N2" i="1" s="1"/>
</calcChain>
</file>

<file path=xl/sharedStrings.xml><?xml version="1.0" encoding="utf-8"?>
<sst xmlns="http://schemas.openxmlformats.org/spreadsheetml/2006/main" count="63" uniqueCount="38">
  <si>
    <t>-</t>
  </si>
  <si>
    <t>Strength</t>
  </si>
  <si>
    <t>Sedentary</t>
  </si>
  <si>
    <t>Recreation</t>
  </si>
  <si>
    <t>None</t>
  </si>
  <si>
    <t>Mixed</t>
  </si>
  <si>
    <t>Competition</t>
  </si>
  <si>
    <t>Chrusch</t>
  </si>
  <si>
    <t>Gotshalk</t>
  </si>
  <si>
    <t>Herda</t>
  </si>
  <si>
    <t>Kilduff</t>
  </si>
  <si>
    <t>Pluim</t>
  </si>
  <si>
    <t>Vandenberghe</t>
  </si>
  <si>
    <t>FergusonSyrotuik</t>
  </si>
  <si>
    <t>Peetersa</t>
  </si>
  <si>
    <t>Peetersb</t>
  </si>
  <si>
    <t>Camica</t>
  </si>
  <si>
    <t>Camicb</t>
  </si>
  <si>
    <t>Brosea</t>
  </si>
  <si>
    <t>Broseb</t>
  </si>
  <si>
    <t>Syrotuika</t>
  </si>
  <si>
    <t>Syrotuikb</t>
  </si>
  <si>
    <t>Syrotuikc</t>
  </si>
  <si>
    <t>Author</t>
  </si>
  <si>
    <t>loading_dose</t>
  </si>
  <si>
    <t>total_dose</t>
  </si>
  <si>
    <t>duration</t>
  </si>
  <si>
    <t>training</t>
  </si>
  <si>
    <t>t0-t1</t>
  </si>
  <si>
    <t>d</t>
  </si>
  <si>
    <t>lCI</t>
  </si>
  <si>
    <t>uCI</t>
  </si>
  <si>
    <t>se_d</t>
  </si>
  <si>
    <t>J</t>
  </si>
  <si>
    <t>g</t>
  </si>
  <si>
    <t>se_g</t>
  </si>
  <si>
    <t>notes</t>
  </si>
  <si>
    <t>n not available so smd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</si>
</sst>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B1" workbookViewId="0">
      <selection activeCell="K10" sqref="K10"/>
    </sheetView>
  </sheetViews>
  <sheetFormatPr defaultRowHeight="15" x14ac:dyDescent="0.25"/>
  <cols>
    <col min="1" max="1" width="24.85546875" bestFit="1" customWidth="1"/>
    <col min="2" max="2" width="12.140625" bestFit="1" customWidth="1"/>
    <col min="3" max="3" width="3" bestFit="1" customWidth="1"/>
    <col min="4" max="4" width="4" bestFit="1" customWidth="1"/>
    <col min="5" max="5" width="3" bestFit="1" customWidth="1"/>
    <col min="6" max="6" width="8.5703125" bestFit="1" customWidth="1"/>
    <col min="7" max="7" width="3" bestFit="1" customWidth="1"/>
    <col min="8" max="8" width="19.7109375" bestFit="1" customWidth="1"/>
  </cols>
  <sheetData>
    <row r="1" spans="1:15" x14ac:dyDescent="0.25">
      <c r="A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5">
      <c r="A2" t="s">
        <v>18</v>
      </c>
      <c r="B2" t="s">
        <v>0</v>
      </c>
      <c r="C2">
        <v>0</v>
      </c>
      <c r="D2">
        <v>490</v>
      </c>
      <c r="E2">
        <v>98</v>
      </c>
      <c r="F2" t="s">
        <v>1</v>
      </c>
      <c r="G2">
        <v>98</v>
      </c>
      <c r="H2">
        <v>2.3E-2</v>
      </c>
      <c r="I2">
        <v>-1.0669999999999999</v>
      </c>
      <c r="J2">
        <v>1.1140000000000001</v>
      </c>
      <c r="K2">
        <f>(J2-I2)/2/1.96</f>
        <v>0.5563775510204082</v>
      </c>
      <c r="L2">
        <v>1</v>
      </c>
      <c r="M2">
        <f>L2*H2</f>
        <v>2.3E-2</v>
      </c>
      <c r="N2">
        <f>K2*L2</f>
        <v>0.5563775510204082</v>
      </c>
      <c r="O2" t="s">
        <v>37</v>
      </c>
    </row>
    <row r="3" spans="1:15" x14ac:dyDescent="0.25">
      <c r="A3" t="s">
        <v>19</v>
      </c>
      <c r="B3" t="s">
        <v>0</v>
      </c>
      <c r="C3">
        <v>0</v>
      </c>
      <c r="D3">
        <v>490</v>
      </c>
      <c r="E3">
        <v>98</v>
      </c>
      <c r="F3" t="s">
        <v>1</v>
      </c>
      <c r="G3">
        <v>98</v>
      </c>
      <c r="H3">
        <v>0.28199999999999997</v>
      </c>
      <c r="I3">
        <v>-0.73899999999999999</v>
      </c>
      <c r="J3">
        <v>1.302</v>
      </c>
      <c r="K3">
        <f t="shared" ref="K3:K17" si="0">(J3-I3)/2/1.96</f>
        <v>0.52066326530612239</v>
      </c>
      <c r="L3">
        <v>1</v>
      </c>
      <c r="M3">
        <f t="shared" ref="M3:M17" si="1">L3*H3</f>
        <v>0.28199999999999997</v>
      </c>
      <c r="N3">
        <f t="shared" ref="N3:N17" si="2">K3*L3</f>
        <v>0.52066326530612239</v>
      </c>
    </row>
    <row r="4" spans="1:15" x14ac:dyDescent="0.25">
      <c r="A4" t="s">
        <v>16</v>
      </c>
      <c r="B4" t="s">
        <v>2</v>
      </c>
      <c r="C4">
        <v>0</v>
      </c>
      <c r="D4">
        <v>70</v>
      </c>
      <c r="E4">
        <v>28</v>
      </c>
      <c r="F4" t="s">
        <v>0</v>
      </c>
      <c r="G4">
        <v>28</v>
      </c>
      <c r="H4">
        <v>7.5999999999999998E-2</v>
      </c>
      <c r="I4">
        <v>-0.45800000000000002</v>
      </c>
      <c r="J4">
        <v>0.61</v>
      </c>
      <c r="K4">
        <f t="shared" si="0"/>
        <v>0.27244897959183678</v>
      </c>
      <c r="L4">
        <v>1</v>
      </c>
      <c r="M4">
        <f t="shared" si="1"/>
        <v>7.5999999999999998E-2</v>
      </c>
      <c r="N4">
        <f t="shared" si="2"/>
        <v>0.27244897959183678</v>
      </c>
    </row>
    <row r="5" spans="1:15" x14ac:dyDescent="0.25">
      <c r="A5" t="s">
        <v>17</v>
      </c>
      <c r="B5" t="s">
        <v>2</v>
      </c>
      <c r="C5">
        <v>0</v>
      </c>
      <c r="D5">
        <v>35</v>
      </c>
      <c r="E5">
        <v>28</v>
      </c>
      <c r="F5" t="s">
        <v>0</v>
      </c>
      <c r="G5">
        <v>28</v>
      </c>
      <c r="H5">
        <v>0.40500000000000003</v>
      </c>
      <c r="I5">
        <v>-0.13400000000000001</v>
      </c>
      <c r="J5">
        <v>0.94399999999999995</v>
      </c>
      <c r="K5">
        <f t="shared" si="0"/>
        <v>0.27499999999999997</v>
      </c>
      <c r="L5">
        <v>1</v>
      </c>
      <c r="M5">
        <f t="shared" si="1"/>
        <v>0.40500000000000003</v>
      </c>
      <c r="N5">
        <f t="shared" si="2"/>
        <v>0.27499999999999997</v>
      </c>
    </row>
    <row r="6" spans="1:15" x14ac:dyDescent="0.25">
      <c r="A6" t="s">
        <v>7</v>
      </c>
      <c r="B6" t="s">
        <v>2</v>
      </c>
      <c r="C6">
        <v>26</v>
      </c>
      <c r="D6">
        <v>578</v>
      </c>
      <c r="E6">
        <v>72</v>
      </c>
      <c r="F6" t="s">
        <v>1</v>
      </c>
      <c r="G6">
        <v>70</v>
      </c>
      <c r="H6">
        <v>0.71099999999999997</v>
      </c>
      <c r="I6">
        <v>-0.03</v>
      </c>
      <c r="J6">
        <v>1.452</v>
      </c>
      <c r="K6">
        <f t="shared" si="0"/>
        <v>0.3780612244897959</v>
      </c>
      <c r="L6">
        <v>1</v>
      </c>
      <c r="M6">
        <f t="shared" si="1"/>
        <v>0.71099999999999997</v>
      </c>
      <c r="N6">
        <f t="shared" si="2"/>
        <v>0.3780612244897959</v>
      </c>
    </row>
    <row r="7" spans="1:15" x14ac:dyDescent="0.25">
      <c r="A7" t="s">
        <v>13</v>
      </c>
      <c r="B7" t="s">
        <v>3</v>
      </c>
      <c r="D7">
        <v>266</v>
      </c>
      <c r="E7">
        <v>70</v>
      </c>
      <c r="F7" t="s">
        <v>1</v>
      </c>
      <c r="G7">
        <v>70</v>
      </c>
      <c r="H7">
        <v>-0.06</v>
      </c>
      <c r="I7">
        <v>-0.82899999999999996</v>
      </c>
      <c r="J7">
        <v>0.70899999999999996</v>
      </c>
      <c r="K7">
        <f t="shared" si="0"/>
        <v>0.39234693877551019</v>
      </c>
      <c r="L7">
        <v>1</v>
      </c>
      <c r="M7">
        <f t="shared" si="1"/>
        <v>-0.06</v>
      </c>
      <c r="N7">
        <f t="shared" si="2"/>
        <v>0.39234693877551019</v>
      </c>
    </row>
    <row r="8" spans="1:15" x14ac:dyDescent="0.25">
      <c r="A8" t="s">
        <v>8</v>
      </c>
      <c r="B8" t="s">
        <v>0</v>
      </c>
      <c r="C8">
        <v>25</v>
      </c>
      <c r="D8">
        <v>178</v>
      </c>
      <c r="E8">
        <v>7</v>
      </c>
      <c r="F8" t="s">
        <v>4</v>
      </c>
      <c r="G8">
        <v>7</v>
      </c>
      <c r="H8">
        <v>0.152</v>
      </c>
      <c r="I8">
        <v>-0.77900000000000003</v>
      </c>
      <c r="J8">
        <v>1.083</v>
      </c>
      <c r="K8">
        <f t="shared" si="0"/>
        <v>0.47500000000000003</v>
      </c>
      <c r="L8">
        <v>1</v>
      </c>
      <c r="M8">
        <f t="shared" si="1"/>
        <v>0.152</v>
      </c>
      <c r="N8">
        <f t="shared" si="2"/>
        <v>0.47500000000000003</v>
      </c>
    </row>
    <row r="9" spans="1:15" x14ac:dyDescent="0.25">
      <c r="A9" t="s">
        <v>9</v>
      </c>
      <c r="B9" t="s">
        <v>3</v>
      </c>
      <c r="C9">
        <v>0</v>
      </c>
      <c r="D9">
        <v>150</v>
      </c>
      <c r="E9">
        <v>30</v>
      </c>
      <c r="F9" t="s">
        <v>5</v>
      </c>
      <c r="G9">
        <v>30</v>
      </c>
      <c r="H9">
        <v>2.1999999999999999E-2</v>
      </c>
      <c r="I9">
        <v>-0.72099999999999997</v>
      </c>
      <c r="J9">
        <v>0.76400000000000001</v>
      </c>
      <c r="K9">
        <f t="shared" si="0"/>
        <v>0.37882653061224486</v>
      </c>
      <c r="L9">
        <v>1</v>
      </c>
      <c r="M9">
        <f t="shared" si="1"/>
        <v>2.1999999999999999E-2</v>
      </c>
      <c r="N9">
        <f t="shared" si="2"/>
        <v>0.37882653061224486</v>
      </c>
    </row>
    <row r="10" spans="1:15" x14ac:dyDescent="0.25">
      <c r="A10" t="s">
        <v>10</v>
      </c>
      <c r="B10" t="s">
        <v>3</v>
      </c>
      <c r="C10">
        <v>23</v>
      </c>
      <c r="D10">
        <v>278</v>
      </c>
      <c r="E10">
        <v>28</v>
      </c>
      <c r="F10" t="s">
        <v>1</v>
      </c>
      <c r="G10">
        <v>28</v>
      </c>
      <c r="H10">
        <v>1.109</v>
      </c>
      <c r="I10">
        <v>0.13500000000000001</v>
      </c>
      <c r="J10">
        <v>2.0840000000000001</v>
      </c>
      <c r="K10">
        <f t="shared" si="0"/>
        <v>0.49719387755102046</v>
      </c>
      <c r="L10">
        <v>1</v>
      </c>
      <c r="M10">
        <f t="shared" si="1"/>
        <v>1.109</v>
      </c>
      <c r="N10">
        <f t="shared" si="2"/>
        <v>0.49719387755102046</v>
      </c>
    </row>
    <row r="11" spans="1:15" x14ac:dyDescent="0.25">
      <c r="A11" t="s">
        <v>14</v>
      </c>
      <c r="B11" t="s">
        <v>3</v>
      </c>
      <c r="C11">
        <v>20</v>
      </c>
      <c r="D11">
        <v>393</v>
      </c>
      <c r="E11">
        <v>42</v>
      </c>
      <c r="F11" t="s">
        <v>1</v>
      </c>
      <c r="G11">
        <v>42</v>
      </c>
      <c r="H11">
        <v>0.30499999999999999</v>
      </c>
      <c r="I11">
        <v>-0.48899999999999999</v>
      </c>
      <c r="J11">
        <v>1.1000000000000001</v>
      </c>
      <c r="K11">
        <f t="shared" si="0"/>
        <v>0.40535714285714286</v>
      </c>
      <c r="L11">
        <v>1</v>
      </c>
      <c r="M11">
        <f t="shared" si="1"/>
        <v>0.30499999999999999</v>
      </c>
      <c r="N11">
        <f t="shared" si="2"/>
        <v>0.40535714285714286</v>
      </c>
    </row>
    <row r="12" spans="1:15" x14ac:dyDescent="0.25">
      <c r="A12" t="s">
        <v>15</v>
      </c>
      <c r="B12" t="s">
        <v>3</v>
      </c>
      <c r="C12">
        <v>20</v>
      </c>
      <c r="D12">
        <v>393</v>
      </c>
      <c r="E12">
        <v>42</v>
      </c>
      <c r="F12" t="s">
        <v>1</v>
      </c>
      <c r="G12">
        <v>42</v>
      </c>
      <c r="H12">
        <v>-3.7999999999999999E-2</v>
      </c>
      <c r="I12">
        <v>-0.876</v>
      </c>
      <c r="J12">
        <v>0.79900000000000004</v>
      </c>
      <c r="K12">
        <f t="shared" si="0"/>
        <v>0.42729591836734698</v>
      </c>
      <c r="L12">
        <v>1</v>
      </c>
      <c r="M12">
        <f t="shared" si="1"/>
        <v>-3.7999999999999999E-2</v>
      </c>
      <c r="N12">
        <f t="shared" si="2"/>
        <v>0.42729591836734698</v>
      </c>
    </row>
    <row r="13" spans="1:15" x14ac:dyDescent="0.25">
      <c r="A13" t="s">
        <v>11</v>
      </c>
      <c r="B13" t="s">
        <v>6</v>
      </c>
      <c r="C13">
        <v>22</v>
      </c>
      <c r="D13">
        <v>194</v>
      </c>
      <c r="E13">
        <v>34</v>
      </c>
      <c r="F13" t="s">
        <v>5</v>
      </c>
      <c r="G13">
        <v>34</v>
      </c>
      <c r="H13">
        <v>0.42</v>
      </c>
      <c r="I13">
        <v>-0.4</v>
      </c>
      <c r="J13">
        <v>1.2410000000000001</v>
      </c>
      <c r="K13">
        <f t="shared" si="0"/>
        <v>0.41862244897959183</v>
      </c>
      <c r="L13">
        <v>1</v>
      </c>
      <c r="M13">
        <f t="shared" si="1"/>
        <v>0.42</v>
      </c>
      <c r="N13">
        <f t="shared" si="2"/>
        <v>0.41862244897959183</v>
      </c>
    </row>
    <row r="14" spans="1:15" x14ac:dyDescent="0.25">
      <c r="A14" t="s">
        <v>20</v>
      </c>
      <c r="B14" t="s">
        <v>3</v>
      </c>
      <c r="C14">
        <v>23</v>
      </c>
      <c r="D14">
        <v>115</v>
      </c>
      <c r="E14">
        <v>5</v>
      </c>
      <c r="F14" t="s">
        <v>1</v>
      </c>
      <c r="G14">
        <v>39</v>
      </c>
      <c r="H14">
        <v>0.42599999999999999</v>
      </c>
      <c r="I14">
        <v>-0.63500000000000001</v>
      </c>
      <c r="J14">
        <v>1.488</v>
      </c>
      <c r="K14">
        <f t="shared" si="0"/>
        <v>0.54158163265306125</v>
      </c>
      <c r="L14">
        <v>1</v>
      </c>
      <c r="M14">
        <f t="shared" si="1"/>
        <v>0.42599999999999999</v>
      </c>
      <c r="N14">
        <f t="shared" si="2"/>
        <v>0.54158163265306125</v>
      </c>
    </row>
    <row r="15" spans="1:15" x14ac:dyDescent="0.25">
      <c r="A15" t="s">
        <v>21</v>
      </c>
      <c r="B15" t="s">
        <v>3</v>
      </c>
      <c r="C15">
        <v>23</v>
      </c>
      <c r="D15">
        <v>191</v>
      </c>
      <c r="E15">
        <v>37</v>
      </c>
      <c r="F15" t="s">
        <v>1</v>
      </c>
      <c r="G15">
        <v>39</v>
      </c>
      <c r="H15">
        <v>0.16</v>
      </c>
      <c r="I15">
        <v>-0.89</v>
      </c>
      <c r="J15">
        <v>1.2090000000000001</v>
      </c>
      <c r="K15">
        <f t="shared" si="0"/>
        <v>0.53545918367346945</v>
      </c>
      <c r="L15">
        <v>1</v>
      </c>
      <c r="M15">
        <f t="shared" si="1"/>
        <v>0.16</v>
      </c>
      <c r="N15">
        <f t="shared" si="2"/>
        <v>0.53545918367346945</v>
      </c>
    </row>
    <row r="16" spans="1:15" x14ac:dyDescent="0.25">
      <c r="A16" t="s">
        <v>22</v>
      </c>
      <c r="B16" t="s">
        <v>3</v>
      </c>
      <c r="C16">
        <v>23</v>
      </c>
      <c r="D16">
        <v>196</v>
      </c>
      <c r="E16">
        <v>40</v>
      </c>
      <c r="F16" t="s">
        <v>1</v>
      </c>
      <c r="G16">
        <v>35</v>
      </c>
      <c r="H16">
        <v>0.38400000000000001</v>
      </c>
      <c r="I16">
        <v>-0.443</v>
      </c>
      <c r="J16">
        <v>1.21</v>
      </c>
      <c r="K16">
        <f t="shared" si="0"/>
        <v>0.42168367346938779</v>
      </c>
      <c r="L16">
        <v>1</v>
      </c>
      <c r="M16">
        <f t="shared" si="1"/>
        <v>0.38400000000000001</v>
      </c>
      <c r="N16">
        <f t="shared" si="2"/>
        <v>0.42168367346938779</v>
      </c>
    </row>
    <row r="17" spans="1:14" x14ac:dyDescent="0.25">
      <c r="A17" t="s">
        <v>12</v>
      </c>
      <c r="B17" t="s">
        <v>2</v>
      </c>
      <c r="C17">
        <v>20</v>
      </c>
      <c r="D17">
        <v>430</v>
      </c>
      <c r="E17">
        <v>74</v>
      </c>
      <c r="F17" t="s">
        <v>1</v>
      </c>
      <c r="G17">
        <v>70</v>
      </c>
      <c r="H17">
        <v>0.70699999999999996</v>
      </c>
      <c r="I17">
        <v>-0.224</v>
      </c>
      <c r="J17">
        <v>1.6379999999999999</v>
      </c>
      <c r="K17">
        <f t="shared" si="0"/>
        <v>0.47499999999999998</v>
      </c>
      <c r="L17">
        <v>1</v>
      </c>
      <c r="M17">
        <f t="shared" si="1"/>
        <v>0.70699999999999996</v>
      </c>
      <c r="N17">
        <f t="shared" si="2"/>
        <v>0.47499999999999998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2026-01-04T17:22:44Z</dcterms:modified>
</cp:coreProperties>
</file>