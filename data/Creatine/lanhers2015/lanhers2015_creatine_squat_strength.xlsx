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reatine\lanhers2015\"/>
    </mc:Choice>
  </mc:AlternateContent>
  <xr:revisionPtr revIDLastSave="0" documentId="13_ncr:1_{4CCD146F-1778-4799-B673-282EE2E50203}" xr6:coauthVersionLast="47" xr6:coauthVersionMax="47" xr10:uidLastSave="{00000000-0000-0000-0000-000000000000}"/>
  <bookViews>
    <workbookView xWindow="52755" yWindow="2940" windowWidth="14445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N2" i="1"/>
  <c r="M2" i="1"/>
  <c r="K3" i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<sst xmlns="http://schemas.openxmlformats.org/spreadsheetml/2006/main" count="49" uniqueCount="32">
  <si>
    <t>Competition</t>
  </si>
  <si>
    <t>Strength</t>
  </si>
  <si>
    <t>Aerobic</t>
  </si>
  <si>
    <t>Mixed</t>
  </si>
  <si>
    <t>Recreation</t>
  </si>
  <si>
    <t>-</t>
  </si>
  <si>
    <t>Sedentary</t>
  </si>
  <si>
    <t>strength</t>
  </si>
  <si>
    <t>Bemben</t>
  </si>
  <si>
    <t>Izquierdo</t>
  </si>
  <si>
    <t>Larson-Meyer</t>
  </si>
  <si>
    <t>Law</t>
  </si>
  <si>
    <t>Pearson</t>
  </si>
  <si>
    <t>Stone</t>
  </si>
  <si>
    <t>Vanderberghe</t>
  </si>
  <si>
    <t>Volek</t>
  </si>
  <si>
    <t>Wilder</t>
  </si>
  <si>
    <t>Author</t>
  </si>
  <si>
    <t>lCI</t>
  </si>
  <si>
    <t>uCI</t>
  </si>
  <si>
    <t>training</t>
  </si>
  <si>
    <t>duration</t>
  </si>
  <si>
    <t>t0-t1</t>
  </si>
  <si>
    <t>total_dose</t>
  </si>
  <si>
    <t>loading_dose</t>
  </si>
  <si>
    <t>se_d</t>
  </si>
  <si>
    <t>d</t>
  </si>
  <si>
    <t>J</t>
  </si>
  <si>
    <t>g</t>
  </si>
  <si>
    <t>se_g</t>
  </si>
  <si>
    <t>notes</t>
  </si>
  <si>
    <t>n not available, smd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</si>
</sst>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topLeftCell="B1" workbookViewId="0">
      <selection activeCell="H2" sqref="H2"/>
    </sheetView>
  </sheetViews>
  <sheetFormatPr defaultRowHeight="15" x14ac:dyDescent="0.25"/>
  <cols>
    <col min="1" max="1" width="22.85546875" bestFit="1" customWidth="1"/>
    <col min="2" max="2" width="12.140625" bestFit="1" customWidth="1"/>
    <col min="3" max="3" width="3" bestFit="1" customWidth="1"/>
    <col min="4" max="4" width="4" bestFit="1" customWidth="1"/>
    <col min="5" max="5" width="3" bestFit="1" customWidth="1"/>
    <col min="6" max="6" width="8.5703125" bestFit="1" customWidth="1"/>
    <col min="7" max="7" width="3" bestFit="1" customWidth="1"/>
    <col min="8" max="8" width="19.7109375" bestFit="1" customWidth="1"/>
  </cols>
  <sheetData>
    <row r="1" spans="1:15" x14ac:dyDescent="0.25">
      <c r="A1" t="s">
        <v>17</v>
      </c>
      <c r="C1" t="s">
        <v>24</v>
      </c>
      <c r="D1" t="s">
        <v>23</v>
      </c>
      <c r="E1" t="s">
        <v>21</v>
      </c>
      <c r="F1" t="s">
        <v>20</v>
      </c>
      <c r="G1" t="s">
        <v>22</v>
      </c>
      <c r="H1" t="s">
        <v>26</v>
      </c>
      <c r="I1" t="s">
        <v>18</v>
      </c>
      <c r="J1" t="s">
        <v>19</v>
      </c>
      <c r="K1" t="s">
        <v>25</v>
      </c>
      <c r="L1" t="s">
        <v>27</v>
      </c>
      <c r="M1" t="s">
        <v>28</v>
      </c>
      <c r="N1" t="s">
        <v>29</v>
      </c>
      <c r="O1" t="s">
        <v>30</v>
      </c>
    </row>
    <row r="2" spans="1:15" x14ac:dyDescent="0.25">
      <c r="A2" t="s">
        <v>8</v>
      </c>
      <c r="B2" t="s">
        <v>0</v>
      </c>
      <c r="C2">
        <v>20</v>
      </c>
      <c r="D2">
        <v>390</v>
      </c>
      <c r="E2">
        <v>63</v>
      </c>
      <c r="F2" t="s">
        <v>1</v>
      </c>
      <c r="G2">
        <v>63</v>
      </c>
      <c r="H2">
        <v>0.85799999999999998</v>
      </c>
      <c r="I2">
        <v>-0.14199999999999999</v>
      </c>
      <c r="J2">
        <v>1.859</v>
      </c>
      <c r="K2">
        <f>(J2-I2)/2/1.96</f>
        <v>0.51045918367346932</v>
      </c>
      <c r="L2">
        <v>1</v>
      </c>
      <c r="M2">
        <f>L2*H2</f>
        <v>0.85799999999999998</v>
      </c>
      <c r="N2">
        <f>K2*L2</f>
        <v>0.51045918367346932</v>
      </c>
      <c r="O2" t="s">
        <v>31</v>
      </c>
    </row>
    <row r="3" spans="1:15" x14ac:dyDescent="0.25">
      <c r="A3" t="s">
        <v>9</v>
      </c>
      <c r="B3" t="s">
        <v>0</v>
      </c>
      <c r="C3">
        <v>20</v>
      </c>
      <c r="D3">
        <v>100</v>
      </c>
      <c r="E3">
        <v>5</v>
      </c>
      <c r="F3" t="s">
        <v>2</v>
      </c>
      <c r="G3">
        <v>7</v>
      </c>
      <c r="H3">
        <v>0.41</v>
      </c>
      <c r="I3">
        <v>-0.501</v>
      </c>
      <c r="J3">
        <v>1.321</v>
      </c>
      <c r="K3">
        <f t="shared" ref="K3:K12" si="0">(J3-I3)/2/1.96</f>
        <v>0.46479591836734696</v>
      </c>
      <c r="L3">
        <v>1</v>
      </c>
      <c r="M3">
        <f t="shared" ref="M3:M12" si="1">L3*H3</f>
        <v>0.41</v>
      </c>
      <c r="N3">
        <f t="shared" ref="N3:N12" si="2">K3*L3</f>
        <v>0.46479591836734696</v>
      </c>
    </row>
    <row r="4" spans="1:15" x14ac:dyDescent="0.25">
      <c r="A4" t="s">
        <v>10</v>
      </c>
      <c r="B4" t="s">
        <v>0</v>
      </c>
      <c r="C4">
        <v>15</v>
      </c>
      <c r="D4">
        <v>350</v>
      </c>
      <c r="E4">
        <v>15</v>
      </c>
      <c r="F4" t="s">
        <v>3</v>
      </c>
      <c r="G4">
        <v>60</v>
      </c>
      <c r="H4">
        <v>0.17899999999999999</v>
      </c>
      <c r="I4">
        <v>-0.97199999999999998</v>
      </c>
      <c r="J4">
        <v>1.329</v>
      </c>
      <c r="K4">
        <f t="shared" si="0"/>
        <v>0.58698979591836742</v>
      </c>
      <c r="L4">
        <v>1</v>
      </c>
      <c r="M4">
        <f t="shared" si="1"/>
        <v>0.17899999999999999</v>
      </c>
      <c r="N4">
        <f t="shared" si="2"/>
        <v>0.58698979591836742</v>
      </c>
    </row>
    <row r="5" spans="1:15" x14ac:dyDescent="0.25">
      <c r="A5" t="s">
        <v>11</v>
      </c>
      <c r="B5" t="s">
        <v>4</v>
      </c>
      <c r="C5">
        <v>20</v>
      </c>
      <c r="D5">
        <v>100</v>
      </c>
      <c r="E5">
        <v>5</v>
      </c>
      <c r="F5" t="s">
        <v>1</v>
      </c>
      <c r="G5">
        <v>6</v>
      </c>
      <c r="H5">
        <v>8.3000000000000004E-2</v>
      </c>
      <c r="I5">
        <v>-0.87</v>
      </c>
      <c r="J5">
        <v>1.036</v>
      </c>
      <c r="K5">
        <f t="shared" si="0"/>
        <v>0.48622448979591842</v>
      </c>
      <c r="L5">
        <v>1</v>
      </c>
      <c r="M5">
        <f t="shared" si="1"/>
        <v>8.3000000000000004E-2</v>
      </c>
      <c r="N5">
        <f t="shared" si="2"/>
        <v>0.48622448979591842</v>
      </c>
    </row>
    <row r="6" spans="1:15" x14ac:dyDescent="0.25">
      <c r="A6" t="s">
        <v>12</v>
      </c>
      <c r="B6" t="s">
        <v>4</v>
      </c>
      <c r="C6">
        <v>0</v>
      </c>
      <c r="D6">
        <v>350</v>
      </c>
      <c r="E6">
        <v>70</v>
      </c>
      <c r="F6" t="s">
        <v>1</v>
      </c>
      <c r="G6" t="s">
        <v>5</v>
      </c>
      <c r="H6">
        <v>0.54500000000000004</v>
      </c>
      <c r="I6">
        <v>-0.45500000000000002</v>
      </c>
      <c r="J6">
        <v>1.546</v>
      </c>
      <c r="K6">
        <f t="shared" si="0"/>
        <v>0.51045918367346932</v>
      </c>
      <c r="L6">
        <v>1</v>
      </c>
      <c r="M6">
        <f t="shared" si="1"/>
        <v>0.54500000000000004</v>
      </c>
      <c r="N6">
        <f t="shared" si="2"/>
        <v>0.51045918367346932</v>
      </c>
    </row>
    <row r="7" spans="1:15" x14ac:dyDescent="0.25">
      <c r="A7" t="s">
        <v>13</v>
      </c>
      <c r="B7" t="s">
        <v>0</v>
      </c>
      <c r="C7">
        <v>0</v>
      </c>
      <c r="D7">
        <v>700</v>
      </c>
      <c r="E7">
        <v>35</v>
      </c>
      <c r="F7" t="s">
        <v>3</v>
      </c>
      <c r="G7">
        <v>35</v>
      </c>
      <c r="H7">
        <v>0.158</v>
      </c>
      <c r="I7">
        <v>-0.72499999999999998</v>
      </c>
      <c r="J7">
        <v>1.04</v>
      </c>
      <c r="K7">
        <f t="shared" si="0"/>
        <v>0.45025510204081637</v>
      </c>
      <c r="L7">
        <v>1</v>
      </c>
      <c r="M7">
        <f t="shared" si="1"/>
        <v>0.158</v>
      </c>
      <c r="N7">
        <f t="shared" si="2"/>
        <v>0.45025510204081637</v>
      </c>
    </row>
    <row r="8" spans="1:15" x14ac:dyDescent="0.25">
      <c r="A8" t="s">
        <v>14</v>
      </c>
      <c r="B8" t="s">
        <v>6</v>
      </c>
      <c r="C8">
        <v>20</v>
      </c>
      <c r="D8">
        <v>430</v>
      </c>
      <c r="E8">
        <v>74</v>
      </c>
      <c r="F8" t="s">
        <v>1</v>
      </c>
      <c r="G8">
        <v>70</v>
      </c>
      <c r="H8">
        <v>0.71099999999999997</v>
      </c>
      <c r="I8">
        <v>-0.221</v>
      </c>
      <c r="J8">
        <v>1.643</v>
      </c>
      <c r="K8">
        <f t="shared" si="0"/>
        <v>0.47551020408163269</v>
      </c>
      <c r="L8">
        <v>1</v>
      </c>
      <c r="M8">
        <f t="shared" si="1"/>
        <v>0.71099999999999997</v>
      </c>
      <c r="N8">
        <f t="shared" si="2"/>
        <v>0.47551020408163269</v>
      </c>
    </row>
    <row r="9" spans="1:15" x14ac:dyDescent="0.25">
      <c r="A9" t="s">
        <v>15</v>
      </c>
      <c r="B9" t="s">
        <v>4</v>
      </c>
      <c r="C9">
        <v>25</v>
      </c>
      <c r="D9">
        <v>560</v>
      </c>
      <c r="E9">
        <v>84</v>
      </c>
      <c r="F9" t="s">
        <v>1</v>
      </c>
      <c r="G9">
        <v>84</v>
      </c>
      <c r="H9">
        <v>0.26200000000000001</v>
      </c>
      <c r="I9">
        <v>-0.64300000000000002</v>
      </c>
      <c r="J9">
        <v>1.167</v>
      </c>
      <c r="K9">
        <f t="shared" si="0"/>
        <v>0.46173469387755106</v>
      </c>
      <c r="L9">
        <v>1</v>
      </c>
      <c r="M9">
        <f t="shared" si="1"/>
        <v>0.26200000000000001</v>
      </c>
      <c r="N9">
        <f t="shared" si="2"/>
        <v>0.46173469387755106</v>
      </c>
    </row>
    <row r="10" spans="1:15" x14ac:dyDescent="0.25">
      <c r="A10" t="s">
        <v>15</v>
      </c>
      <c r="B10" t="s">
        <v>4</v>
      </c>
      <c r="C10">
        <v>26</v>
      </c>
      <c r="D10">
        <v>275</v>
      </c>
      <c r="E10">
        <v>28</v>
      </c>
      <c r="F10" t="s">
        <v>7</v>
      </c>
      <c r="G10">
        <v>28</v>
      </c>
      <c r="H10">
        <v>0.438</v>
      </c>
      <c r="I10">
        <v>-0.52800000000000002</v>
      </c>
      <c r="J10">
        <v>1.403</v>
      </c>
      <c r="K10">
        <f t="shared" si="0"/>
        <v>0.49260204081632653</v>
      </c>
      <c r="L10">
        <v>1</v>
      </c>
      <c r="M10">
        <f t="shared" si="1"/>
        <v>0.438</v>
      </c>
      <c r="N10">
        <f t="shared" si="2"/>
        <v>0.49260204081632653</v>
      </c>
    </row>
    <row r="11" spans="1:15" x14ac:dyDescent="0.25">
      <c r="A11" t="s">
        <v>16</v>
      </c>
      <c r="B11" t="s">
        <v>0</v>
      </c>
      <c r="C11">
        <v>20</v>
      </c>
      <c r="D11">
        <v>329</v>
      </c>
      <c r="E11">
        <v>70</v>
      </c>
      <c r="F11" t="s">
        <v>3</v>
      </c>
      <c r="G11">
        <v>73</v>
      </c>
      <c r="H11">
        <v>-0.27</v>
      </c>
      <c r="I11">
        <v>-1.2270000000000001</v>
      </c>
      <c r="J11">
        <v>0.68700000000000006</v>
      </c>
      <c r="K11">
        <f t="shared" si="0"/>
        <v>0.48826530612244901</v>
      </c>
      <c r="L11">
        <v>1</v>
      </c>
      <c r="M11">
        <f t="shared" si="1"/>
        <v>-0.27</v>
      </c>
      <c r="N11">
        <f t="shared" si="2"/>
        <v>0.48826530612244901</v>
      </c>
    </row>
    <row r="12" spans="1:15" x14ac:dyDescent="0.25">
      <c r="A12" t="s">
        <v>16</v>
      </c>
      <c r="B12" t="s">
        <v>0</v>
      </c>
      <c r="C12">
        <v>0</v>
      </c>
      <c r="D12">
        <v>210</v>
      </c>
      <c r="E12">
        <v>70</v>
      </c>
      <c r="F12" t="s">
        <v>3</v>
      </c>
      <c r="G12">
        <v>73</v>
      </c>
      <c r="H12">
        <v>0.35199999999999998</v>
      </c>
      <c r="I12">
        <v>-0.60899999999999999</v>
      </c>
      <c r="J12">
        <v>1.3129999999999999</v>
      </c>
      <c r="K12">
        <f t="shared" si="0"/>
        <v>0.49030612244897959</v>
      </c>
      <c r="L12">
        <v>1</v>
      </c>
      <c r="M12">
        <f t="shared" si="1"/>
        <v>0.35199999999999998</v>
      </c>
      <c r="N12">
        <f t="shared" si="2"/>
        <v>0.49030612244897959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2026-01-07T13:35:57Z</dcterms:modified>
</cp:coreProperties>
</file>