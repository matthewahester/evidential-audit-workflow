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Creatine\doma2022\"/>
    </mc:Choice>
  </mc:AlternateContent>
  <xr:revisionPtr revIDLastSave="0" documentId="13_ncr:1_{B97D8205-AA72-4F6E-9C63-C65557FE64B1}" xr6:coauthVersionLast="47" xr6:coauthVersionMax="47" xr10:uidLastSave="{00000000-0000-0000-0000-000000000000}"/>
  <bookViews>
    <workbookView xWindow="52800" yWindow="2940" windowWidth="14400" windowHeight="16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K3" i="1"/>
  <c r="L3" i="1" s="1"/>
  <c r="J4" i="1"/>
  <c r="K4" i="1"/>
  <c r="L4" i="1"/>
  <c r="M4" i="1"/>
  <c r="J5" i="1"/>
  <c r="K5" i="1"/>
  <c r="L5" i="1"/>
  <c r="M5" i="1"/>
  <c r="J6" i="1"/>
  <c r="K6" i="1"/>
  <c r="L6" i="1" s="1"/>
  <c r="J7" i="1"/>
  <c r="K7" i="1"/>
  <c r="L7" i="1"/>
  <c r="M7" i="1"/>
  <c r="J8" i="1"/>
  <c r="K8" i="1"/>
  <c r="L8" i="1"/>
  <c r="M8" i="1"/>
  <c r="J9" i="1"/>
  <c r="K9" i="1"/>
  <c r="L9" i="1" s="1"/>
  <c r="J10" i="1"/>
  <c r="K10" i="1"/>
  <c r="L10" i="1"/>
  <c r="M10" i="1"/>
  <c r="J11" i="1"/>
  <c r="K11" i="1"/>
  <c r="L11" i="1"/>
  <c r="M11" i="1"/>
  <c r="J12" i="1"/>
  <c r="K12" i="1"/>
  <c r="L12" i="1" s="1"/>
  <c r="J13" i="1"/>
  <c r="K13" i="1"/>
  <c r="L13" i="1"/>
  <c r="M13" i="1"/>
  <c r="J14" i="1"/>
  <c r="K14" i="1"/>
  <c r="L14" i="1"/>
  <c r="M14" i="1"/>
  <c r="J15" i="1"/>
  <c r="K15" i="1"/>
  <c r="L15" i="1" s="1"/>
  <c r="J16" i="1"/>
  <c r="K16" i="1"/>
  <c r="L16" i="1"/>
  <c r="M16" i="1"/>
  <c r="M2" i="1"/>
  <c r="L2" i="1"/>
  <c r="K2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2" i="1"/>
  <c r="M15" i="1" l="1"/>
  <c r="M12" i="1"/>
  <c r="M9" i="1"/>
  <c r="M6" i="1"/>
  <c r="M3" i="1"/>
</calcChain>
</file>

<file path=xl/sharedStrings.xml><?xml version="1.0" encoding="utf-8"?>
<sst xmlns="http://schemas.openxmlformats.org/spreadsheetml/2006/main" count="43" uniqueCount="29">
  <si>
    <t>Author</t>
  </si>
  <si>
    <t>Year</t>
  </si>
  <si>
    <t>lCI</t>
  </si>
  <si>
    <t>uCI</t>
  </si>
  <si>
    <t>n_CrM</t>
  </si>
  <si>
    <t>n_PL</t>
  </si>
  <si>
    <t>Subgroup</t>
  </si>
  <si>
    <t>Atashak</t>
  </si>
  <si>
    <t>Acute</t>
  </si>
  <si>
    <t>Bassit</t>
  </si>
  <si>
    <t>Cooke</t>
  </si>
  <si>
    <t>Rawson</t>
  </si>
  <si>
    <t>Santi</t>
  </si>
  <si>
    <t>Santos</t>
  </si>
  <si>
    <t>Taylor</t>
  </si>
  <si>
    <t>Wang</t>
  </si>
  <si>
    <t>Basta</t>
  </si>
  <si>
    <t>Chronic</t>
  </si>
  <si>
    <t>Fernandez-Landa</t>
  </si>
  <si>
    <t>Kaviani</t>
  </si>
  <si>
    <t>Percario</t>
  </si>
  <si>
    <t>Machadom</t>
  </si>
  <si>
    <t>Machadow</t>
  </si>
  <si>
    <t>d</t>
  </si>
  <si>
    <t>se_d</t>
  </si>
  <si>
    <t>pooled_sd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</si>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</sst>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workbookViewId="0">
      <selection activeCell="I7" sqref="I7"/>
    </sheetView>
  </sheetViews>
  <sheetFormatPr defaultRowHeight="15" x14ac:dyDescent="0.25"/>
  <cols>
    <col min="1" max="1" width="18.140625" bestFit="1" customWidth="1"/>
    <col min="2" max="2" width="5" bestFit="1" customWidth="1"/>
    <col min="3" max="5" width="5.7109375" bestFit="1" customWidth="1"/>
    <col min="6" max="6" width="6.7109375" bestFit="1" customWidth="1"/>
    <col min="7" max="7" width="5.140625" bestFit="1" customWidth="1"/>
    <col min="8" max="8" width="9.42578125" bestFit="1" customWidth="1"/>
  </cols>
  <sheetData>
    <row r="1" spans="1:13" x14ac:dyDescent="0.25">
      <c r="A1" t="s">
        <v>0</v>
      </c>
      <c r="B1" t="s">
        <v>1</v>
      </c>
      <c r="C1" t="s">
        <v>23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 x14ac:dyDescent="0.25">
      <c r="A2" t="s">
        <v>7</v>
      </c>
      <c r="B2">
        <v>2012</v>
      </c>
      <c r="C2">
        <v>1.28</v>
      </c>
      <c r="D2">
        <v>0.24</v>
      </c>
      <c r="E2">
        <v>2.31</v>
      </c>
      <c r="F2">
        <v>9</v>
      </c>
      <c r="G2">
        <v>9</v>
      </c>
      <c r="H2" t="s">
        <v>8</v>
      </c>
      <c r="I2">
        <f>(E2-D2)/2/1.96</f>
        <v>0.52806122448979598</v>
      </c>
      <c r="J2">
        <f>I2*SQRT((G2+F2)/4)</f>
        <v>1.1201870181552194</v>
      </c>
      <c r="K2">
        <f>1-3/(4*(F2+G2-2)-1)</f>
        <v>0.95238095238095233</v>
      </c>
      <c r="L2">
        <f>C2*K2</f>
        <v>1.2190476190476189</v>
      </c>
      <c r="M2">
        <f>K2*I2</f>
        <v>0.50291545189504372</v>
      </c>
    </row>
    <row r="3" spans="1:13" x14ac:dyDescent="0.25">
      <c r="A3" t="s">
        <v>9</v>
      </c>
      <c r="B3">
        <v>2010</v>
      </c>
      <c r="C3">
        <v>-1.1399999999999999</v>
      </c>
      <c r="D3">
        <v>-2.73</v>
      </c>
      <c r="E3">
        <v>0.45</v>
      </c>
      <c r="F3">
        <v>4</v>
      </c>
      <c r="G3">
        <v>4</v>
      </c>
      <c r="H3" t="s">
        <v>8</v>
      </c>
      <c r="I3">
        <f t="shared" ref="I3:I16" si="0">(E3-D3)/2/1.96</f>
        <v>0.81122448979591844</v>
      </c>
      <c r="J3">
        <f t="shared" ref="J3:J16" si="1">I3*SQRT((G3+F3)/4)</f>
        <v>1.1472446755985823</v>
      </c>
      <c r="K3">
        <f t="shared" ref="K3:K16" si="2">1-3/(4*(F3+G3-2)-1)</f>
        <v>0.86956521739130432</v>
      </c>
      <c r="L3">
        <f t="shared" ref="L3:L16" si="3">C3*K3</f>
        <v>-0.9913043478260869</v>
      </c>
      <c r="M3">
        <f t="shared" ref="M3:M16" si="4">K3*I3</f>
        <v>0.70541259982253779</v>
      </c>
    </row>
    <row r="4" spans="1:13" x14ac:dyDescent="0.25">
      <c r="A4" t="s">
        <v>10</v>
      </c>
      <c r="B4">
        <v>2009</v>
      </c>
      <c r="C4">
        <v>-2.27</v>
      </c>
      <c r="D4">
        <v>-3.72</v>
      </c>
      <c r="E4">
        <v>-0.83</v>
      </c>
      <c r="F4">
        <v>7</v>
      </c>
      <c r="G4">
        <v>7</v>
      </c>
      <c r="H4" t="s">
        <v>8</v>
      </c>
      <c r="I4">
        <f t="shared" si="0"/>
        <v>0.73724489795918369</v>
      </c>
      <c r="J4">
        <f t="shared" si="1"/>
        <v>1.3792589091551901</v>
      </c>
      <c r="K4">
        <f t="shared" si="2"/>
        <v>0.93617021276595747</v>
      </c>
      <c r="L4">
        <f t="shared" si="3"/>
        <v>-2.1251063829787236</v>
      </c>
      <c r="M4">
        <f t="shared" si="4"/>
        <v>0.69018671298306555</v>
      </c>
    </row>
    <row r="5" spans="1:13" x14ac:dyDescent="0.25">
      <c r="A5" t="s">
        <v>21</v>
      </c>
      <c r="B5">
        <v>2009</v>
      </c>
      <c r="C5">
        <v>0.82</v>
      </c>
      <c r="D5">
        <v>0.02</v>
      </c>
      <c r="E5">
        <v>1.61</v>
      </c>
      <c r="F5">
        <v>15</v>
      </c>
      <c r="G5">
        <v>12</v>
      </c>
      <c r="H5" t="s">
        <v>8</v>
      </c>
      <c r="I5">
        <f t="shared" si="0"/>
        <v>0.40561224489795922</v>
      </c>
      <c r="J5">
        <f t="shared" si="1"/>
        <v>1.0538115245030033</v>
      </c>
      <c r="K5">
        <f t="shared" si="2"/>
        <v>0.96969696969696972</v>
      </c>
      <c r="L5">
        <f t="shared" si="3"/>
        <v>0.79515151515151516</v>
      </c>
      <c r="M5">
        <f t="shared" si="4"/>
        <v>0.39332096474953621</v>
      </c>
    </row>
    <row r="6" spans="1:13" x14ac:dyDescent="0.25">
      <c r="A6" t="s">
        <v>22</v>
      </c>
      <c r="B6">
        <v>2009</v>
      </c>
      <c r="C6">
        <v>-1</v>
      </c>
      <c r="D6">
        <v>-1.89</v>
      </c>
      <c r="E6">
        <v>-0.1</v>
      </c>
      <c r="F6">
        <v>11</v>
      </c>
      <c r="G6">
        <v>11</v>
      </c>
      <c r="H6" t="s">
        <v>8</v>
      </c>
      <c r="I6">
        <f t="shared" si="0"/>
        <v>0.45663265306122447</v>
      </c>
      <c r="J6">
        <f t="shared" si="1"/>
        <v>1.0708984961841759</v>
      </c>
      <c r="K6">
        <f t="shared" si="2"/>
        <v>0.96202531645569622</v>
      </c>
      <c r="L6">
        <f t="shared" si="3"/>
        <v>-0.96202531645569622</v>
      </c>
      <c r="M6">
        <f t="shared" si="4"/>
        <v>0.43929217256522862</v>
      </c>
    </row>
    <row r="7" spans="1:13" x14ac:dyDescent="0.25">
      <c r="A7" t="s">
        <v>11</v>
      </c>
      <c r="B7">
        <v>2001</v>
      </c>
      <c r="C7">
        <v>0.57999999999999996</v>
      </c>
      <c r="D7">
        <v>-0.26</v>
      </c>
      <c r="E7">
        <v>1.42</v>
      </c>
      <c r="F7">
        <v>12</v>
      </c>
      <c r="G7">
        <v>11</v>
      </c>
      <c r="H7" t="s">
        <v>8</v>
      </c>
      <c r="I7">
        <f t="shared" si="0"/>
        <v>0.42857142857142855</v>
      </c>
      <c r="J7">
        <f t="shared" si="1"/>
        <v>1.0276781835670112</v>
      </c>
      <c r="K7">
        <f t="shared" si="2"/>
        <v>0.96385542168674698</v>
      </c>
      <c r="L7">
        <f t="shared" si="3"/>
        <v>0.55903614457831319</v>
      </c>
      <c r="M7">
        <f t="shared" si="4"/>
        <v>0.41308089500860584</v>
      </c>
    </row>
    <row r="8" spans="1:13" x14ac:dyDescent="0.25">
      <c r="A8" t="s">
        <v>11</v>
      </c>
      <c r="B8">
        <v>2007</v>
      </c>
      <c r="C8">
        <v>-0.45</v>
      </c>
      <c r="D8">
        <v>-1.3</v>
      </c>
      <c r="E8">
        <v>0.4</v>
      </c>
      <c r="F8">
        <v>11</v>
      </c>
      <c r="G8">
        <v>11</v>
      </c>
      <c r="H8" t="s">
        <v>8</v>
      </c>
      <c r="I8">
        <f t="shared" si="0"/>
        <v>0.43367346938775514</v>
      </c>
      <c r="J8">
        <f t="shared" si="1"/>
        <v>1.0170544377168151</v>
      </c>
      <c r="K8">
        <f t="shared" si="2"/>
        <v>0.96202531645569622</v>
      </c>
      <c r="L8">
        <f t="shared" si="3"/>
        <v>-0.43291139240506332</v>
      </c>
      <c r="M8">
        <f t="shared" si="4"/>
        <v>0.41720485662619483</v>
      </c>
    </row>
    <row r="9" spans="1:13" x14ac:dyDescent="0.25">
      <c r="A9" t="s">
        <v>12</v>
      </c>
      <c r="B9">
        <v>2020</v>
      </c>
      <c r="C9">
        <v>0.71</v>
      </c>
      <c r="D9">
        <v>-0.38</v>
      </c>
      <c r="E9">
        <v>1.8</v>
      </c>
      <c r="F9">
        <v>7</v>
      </c>
      <c r="G9">
        <v>7</v>
      </c>
      <c r="H9" t="s">
        <v>8</v>
      </c>
      <c r="I9">
        <f t="shared" si="0"/>
        <v>0.55612244897959184</v>
      </c>
      <c r="J9">
        <f t="shared" si="1"/>
        <v>1.040409834587652</v>
      </c>
      <c r="K9">
        <f t="shared" si="2"/>
        <v>0.93617021276595747</v>
      </c>
      <c r="L9">
        <f t="shared" si="3"/>
        <v>0.66468085106382979</v>
      </c>
      <c r="M9">
        <f t="shared" si="4"/>
        <v>0.5206252713851498</v>
      </c>
    </row>
    <row r="10" spans="1:13" x14ac:dyDescent="0.25">
      <c r="A10" t="s">
        <v>13</v>
      </c>
      <c r="B10">
        <v>2004</v>
      </c>
      <c r="C10">
        <v>-1.36</v>
      </c>
      <c r="D10">
        <v>-2.12</v>
      </c>
      <c r="E10">
        <v>-0.61</v>
      </c>
      <c r="F10">
        <v>18</v>
      </c>
      <c r="G10">
        <v>16</v>
      </c>
      <c r="H10" t="s">
        <v>8</v>
      </c>
      <c r="I10">
        <f t="shared" si="0"/>
        <v>0.38520408163265313</v>
      </c>
      <c r="J10">
        <f t="shared" si="1"/>
        <v>1.1230532348490314</v>
      </c>
      <c r="K10">
        <f t="shared" si="2"/>
        <v>0.97637795275590555</v>
      </c>
      <c r="L10">
        <f t="shared" si="3"/>
        <v>-1.3278740157480315</v>
      </c>
      <c r="M10">
        <f t="shared" si="4"/>
        <v>0.37610477261770858</v>
      </c>
    </row>
    <row r="11" spans="1:13" x14ac:dyDescent="0.25">
      <c r="A11" t="s">
        <v>14</v>
      </c>
      <c r="B11">
        <v>2018</v>
      </c>
      <c r="C11">
        <v>0.45</v>
      </c>
      <c r="D11">
        <v>-0.47</v>
      </c>
      <c r="E11">
        <v>1.36</v>
      </c>
      <c r="F11">
        <v>10</v>
      </c>
      <c r="G11">
        <v>9</v>
      </c>
      <c r="H11" t="s">
        <v>8</v>
      </c>
      <c r="I11">
        <f t="shared" si="0"/>
        <v>0.4668367346938776</v>
      </c>
      <c r="J11">
        <f t="shared" si="1"/>
        <v>1.0174470748315605</v>
      </c>
      <c r="K11">
        <f t="shared" si="2"/>
        <v>0.95522388059701491</v>
      </c>
      <c r="L11">
        <f t="shared" si="3"/>
        <v>0.42985074626865671</v>
      </c>
      <c r="M11">
        <f t="shared" si="4"/>
        <v>0.44593359731952487</v>
      </c>
    </row>
    <row r="12" spans="1:13" x14ac:dyDescent="0.25">
      <c r="A12" t="s">
        <v>15</v>
      </c>
      <c r="B12">
        <v>2018</v>
      </c>
      <c r="C12">
        <v>-0.71</v>
      </c>
      <c r="D12">
        <v>-1.46</v>
      </c>
      <c r="E12">
        <v>0.03</v>
      </c>
      <c r="F12">
        <v>15</v>
      </c>
      <c r="G12">
        <v>15</v>
      </c>
      <c r="H12" t="s">
        <v>8</v>
      </c>
      <c r="I12">
        <f t="shared" si="0"/>
        <v>0.38010204081632654</v>
      </c>
      <c r="J12">
        <f t="shared" si="1"/>
        <v>1.040952309544257</v>
      </c>
      <c r="K12">
        <f t="shared" si="2"/>
        <v>0.97297297297297303</v>
      </c>
      <c r="L12">
        <f t="shared" si="3"/>
        <v>-0.69081081081081086</v>
      </c>
      <c r="M12">
        <f t="shared" si="4"/>
        <v>0.36982901268615559</v>
      </c>
    </row>
    <row r="13" spans="1:13" x14ac:dyDescent="0.25">
      <c r="A13" t="s">
        <v>16</v>
      </c>
      <c r="B13">
        <v>2006</v>
      </c>
      <c r="C13">
        <v>0.37</v>
      </c>
      <c r="D13">
        <v>-0.52</v>
      </c>
      <c r="E13">
        <v>1.26</v>
      </c>
      <c r="F13">
        <v>10</v>
      </c>
      <c r="G13">
        <v>10</v>
      </c>
      <c r="H13" t="s">
        <v>17</v>
      </c>
      <c r="I13">
        <f t="shared" si="0"/>
        <v>0.45408163265306123</v>
      </c>
      <c r="J13">
        <f t="shared" si="1"/>
        <v>1.0153573979463331</v>
      </c>
      <c r="K13">
        <f t="shared" si="2"/>
        <v>0.95774647887323949</v>
      </c>
      <c r="L13">
        <f t="shared" si="3"/>
        <v>0.35436619718309859</v>
      </c>
      <c r="M13">
        <f t="shared" si="4"/>
        <v>0.43489508479448119</v>
      </c>
    </row>
    <row r="14" spans="1:13" x14ac:dyDescent="0.25">
      <c r="A14" t="s">
        <v>18</v>
      </c>
      <c r="B14">
        <v>2020</v>
      </c>
      <c r="C14">
        <v>0.42</v>
      </c>
      <c r="D14">
        <v>-0.64</v>
      </c>
      <c r="E14">
        <v>1.49</v>
      </c>
      <c r="F14">
        <v>7</v>
      </c>
      <c r="G14">
        <v>7</v>
      </c>
      <c r="H14" t="s">
        <v>17</v>
      </c>
      <c r="I14">
        <f t="shared" si="0"/>
        <v>0.54336734693877553</v>
      </c>
      <c r="J14">
        <f t="shared" si="1"/>
        <v>1.0165472237026143</v>
      </c>
      <c r="K14">
        <f t="shared" si="2"/>
        <v>0.93617021276595747</v>
      </c>
      <c r="L14">
        <f t="shared" si="3"/>
        <v>0.39319148936170212</v>
      </c>
      <c r="M14">
        <f t="shared" si="4"/>
        <v>0.50868432479374737</v>
      </c>
    </row>
    <row r="15" spans="1:13" x14ac:dyDescent="0.25">
      <c r="A15" t="s">
        <v>19</v>
      </c>
      <c r="B15">
        <v>2019</v>
      </c>
      <c r="C15">
        <v>2.72</v>
      </c>
      <c r="D15">
        <v>1.35</v>
      </c>
      <c r="E15">
        <v>4.08</v>
      </c>
      <c r="F15">
        <v>9</v>
      </c>
      <c r="G15">
        <v>9</v>
      </c>
      <c r="H15" t="s">
        <v>17</v>
      </c>
      <c r="I15">
        <f t="shared" si="0"/>
        <v>0.6964285714285714</v>
      </c>
      <c r="J15">
        <f t="shared" si="1"/>
        <v>1.477348096407608</v>
      </c>
      <c r="K15">
        <f t="shared" si="2"/>
        <v>0.95238095238095233</v>
      </c>
      <c r="L15">
        <f t="shared" si="3"/>
        <v>2.5904761904761906</v>
      </c>
      <c r="M15">
        <f t="shared" si="4"/>
        <v>0.66326530612244894</v>
      </c>
    </row>
    <row r="16" spans="1:13" x14ac:dyDescent="0.25">
      <c r="A16" t="s">
        <v>20</v>
      </c>
      <c r="B16">
        <v>2012</v>
      </c>
      <c r="C16">
        <v>0.71</v>
      </c>
      <c r="D16">
        <v>-0.25</v>
      </c>
      <c r="E16">
        <v>1.67</v>
      </c>
      <c r="F16">
        <v>9</v>
      </c>
      <c r="G16">
        <v>9</v>
      </c>
      <c r="H16" t="s">
        <v>17</v>
      </c>
      <c r="I16">
        <f t="shared" si="0"/>
        <v>0.48979591836734693</v>
      </c>
      <c r="J16">
        <f t="shared" si="1"/>
        <v>1.0390140458251309</v>
      </c>
      <c r="K16">
        <f t="shared" si="2"/>
        <v>0.95238095238095233</v>
      </c>
      <c r="L16">
        <f t="shared" si="3"/>
        <v>0.67619047619047612</v>
      </c>
      <c r="M16">
        <f t="shared" si="4"/>
        <v>0.46647230320699706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2026-01-02T15:46:40Z</dcterms:modified>
</cp:coreProperties>
</file>