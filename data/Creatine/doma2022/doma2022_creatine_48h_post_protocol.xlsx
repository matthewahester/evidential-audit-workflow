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doma2022\"/>
    </mc:Choice>
  </mc:AlternateContent>
  <xr:revisionPtr revIDLastSave="0" documentId="13_ncr:1_{5D957478-6966-463F-9FDD-59166505AE8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I3" i="1"/>
  <c r="J3" i="1"/>
  <c r="K3" i="1"/>
  <c r="I4" i="1"/>
  <c r="J4" i="1"/>
  <c r="K4" i="1"/>
  <c r="M4" i="1"/>
  <c r="I5" i="1"/>
  <c r="M5" i="1" s="1"/>
  <c r="J5" i="1"/>
  <c r="K5" i="1"/>
  <c r="I6" i="1"/>
  <c r="J6" i="1" s="1"/>
  <c r="K6" i="1"/>
  <c r="M6" i="1"/>
  <c r="I7" i="1"/>
  <c r="J7" i="1"/>
  <c r="K7" i="1"/>
  <c r="M7" i="1" s="1"/>
  <c r="I8" i="1"/>
  <c r="J8" i="1"/>
  <c r="K8" i="1"/>
  <c r="I9" i="1"/>
  <c r="J9" i="1"/>
  <c r="K9" i="1"/>
  <c r="M9" i="1"/>
  <c r="I10" i="1"/>
  <c r="J10" i="1" s="1"/>
  <c r="K10" i="1"/>
  <c r="M10" i="1" s="1"/>
  <c r="I11" i="1"/>
  <c r="J11" i="1"/>
  <c r="K11" i="1"/>
  <c r="M11" i="1"/>
  <c r="I12" i="1"/>
  <c r="J12" i="1"/>
  <c r="K12" i="1"/>
  <c r="M2" i="1"/>
  <c r="K2" i="1"/>
  <c r="J2" i="1"/>
  <c r="I2" i="1"/>
  <c r="M8" i="1" l="1"/>
  <c r="M3" i="1"/>
  <c r="M12" i="1"/>
</calcChain>
</file>

<file path=xl/sharedStrings.xml><?xml version="1.0" encoding="utf-8"?>
<sst xmlns="http://schemas.openxmlformats.org/spreadsheetml/2006/main" count="35" uniqueCount="25">
  <si>
    <t>Author</t>
  </si>
  <si>
    <t>Year</t>
  </si>
  <si>
    <t>lCI</t>
  </si>
  <si>
    <t>uCI</t>
  </si>
  <si>
    <t>n_CrM</t>
  </si>
  <si>
    <t>n_PL</t>
  </si>
  <si>
    <t>Subgroup</t>
  </si>
  <si>
    <t>Acute</t>
  </si>
  <si>
    <t>Bassit</t>
  </si>
  <si>
    <t>Cooke</t>
  </si>
  <si>
    <t>Rawson</t>
  </si>
  <si>
    <t>Santi</t>
  </si>
  <si>
    <t>Taylor</t>
  </si>
  <si>
    <t>Wang</t>
  </si>
  <si>
    <t>Chronic</t>
  </si>
  <si>
    <t>Kaviani</t>
  </si>
  <si>
    <t>se_d</t>
  </si>
  <si>
    <t>pooled_sd</t>
  </si>
  <si>
    <t>J</t>
  </si>
  <si>
    <t>g</t>
  </si>
  <si>
    <t>se_g</t>
  </si>
  <si>
    <t>d</t>
  </si>
  <si>
    <t>Veggi</t>
  </si>
  <si>
    <t>Brose (Men)</t>
  </si>
  <si>
    <t>Brose (Women)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</si>
</sst>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L3" sqref="L3"/>
    </sheetView>
  </sheetViews>
  <sheetFormatPr defaultRowHeight="15" x14ac:dyDescent="0.25"/>
  <cols>
    <col min="1" max="1" width="18.140625" bestFit="1" customWidth="1"/>
    <col min="2" max="2" width="5" bestFit="1" customWidth="1"/>
    <col min="3" max="5" width="5.7109375" bestFit="1" customWidth="1"/>
    <col min="6" max="6" width="6.7109375" bestFit="1" customWidth="1"/>
    <col min="7" max="7" width="5.140625" bestFit="1" customWidth="1"/>
    <col min="8" max="8" width="9.42578125" bestFit="1" customWidth="1"/>
  </cols>
  <sheetData>
    <row r="1" spans="1:13" x14ac:dyDescent="0.25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25">
      <c r="A2" t="s">
        <v>8</v>
      </c>
      <c r="B2">
        <v>2010</v>
      </c>
      <c r="C2">
        <v>-2.19</v>
      </c>
      <c r="D2">
        <v>-4.24</v>
      </c>
      <c r="E2">
        <v>-0.14000000000000001</v>
      </c>
      <c r="F2">
        <v>4</v>
      </c>
      <c r="G2">
        <v>4</v>
      </c>
      <c r="H2" t="s">
        <v>7</v>
      </c>
      <c r="I2">
        <f>(E2-D2)/2/1.96</f>
        <v>1.045918367346939</v>
      </c>
      <c r="J2">
        <f>I2*SQRT((G2+F2)/4)</f>
        <v>1.4791519402371662</v>
      </c>
      <c r="K2">
        <f>1-3/(4*(F2+G2-2)-1)</f>
        <v>0.86956521739130432</v>
      </c>
      <c r="L2">
        <f>-C2*K2</f>
        <v>1.9043478260869564</v>
      </c>
      <c r="M2">
        <f>K2*I2</f>
        <v>0.90949423247559913</v>
      </c>
    </row>
    <row r="3" spans="1:13" x14ac:dyDescent="0.25">
      <c r="A3" t="s">
        <v>9</v>
      </c>
      <c r="B3">
        <v>2009</v>
      </c>
      <c r="C3">
        <v>-4.88</v>
      </c>
      <c r="D3">
        <v>-7.26</v>
      </c>
      <c r="E3">
        <v>-2.5099999999999998</v>
      </c>
      <c r="F3">
        <v>7</v>
      </c>
      <c r="G3">
        <v>7</v>
      </c>
      <c r="H3" t="s">
        <v>7</v>
      </c>
      <c r="I3">
        <f t="shared" ref="I3:I12" si="0">(E3-D3)/2/1.96</f>
        <v>1.2117346938775511</v>
      </c>
      <c r="J3">
        <f t="shared" ref="J3:J12" si="1">I3*SQRT((G3+F3)/4)</f>
        <v>2.2669480340785997</v>
      </c>
      <c r="K3">
        <f t="shared" ref="K3:K12" si="2">1-3/(4*(F3+G3-2)-1)</f>
        <v>0.93617021276595747</v>
      </c>
      <c r="L3">
        <f t="shared" ref="L3:L12" si="3">-C3*K3</f>
        <v>4.5685106382978722</v>
      </c>
      <c r="M3">
        <f t="shared" ref="M3:M12" si="4">K3*I3</f>
        <v>1.1343899261832393</v>
      </c>
    </row>
    <row r="4" spans="1:13" x14ac:dyDescent="0.25">
      <c r="A4" t="s">
        <v>10</v>
      </c>
      <c r="B4">
        <v>2001</v>
      </c>
      <c r="C4">
        <v>-0.25</v>
      </c>
      <c r="D4">
        <v>-1.08</v>
      </c>
      <c r="E4">
        <v>0.56999999999999995</v>
      </c>
      <c r="F4">
        <v>12</v>
      </c>
      <c r="G4">
        <v>11</v>
      </c>
      <c r="H4" t="s">
        <v>7</v>
      </c>
      <c r="I4">
        <f t="shared" si="0"/>
        <v>0.42091836734693877</v>
      </c>
      <c r="J4">
        <f t="shared" si="1"/>
        <v>1.0093267874318861</v>
      </c>
      <c r="K4">
        <f t="shared" si="2"/>
        <v>0.96385542168674698</v>
      </c>
      <c r="L4">
        <f t="shared" si="3"/>
        <v>0.24096385542168675</v>
      </c>
      <c r="M4">
        <f t="shared" si="4"/>
        <v>0.40570445045488074</v>
      </c>
    </row>
    <row r="5" spans="1:13" x14ac:dyDescent="0.25">
      <c r="A5" t="s">
        <v>10</v>
      </c>
      <c r="B5">
        <v>2007</v>
      </c>
      <c r="C5">
        <v>-0.98</v>
      </c>
      <c r="D5">
        <v>-1.87</v>
      </c>
      <c r="E5">
        <v>-0.08</v>
      </c>
      <c r="F5">
        <v>11</v>
      </c>
      <c r="G5">
        <v>11</v>
      </c>
      <c r="H5" t="s">
        <v>7</v>
      </c>
      <c r="I5">
        <f t="shared" si="0"/>
        <v>0.45663265306122452</v>
      </c>
      <c r="J5">
        <f t="shared" si="1"/>
        <v>1.0708984961841761</v>
      </c>
      <c r="K5">
        <f t="shared" si="2"/>
        <v>0.96202531645569622</v>
      </c>
      <c r="L5">
        <f t="shared" si="3"/>
        <v>0.94278481012658233</v>
      </c>
      <c r="M5">
        <f t="shared" si="4"/>
        <v>0.43929217256522868</v>
      </c>
    </row>
    <row r="6" spans="1:13" x14ac:dyDescent="0.25">
      <c r="A6" t="s">
        <v>11</v>
      </c>
      <c r="B6">
        <v>2020</v>
      </c>
      <c r="C6">
        <v>0.35</v>
      </c>
      <c r="D6">
        <v>-0.71</v>
      </c>
      <c r="E6">
        <v>1.4</v>
      </c>
      <c r="F6">
        <v>7</v>
      </c>
      <c r="G6">
        <v>7</v>
      </c>
      <c r="H6" t="s">
        <v>7</v>
      </c>
      <c r="I6">
        <f t="shared" si="0"/>
        <v>0.53826530612244894</v>
      </c>
      <c r="J6">
        <f t="shared" si="1"/>
        <v>1.007002179348599</v>
      </c>
      <c r="K6">
        <f t="shared" si="2"/>
        <v>0.93617021276595747</v>
      </c>
      <c r="L6">
        <f t="shared" si="3"/>
        <v>-0.32765957446808508</v>
      </c>
      <c r="M6">
        <f t="shared" si="4"/>
        <v>0.50390794615718626</v>
      </c>
    </row>
    <row r="7" spans="1:13" x14ac:dyDescent="0.25">
      <c r="A7" t="s">
        <v>12</v>
      </c>
      <c r="B7">
        <v>2018</v>
      </c>
      <c r="C7">
        <v>0.66</v>
      </c>
      <c r="D7">
        <v>-0.27</v>
      </c>
      <c r="E7">
        <v>1.59</v>
      </c>
      <c r="F7">
        <v>10</v>
      </c>
      <c r="G7">
        <v>9</v>
      </c>
      <c r="H7" t="s">
        <v>7</v>
      </c>
      <c r="I7">
        <f t="shared" si="0"/>
        <v>0.47448979591836737</v>
      </c>
      <c r="J7">
        <f t="shared" si="1"/>
        <v>1.0341265350747009</v>
      </c>
      <c r="K7">
        <f t="shared" si="2"/>
        <v>0.95522388059701491</v>
      </c>
      <c r="L7">
        <f t="shared" si="3"/>
        <v>-0.6304477611940299</v>
      </c>
      <c r="M7">
        <f t="shared" si="4"/>
        <v>0.45324398416082851</v>
      </c>
    </row>
    <row r="8" spans="1:13" x14ac:dyDescent="0.25">
      <c r="A8" t="s">
        <v>22</v>
      </c>
      <c r="B8">
        <v>2013</v>
      </c>
      <c r="C8">
        <v>-4.41</v>
      </c>
      <c r="D8">
        <v>-6.43</v>
      </c>
      <c r="E8">
        <v>-2.39</v>
      </c>
      <c r="F8">
        <v>9</v>
      </c>
      <c r="G8">
        <v>9</v>
      </c>
      <c r="H8" t="s">
        <v>7</v>
      </c>
      <c r="I8">
        <f t="shared" si="0"/>
        <v>1.0306122448979589</v>
      </c>
      <c r="J8">
        <f t="shared" si="1"/>
        <v>2.1862587214237124</v>
      </c>
      <c r="K8">
        <f t="shared" si="2"/>
        <v>0.95238095238095233</v>
      </c>
      <c r="L8">
        <f t="shared" si="3"/>
        <v>4.2</v>
      </c>
      <c r="M8">
        <f t="shared" si="4"/>
        <v>0.98153547133138941</v>
      </c>
    </row>
    <row r="9" spans="1:13" x14ac:dyDescent="0.25">
      <c r="A9" t="s">
        <v>13</v>
      </c>
      <c r="B9">
        <v>2018</v>
      </c>
      <c r="C9">
        <v>-0.14000000000000001</v>
      </c>
      <c r="D9">
        <v>-0.86</v>
      </c>
      <c r="E9">
        <v>0.56999999999999995</v>
      </c>
      <c r="F9">
        <v>15</v>
      </c>
      <c r="G9">
        <v>15</v>
      </c>
      <c r="H9" t="s">
        <v>7</v>
      </c>
      <c r="I9">
        <f t="shared" si="0"/>
        <v>0.36479591836734693</v>
      </c>
      <c r="J9">
        <f t="shared" si="1"/>
        <v>0.99903476687804527</v>
      </c>
      <c r="K9">
        <f t="shared" si="2"/>
        <v>0.97297297297297303</v>
      </c>
      <c r="L9">
        <f t="shared" si="3"/>
        <v>0.13621621621621624</v>
      </c>
      <c r="M9">
        <f t="shared" si="4"/>
        <v>0.3549365692222835</v>
      </c>
    </row>
    <row r="10" spans="1:13" x14ac:dyDescent="0.25">
      <c r="A10" t="s">
        <v>23</v>
      </c>
      <c r="B10">
        <v>2003</v>
      </c>
      <c r="C10">
        <v>0.38</v>
      </c>
      <c r="D10">
        <v>-0.68</v>
      </c>
      <c r="E10">
        <v>1.44</v>
      </c>
      <c r="F10">
        <v>8</v>
      </c>
      <c r="G10">
        <v>7</v>
      </c>
      <c r="H10" t="s">
        <v>14</v>
      </c>
      <c r="I10">
        <f t="shared" si="0"/>
        <v>0.54081632653061229</v>
      </c>
      <c r="J10">
        <f t="shared" si="1"/>
        <v>1.0472863130050669</v>
      </c>
      <c r="K10">
        <f t="shared" si="2"/>
        <v>0.94117647058823528</v>
      </c>
      <c r="L10">
        <f t="shared" si="3"/>
        <v>-0.35764705882352943</v>
      </c>
      <c r="M10">
        <f t="shared" si="4"/>
        <v>0.50900360144057621</v>
      </c>
    </row>
    <row r="11" spans="1:13" x14ac:dyDescent="0.25">
      <c r="A11" t="s">
        <v>24</v>
      </c>
      <c r="B11">
        <v>2003</v>
      </c>
      <c r="C11">
        <v>0.85</v>
      </c>
      <c r="D11">
        <v>-0.36</v>
      </c>
      <c r="E11">
        <v>2.0499999999999998</v>
      </c>
      <c r="F11">
        <v>6</v>
      </c>
      <c r="G11">
        <v>7</v>
      </c>
      <c r="H11" t="s">
        <v>14</v>
      </c>
      <c r="I11">
        <f t="shared" si="0"/>
        <v>0.61479591836734693</v>
      </c>
      <c r="J11">
        <f t="shared" si="1"/>
        <v>1.1083391038097212</v>
      </c>
      <c r="K11">
        <f t="shared" si="2"/>
        <v>0.93023255813953487</v>
      </c>
      <c r="L11">
        <f t="shared" si="3"/>
        <v>-0.79069767441860461</v>
      </c>
      <c r="M11">
        <f t="shared" si="4"/>
        <v>0.57190317987660177</v>
      </c>
    </row>
    <row r="12" spans="1:13" x14ac:dyDescent="0.25">
      <c r="A12" t="s">
        <v>15</v>
      </c>
      <c r="B12">
        <v>2019</v>
      </c>
      <c r="C12">
        <v>2.64</v>
      </c>
      <c r="D12">
        <v>1.3</v>
      </c>
      <c r="E12">
        <v>3.98</v>
      </c>
      <c r="F12">
        <v>9</v>
      </c>
      <c r="G12">
        <v>9</v>
      </c>
      <c r="H12" t="s">
        <v>14</v>
      </c>
      <c r="I12">
        <f t="shared" si="0"/>
        <v>0.68367346938775508</v>
      </c>
      <c r="J12">
        <f t="shared" si="1"/>
        <v>1.4502904389642453</v>
      </c>
      <c r="K12">
        <f t="shared" si="2"/>
        <v>0.95238095238095233</v>
      </c>
      <c r="L12">
        <f t="shared" si="3"/>
        <v>-2.5142857142857142</v>
      </c>
      <c r="M12">
        <f t="shared" si="4"/>
        <v>0.65111758989310009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2026-01-02T16:02:57Z</dcterms:modified>
</cp:coreProperties>
</file>