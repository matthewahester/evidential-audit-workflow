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evries2014\"/>
    </mc:Choice>
  </mc:AlternateContent>
  <xr:revisionPtr revIDLastSave="0" documentId="13_ncr:1_{0583F7BF-BAB5-4FC2-8F25-344B4849BEF5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P5" i="1" s="1"/>
  <c r="O6" i="1"/>
  <c r="O7" i="1"/>
  <c r="O8" i="1"/>
  <c r="O9" i="1"/>
  <c r="O10" i="1"/>
  <c r="O2" i="1"/>
  <c r="N2" i="1"/>
  <c r="L3" i="1"/>
  <c r="M3" i="1" s="1"/>
  <c r="N3" i="1" s="1"/>
  <c r="L4" i="1"/>
  <c r="M4" i="1" s="1"/>
  <c r="L5" i="1"/>
  <c r="M5" i="1"/>
  <c r="N5" i="1" s="1"/>
  <c r="L6" i="1"/>
  <c r="M6" i="1" s="1"/>
  <c r="L7" i="1"/>
  <c r="M7" i="1"/>
  <c r="N7" i="1" s="1"/>
  <c r="P7" i="1"/>
  <c r="L8" i="1"/>
  <c r="M8" i="1" s="1"/>
  <c r="L9" i="1"/>
  <c r="M9" i="1"/>
  <c r="N9" i="1" s="1"/>
  <c r="L10" i="1"/>
  <c r="M10" i="1" s="1"/>
  <c r="M2" i="1"/>
  <c r="L2" i="1"/>
  <c r="P9" i="1" l="1"/>
  <c r="Q4" i="1"/>
  <c r="N4" i="1"/>
  <c r="Q6" i="1"/>
  <c r="N6" i="1"/>
  <c r="P6" i="1" s="1"/>
  <c r="P3" i="1"/>
  <c r="Q10" i="1"/>
  <c r="N10" i="1"/>
  <c r="P10" i="1" s="1"/>
  <c r="P4" i="1"/>
  <c r="N8" i="1"/>
  <c r="P8" i="1" s="1"/>
  <c r="Q8" i="1"/>
  <c r="Q9" i="1"/>
  <c r="Q7" i="1"/>
  <c r="Q5" i="1"/>
  <c r="Q3" i="1"/>
  <c r="Q2" i="1"/>
  <c r="P2" i="1"/>
</calcChain>
</file>

<file path=xl/sharedStrings.xml><?xml version="1.0" encoding="utf-8"?>
<sst xmlns="http://schemas.openxmlformats.org/spreadsheetml/2006/main" count="26" uniqueCount="26">
  <si>
    <t>author</t>
  </si>
  <si>
    <t>year</t>
  </si>
  <si>
    <t>md_treat</t>
  </si>
  <si>
    <t>sd_treat</t>
  </si>
  <si>
    <t>n_treat</t>
  </si>
  <si>
    <t>md_control</t>
  </si>
  <si>
    <t>sd_control</t>
  </si>
  <si>
    <t>n_control</t>
  </si>
  <si>
    <t>md</t>
  </si>
  <si>
    <t>lCI</t>
  </si>
  <si>
    <t>uCI</t>
  </si>
  <si>
    <t>Aguiar</t>
  </si>
  <si>
    <t>Bermon</t>
  </si>
  <si>
    <t>Candow</t>
  </si>
  <si>
    <t>Chrusch</t>
  </si>
  <si>
    <t>Eijnde</t>
  </si>
  <si>
    <t>Eliot</t>
  </si>
  <si>
    <t>Neves</t>
  </si>
  <si>
    <t>Brosem</t>
  </si>
  <si>
    <t>Brosew</t>
  </si>
  <si>
    <t>se_md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</si>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</sst>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A6" sqref="A6"/>
    </sheetView>
  </sheetViews>
  <sheetFormatPr defaultRowHeight="15" x14ac:dyDescent="0.25"/>
  <cols>
    <col min="1" max="1" width="14.7109375" bestFit="1" customWidth="1"/>
    <col min="2" max="2" width="5" bestFit="1" customWidth="1"/>
    <col min="4" max="4" width="8.28515625" bestFit="1" customWidth="1"/>
    <col min="5" max="5" width="7.42578125" bestFit="1" customWidth="1"/>
    <col min="6" max="6" width="11.140625" bestFit="1" customWidth="1"/>
    <col min="7" max="7" width="10.28515625" bestFit="1" customWidth="1"/>
    <col min="8" max="8" width="9.42578125" bestFit="1" customWidth="1"/>
    <col min="9" max="9" width="5" bestFit="1" customWidth="1"/>
    <col min="10" max="10" width="5.7109375" bestFit="1" customWidth="1"/>
    <col min="11" max="11" width="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A2" t="s">
        <v>11</v>
      </c>
      <c r="B2">
        <v>2013</v>
      </c>
      <c r="C2">
        <v>0.7</v>
      </c>
      <c r="D2">
        <v>1</v>
      </c>
      <c r="E2">
        <v>9</v>
      </c>
      <c r="F2">
        <v>0.3</v>
      </c>
      <c r="G2">
        <v>0.9</v>
      </c>
      <c r="H2">
        <v>9</v>
      </c>
      <c r="I2">
        <v>0.4</v>
      </c>
      <c r="J2">
        <v>-0.48</v>
      </c>
      <c r="K2">
        <v>1.28</v>
      </c>
      <c r="L2">
        <f>(K2-J2)/2/1.96</f>
        <v>0.44897959183673469</v>
      </c>
      <c r="M2">
        <f>L2*SQRT((E2+H2)/4)</f>
        <v>0.95242954200637009</v>
      </c>
      <c r="N2">
        <f>I2/M2</f>
        <v>0.41997857306837372</v>
      </c>
      <c r="O2">
        <f>1-3/(4*(E2+H2-2)-1)</f>
        <v>0.95238095238095233</v>
      </c>
      <c r="P2">
        <f>O2*N2</f>
        <v>0.39997959339845113</v>
      </c>
      <c r="Q2">
        <f>O2*L2/M2</f>
        <v>0.44895668646764925</v>
      </c>
    </row>
    <row r="3" spans="1:17" x14ac:dyDescent="0.25">
      <c r="A3" t="s">
        <v>12</v>
      </c>
      <c r="B3">
        <v>1998</v>
      </c>
      <c r="C3">
        <v>-0.3</v>
      </c>
      <c r="D3">
        <v>1</v>
      </c>
      <c r="E3">
        <v>8</v>
      </c>
      <c r="F3">
        <v>0.2</v>
      </c>
      <c r="G3">
        <v>1</v>
      </c>
      <c r="H3">
        <v>8</v>
      </c>
      <c r="I3">
        <v>-0.5</v>
      </c>
      <c r="J3">
        <v>-1.48</v>
      </c>
      <c r="K3">
        <v>0.48</v>
      </c>
      <c r="L3">
        <f t="shared" ref="L3:L10" si="0">(K3-J3)/2/1.96</f>
        <v>0.5</v>
      </c>
      <c r="M3">
        <f t="shared" ref="M3:M10" si="1">L3*SQRT((E3+H3)/4)</f>
        <v>1</v>
      </c>
      <c r="N3">
        <f t="shared" ref="N3:N10" si="2">I3/M3</f>
        <v>-0.5</v>
      </c>
      <c r="O3">
        <f t="shared" ref="O3:O10" si="3">1-3/(4*(E3+H3-2)-1)</f>
        <v>0.94545454545454544</v>
      </c>
      <c r="P3">
        <f t="shared" ref="P3:P10" si="4">O3*N3</f>
        <v>-0.47272727272727272</v>
      </c>
      <c r="Q3">
        <f t="shared" ref="Q3:Q10" si="5">O3*L3/M3</f>
        <v>0.47272727272727272</v>
      </c>
    </row>
    <row r="4" spans="1:17" x14ac:dyDescent="0.25">
      <c r="A4" t="s">
        <v>18</v>
      </c>
      <c r="B4">
        <v>2003</v>
      </c>
      <c r="C4">
        <v>1.4</v>
      </c>
      <c r="D4">
        <v>1.7</v>
      </c>
      <c r="E4">
        <v>8</v>
      </c>
      <c r="F4">
        <v>-0.4</v>
      </c>
      <c r="G4">
        <v>1.3</v>
      </c>
      <c r="H4">
        <v>7</v>
      </c>
      <c r="I4">
        <v>1.8</v>
      </c>
      <c r="J4">
        <v>0.28000000000000003</v>
      </c>
      <c r="K4">
        <v>3.32</v>
      </c>
      <c r="L4">
        <f t="shared" si="0"/>
        <v>0.77551020408163263</v>
      </c>
      <c r="M4">
        <f t="shared" si="1"/>
        <v>1.5017690526110392</v>
      </c>
      <c r="N4">
        <f t="shared" si="2"/>
        <v>1.1985864250368217</v>
      </c>
      <c r="O4">
        <f t="shared" si="3"/>
        <v>0.94117647058823528</v>
      </c>
      <c r="P4">
        <f t="shared" si="4"/>
        <v>1.1280813412111264</v>
      </c>
      <c r="Q4">
        <f t="shared" si="5"/>
        <v>0.48602143952406796</v>
      </c>
    </row>
    <row r="5" spans="1:17" x14ac:dyDescent="0.25">
      <c r="A5" t="s">
        <v>19</v>
      </c>
      <c r="B5">
        <v>2003</v>
      </c>
      <c r="C5">
        <v>1.1000000000000001</v>
      </c>
      <c r="D5">
        <v>1.7</v>
      </c>
      <c r="E5">
        <v>6</v>
      </c>
      <c r="F5">
        <v>0</v>
      </c>
      <c r="G5">
        <v>1.3</v>
      </c>
      <c r="H5">
        <v>7</v>
      </c>
      <c r="I5">
        <v>1.1000000000000001</v>
      </c>
      <c r="J5">
        <v>-0.56999999999999995</v>
      </c>
      <c r="K5">
        <v>2.77</v>
      </c>
      <c r="L5">
        <f t="shared" si="0"/>
        <v>0.85204081632653061</v>
      </c>
      <c r="M5">
        <f t="shared" si="1"/>
        <v>1.5360384260267506</v>
      </c>
      <c r="N5">
        <f t="shared" si="2"/>
        <v>0.71612791800095454</v>
      </c>
      <c r="O5">
        <f t="shared" si="3"/>
        <v>0.93023255813953487</v>
      </c>
      <c r="P5">
        <f t="shared" si="4"/>
        <v>0.66616550511716699</v>
      </c>
      <c r="Q5">
        <f t="shared" si="5"/>
        <v>0.51600018253509683</v>
      </c>
    </row>
    <row r="6" spans="1:17" x14ac:dyDescent="0.25">
      <c r="A6" t="s">
        <v>13</v>
      </c>
      <c r="B6">
        <v>2008</v>
      </c>
      <c r="C6">
        <v>0.47</v>
      </c>
      <c r="D6">
        <v>1.75</v>
      </c>
      <c r="E6">
        <v>13</v>
      </c>
      <c r="F6">
        <v>-0.7</v>
      </c>
      <c r="G6">
        <v>0.5</v>
      </c>
      <c r="H6">
        <v>12</v>
      </c>
      <c r="I6">
        <v>1.17</v>
      </c>
      <c r="J6">
        <v>0.18</v>
      </c>
      <c r="K6">
        <v>2.16</v>
      </c>
      <c r="L6">
        <f t="shared" si="0"/>
        <v>0.50510204081632659</v>
      </c>
      <c r="M6">
        <f t="shared" si="1"/>
        <v>1.2627551020408165</v>
      </c>
      <c r="N6">
        <f t="shared" si="2"/>
        <v>0.92654545454545434</v>
      </c>
      <c r="O6">
        <f t="shared" si="3"/>
        <v>0.96703296703296704</v>
      </c>
      <c r="P6">
        <f t="shared" si="4"/>
        <v>0.8959999999999998</v>
      </c>
      <c r="Q6">
        <f t="shared" si="5"/>
        <v>0.38681318681318683</v>
      </c>
    </row>
    <row r="7" spans="1:17" x14ac:dyDescent="0.25">
      <c r="A7" t="s">
        <v>14</v>
      </c>
      <c r="B7">
        <v>2001</v>
      </c>
      <c r="C7">
        <v>3</v>
      </c>
      <c r="D7">
        <v>1.8</v>
      </c>
      <c r="E7">
        <v>16</v>
      </c>
      <c r="F7">
        <v>0</v>
      </c>
      <c r="G7">
        <v>1.3</v>
      </c>
      <c r="H7">
        <v>14</v>
      </c>
      <c r="I7">
        <v>3</v>
      </c>
      <c r="J7">
        <v>1.89</v>
      </c>
      <c r="K7">
        <v>4.1100000000000003</v>
      </c>
      <c r="L7">
        <f t="shared" si="0"/>
        <v>0.56632653061224503</v>
      </c>
      <c r="M7">
        <f t="shared" si="1"/>
        <v>1.550949078649833</v>
      </c>
      <c r="N7">
        <f t="shared" si="2"/>
        <v>1.9342994823605861</v>
      </c>
      <c r="O7">
        <f t="shared" si="3"/>
        <v>0.97297297297297303</v>
      </c>
      <c r="P7">
        <f t="shared" si="4"/>
        <v>1.8820211179724622</v>
      </c>
      <c r="Q7">
        <f t="shared" si="5"/>
        <v>0.35527949676010778</v>
      </c>
    </row>
    <row r="8" spans="1:17" x14ac:dyDescent="0.25">
      <c r="A8" t="s">
        <v>15</v>
      </c>
      <c r="B8">
        <v>2003</v>
      </c>
      <c r="C8">
        <v>0</v>
      </c>
      <c r="D8">
        <v>1.2</v>
      </c>
      <c r="E8">
        <v>23</v>
      </c>
      <c r="F8">
        <v>-0.9</v>
      </c>
      <c r="G8">
        <v>1.4</v>
      </c>
      <c r="H8">
        <v>23</v>
      </c>
      <c r="I8">
        <v>0.9</v>
      </c>
      <c r="J8">
        <v>0.15</v>
      </c>
      <c r="K8">
        <v>1.65</v>
      </c>
      <c r="L8">
        <f t="shared" si="0"/>
        <v>0.38265306122448978</v>
      </c>
      <c r="M8">
        <f t="shared" si="1"/>
        <v>1.2976396651387629</v>
      </c>
      <c r="N8">
        <f t="shared" si="2"/>
        <v>0.69356696175263621</v>
      </c>
      <c r="O8">
        <f t="shared" si="3"/>
        <v>0.98285714285714287</v>
      </c>
      <c r="P8">
        <f t="shared" si="4"/>
        <v>0.6816772424083053</v>
      </c>
      <c r="Q8">
        <f t="shared" si="5"/>
        <v>0.28982875952734066</v>
      </c>
    </row>
    <row r="9" spans="1:17" x14ac:dyDescent="0.25">
      <c r="A9" t="s">
        <v>16</v>
      </c>
      <c r="B9">
        <v>2008</v>
      </c>
      <c r="C9">
        <v>1.3</v>
      </c>
      <c r="D9">
        <v>1.9</v>
      </c>
      <c r="E9">
        <v>10</v>
      </c>
      <c r="F9">
        <v>0.3</v>
      </c>
      <c r="G9">
        <v>3</v>
      </c>
      <c r="H9">
        <v>10</v>
      </c>
      <c r="I9">
        <v>1</v>
      </c>
      <c r="J9">
        <v>-1.2</v>
      </c>
      <c r="K9">
        <v>3.2</v>
      </c>
      <c r="L9">
        <f t="shared" si="0"/>
        <v>1.1224489795918369</v>
      </c>
      <c r="M9">
        <f t="shared" si="1"/>
        <v>2.5098722196426215</v>
      </c>
      <c r="N9">
        <f t="shared" si="2"/>
        <v>0.39842665780905334</v>
      </c>
      <c r="O9">
        <f t="shared" si="3"/>
        <v>0.95774647887323949</v>
      </c>
      <c r="P9">
        <f t="shared" si="4"/>
        <v>0.38159172860585394</v>
      </c>
      <c r="Q9">
        <f t="shared" si="5"/>
        <v>0.42831724639432589</v>
      </c>
    </row>
    <row r="10" spans="1:17" x14ac:dyDescent="0.25">
      <c r="A10" t="s">
        <v>17</v>
      </c>
      <c r="B10">
        <v>2011</v>
      </c>
      <c r="C10">
        <v>1.5</v>
      </c>
      <c r="D10">
        <v>1.6</v>
      </c>
      <c r="E10">
        <v>13</v>
      </c>
      <c r="F10">
        <v>1</v>
      </c>
      <c r="G10">
        <v>1.5</v>
      </c>
      <c r="H10">
        <v>11</v>
      </c>
      <c r="I10">
        <v>0.5</v>
      </c>
      <c r="J10">
        <v>-0.74</v>
      </c>
      <c r="K10">
        <v>1.74</v>
      </c>
      <c r="L10">
        <f t="shared" si="0"/>
        <v>0.63265306122448983</v>
      </c>
      <c r="M10">
        <f t="shared" si="1"/>
        <v>1.5496771842097656</v>
      </c>
      <c r="N10">
        <f t="shared" si="2"/>
        <v>0.32264784246337563</v>
      </c>
      <c r="O10">
        <f t="shared" si="3"/>
        <v>0.96551724137931039</v>
      </c>
      <c r="P10">
        <f t="shared" si="4"/>
        <v>0.31152205479222478</v>
      </c>
      <c r="Q10">
        <f t="shared" si="5"/>
        <v>0.39417076320648847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2026-01-02T14:38:47Z</dcterms:modified>
</cp:coreProperties>
</file>