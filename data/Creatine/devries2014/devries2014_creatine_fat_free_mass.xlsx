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evries2014\"/>
    </mc:Choice>
  </mc:AlternateContent>
  <xr:revisionPtr revIDLastSave="0" documentId="13_ncr:1_{4A47F418-38CD-4EAA-B599-55D5FC853529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O3" i="1"/>
  <c r="L4" i="1"/>
  <c r="M4" i="1"/>
  <c r="N4" i="1" s="1"/>
  <c r="O4" i="1"/>
  <c r="Q4" i="1" s="1"/>
  <c r="L5" i="1"/>
  <c r="M5" i="1"/>
  <c r="N5" i="1" s="1"/>
  <c r="P5" i="1" s="1"/>
  <c r="O5" i="1"/>
  <c r="L6" i="1"/>
  <c r="M6" i="1"/>
  <c r="N6" i="1" s="1"/>
  <c r="O6" i="1"/>
  <c r="Q6" i="1"/>
  <c r="L7" i="1"/>
  <c r="M7" i="1"/>
  <c r="N7" i="1" s="1"/>
  <c r="P7" i="1" s="1"/>
  <c r="O7" i="1"/>
  <c r="L8" i="1"/>
  <c r="M8" i="1"/>
  <c r="N8" i="1"/>
  <c r="O8" i="1"/>
  <c r="P8" i="1"/>
  <c r="Q8" i="1"/>
  <c r="L9" i="1"/>
  <c r="M9" i="1"/>
  <c r="N9" i="1" s="1"/>
  <c r="O9" i="1"/>
  <c r="L10" i="1"/>
  <c r="M10" i="1"/>
  <c r="N10" i="1" s="1"/>
  <c r="P10" i="1" s="1"/>
  <c r="O10" i="1"/>
  <c r="Q10" i="1"/>
  <c r="P2" i="1"/>
  <c r="O2" i="1"/>
  <c r="N2" i="1"/>
  <c r="M2" i="1"/>
  <c r="L2" i="1"/>
  <c r="P6" i="1" l="1"/>
  <c r="P9" i="1"/>
  <c r="N3" i="1"/>
  <c r="P3" i="1" s="1"/>
  <c r="Q3" i="1"/>
  <c r="P4" i="1"/>
  <c r="Q9" i="1"/>
  <c r="Q7" i="1"/>
  <c r="Q5" i="1"/>
  <c r="Q2" i="1"/>
</calcChain>
</file>

<file path=xl/sharedStrings.xml><?xml version="1.0" encoding="utf-8"?>
<sst xmlns="http://schemas.openxmlformats.org/spreadsheetml/2006/main" count="26" uniqueCount="26">
  <si>
    <t>author</t>
  </si>
  <si>
    <t>year</t>
  </si>
  <si>
    <t>md_treat</t>
  </si>
  <si>
    <t>sd_treat</t>
  </si>
  <si>
    <t>n_treat</t>
  </si>
  <si>
    <t>md_control</t>
  </si>
  <si>
    <t>sd_control</t>
  </si>
  <si>
    <t>n_control</t>
  </si>
  <si>
    <t>md</t>
  </si>
  <si>
    <t>lCI</t>
  </si>
  <si>
    <t>uCI</t>
  </si>
  <si>
    <t>Aguiar</t>
  </si>
  <si>
    <t>Candow</t>
  </si>
  <si>
    <t>Chrusch</t>
  </si>
  <si>
    <t>Deacon</t>
  </si>
  <si>
    <t>Eijnde</t>
  </si>
  <si>
    <t>Eliot</t>
  </si>
  <si>
    <t>Neves</t>
  </si>
  <si>
    <t>Brosem</t>
  </si>
  <si>
    <t>Brosew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</si>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</sst>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D1" workbookViewId="0">
      <selection activeCell="O5" sqref="O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A2" t="s">
        <v>11</v>
      </c>
      <c r="B2">
        <v>2013</v>
      </c>
      <c r="C2">
        <v>1.1000000000000001</v>
      </c>
      <c r="D2">
        <v>0.5</v>
      </c>
      <c r="E2">
        <v>9</v>
      </c>
      <c r="F2">
        <v>0</v>
      </c>
      <c r="G2">
        <v>0.6</v>
      </c>
      <c r="H2">
        <v>9</v>
      </c>
      <c r="I2">
        <v>1.1000000000000001</v>
      </c>
      <c r="J2">
        <v>0.59</v>
      </c>
      <c r="K2">
        <v>1.61</v>
      </c>
      <c r="L2">
        <f>(K2-J2)/2/1.96</f>
        <v>0.26020408163265307</v>
      </c>
      <c r="M2">
        <f>L2*SQRT((E2+H2)/4)</f>
        <v>0.55197621184460088</v>
      </c>
      <c r="N2">
        <f>I2/M2</f>
        <v>1.9928395035793418</v>
      </c>
      <c r="O2">
        <f>1-3/(4*(E2+H2-2)-1)</f>
        <v>0.95238095238095233</v>
      </c>
      <c r="P2">
        <f>O2*N2</f>
        <v>1.8979423843612777</v>
      </c>
      <c r="Q2">
        <f>O2*L2/M2</f>
        <v>0.44895668646764925</v>
      </c>
    </row>
    <row r="3" spans="1:17" x14ac:dyDescent="0.25">
      <c r="A3" t="s">
        <v>18</v>
      </c>
      <c r="B3">
        <v>2003</v>
      </c>
      <c r="C3">
        <v>1.4</v>
      </c>
      <c r="D3">
        <v>1.2</v>
      </c>
      <c r="E3">
        <v>5</v>
      </c>
      <c r="F3">
        <v>0</v>
      </c>
      <c r="G3">
        <v>0.5</v>
      </c>
      <c r="H3">
        <v>2</v>
      </c>
      <c r="I3">
        <v>1.4</v>
      </c>
      <c r="J3">
        <v>0.14000000000000001</v>
      </c>
      <c r="K3">
        <v>2.66</v>
      </c>
      <c r="L3">
        <f t="shared" ref="L3:L10" si="0">(K3-J3)/2/1.96</f>
        <v>0.6428571428571429</v>
      </c>
      <c r="M3">
        <f t="shared" ref="M3:M10" si="1">L3*SQRT((E3+H3)/4)</f>
        <v>0.85042006427076133</v>
      </c>
      <c r="N3">
        <f t="shared" ref="N3:N10" si="2">I3/M3</f>
        <v>1.6462452602179671</v>
      </c>
      <c r="O3">
        <f t="shared" ref="O3:O10" si="3">1-3/(4*(E3+H3-2)-1)</f>
        <v>0.84210526315789469</v>
      </c>
      <c r="P3">
        <f t="shared" ref="P3:P10" si="4">O3*N3</f>
        <v>1.386311798078288</v>
      </c>
      <c r="Q3">
        <f t="shared" ref="Q3:Q10" si="5">O3*L3/M3</f>
        <v>0.63657174401554051</v>
      </c>
    </row>
    <row r="4" spans="1:17" x14ac:dyDescent="0.25">
      <c r="A4" t="s">
        <v>19</v>
      </c>
      <c r="B4">
        <v>2003</v>
      </c>
      <c r="C4">
        <v>2</v>
      </c>
      <c r="D4">
        <v>1.2</v>
      </c>
      <c r="E4">
        <v>5</v>
      </c>
      <c r="F4">
        <v>0.6</v>
      </c>
      <c r="G4">
        <v>0.5</v>
      </c>
      <c r="H4">
        <v>4</v>
      </c>
      <c r="I4">
        <v>1.4</v>
      </c>
      <c r="J4">
        <v>0.24</v>
      </c>
      <c r="K4">
        <v>2.56</v>
      </c>
      <c r="L4">
        <f t="shared" si="0"/>
        <v>0.59183673469387765</v>
      </c>
      <c r="M4">
        <f t="shared" si="1"/>
        <v>0.88775510204081653</v>
      </c>
      <c r="N4">
        <f t="shared" si="2"/>
        <v>1.577011494252873</v>
      </c>
      <c r="O4">
        <f t="shared" si="3"/>
        <v>0.88888888888888884</v>
      </c>
      <c r="P4">
        <f t="shared" si="4"/>
        <v>1.4017879948914427</v>
      </c>
      <c r="Q4">
        <f t="shared" si="5"/>
        <v>0.59259259259259256</v>
      </c>
    </row>
    <row r="5" spans="1:17" x14ac:dyDescent="0.25">
      <c r="A5" t="s">
        <v>12</v>
      </c>
      <c r="B5">
        <v>2008</v>
      </c>
      <c r="C5">
        <v>2.1</v>
      </c>
      <c r="D5">
        <v>1.4</v>
      </c>
      <c r="E5">
        <v>13</v>
      </c>
      <c r="F5">
        <v>0.6</v>
      </c>
      <c r="G5">
        <v>2.1</v>
      </c>
      <c r="H5">
        <v>12</v>
      </c>
      <c r="I5">
        <v>1.5</v>
      </c>
      <c r="J5">
        <v>0.09</v>
      </c>
      <c r="K5">
        <v>2.91</v>
      </c>
      <c r="L5">
        <f t="shared" si="0"/>
        <v>0.71938775510204089</v>
      </c>
      <c r="M5">
        <f t="shared" si="1"/>
        <v>1.7984693877551021</v>
      </c>
      <c r="N5">
        <f t="shared" si="2"/>
        <v>0.83404255319148934</v>
      </c>
      <c r="O5">
        <f t="shared" si="3"/>
        <v>0.96703296703296704</v>
      </c>
      <c r="P5">
        <f t="shared" si="4"/>
        <v>0.80654664484451721</v>
      </c>
      <c r="Q5">
        <f t="shared" si="5"/>
        <v>0.38681318681318683</v>
      </c>
    </row>
    <row r="6" spans="1:17" x14ac:dyDescent="0.25">
      <c r="A6" t="s">
        <v>13</v>
      </c>
      <c r="B6">
        <v>2001</v>
      </c>
      <c r="C6">
        <v>3.3</v>
      </c>
      <c r="D6">
        <v>0.3</v>
      </c>
      <c r="E6">
        <v>16</v>
      </c>
      <c r="F6">
        <v>1.3</v>
      </c>
      <c r="G6">
        <v>0.3</v>
      </c>
      <c r="H6">
        <v>14</v>
      </c>
      <c r="I6">
        <v>2</v>
      </c>
      <c r="J6">
        <v>1.78</v>
      </c>
      <c r="K6">
        <v>2.2200000000000002</v>
      </c>
      <c r="L6">
        <f t="shared" si="0"/>
        <v>0.11224489795918371</v>
      </c>
      <c r="M6">
        <f t="shared" si="1"/>
        <v>0.30739531288555255</v>
      </c>
      <c r="N6">
        <f t="shared" si="2"/>
        <v>6.5062800770310609</v>
      </c>
      <c r="O6">
        <f t="shared" si="3"/>
        <v>0.97297297297297303</v>
      </c>
      <c r="P6">
        <f t="shared" si="4"/>
        <v>6.3304346695437355</v>
      </c>
      <c r="Q6">
        <f t="shared" si="5"/>
        <v>0.35527949676010773</v>
      </c>
    </row>
    <row r="7" spans="1:17" x14ac:dyDescent="0.25">
      <c r="A7" t="s">
        <v>14</v>
      </c>
      <c r="B7">
        <v>2008</v>
      </c>
      <c r="C7">
        <v>0.9</v>
      </c>
      <c r="D7">
        <v>2.4</v>
      </c>
      <c r="E7">
        <v>38</v>
      </c>
      <c r="F7">
        <v>0.8</v>
      </c>
      <c r="G7">
        <v>2.6</v>
      </c>
      <c r="H7">
        <v>42</v>
      </c>
      <c r="I7">
        <v>0.1</v>
      </c>
      <c r="J7">
        <v>-1</v>
      </c>
      <c r="K7">
        <v>1.2</v>
      </c>
      <c r="L7">
        <f t="shared" si="0"/>
        <v>0.56122448979591844</v>
      </c>
      <c r="M7">
        <f t="shared" si="1"/>
        <v>2.5098722196426215</v>
      </c>
      <c r="N7">
        <f t="shared" si="2"/>
        <v>3.984266578090534E-2</v>
      </c>
      <c r="O7">
        <f t="shared" si="3"/>
        <v>0.99035369774919613</v>
      </c>
      <c r="P7">
        <f t="shared" si="4"/>
        <v>3.9458331384304969E-2</v>
      </c>
      <c r="Q7">
        <f t="shared" si="5"/>
        <v>0.22144981899354829</v>
      </c>
    </row>
    <row r="8" spans="1:17" x14ac:dyDescent="0.25">
      <c r="A8" t="s">
        <v>15</v>
      </c>
      <c r="B8">
        <v>2003</v>
      </c>
      <c r="C8">
        <v>0.9</v>
      </c>
      <c r="D8">
        <v>1.3</v>
      </c>
      <c r="E8">
        <v>23</v>
      </c>
      <c r="F8">
        <v>-1.2</v>
      </c>
      <c r="G8">
        <v>1.3</v>
      </c>
      <c r="H8">
        <v>23</v>
      </c>
      <c r="I8">
        <v>2.1</v>
      </c>
      <c r="J8">
        <v>1.35</v>
      </c>
      <c r="K8">
        <v>2.85</v>
      </c>
      <c r="L8">
        <f t="shared" si="0"/>
        <v>0.38265306122448978</v>
      </c>
      <c r="M8">
        <f t="shared" si="1"/>
        <v>1.2976396651387629</v>
      </c>
      <c r="N8">
        <f t="shared" si="2"/>
        <v>1.6183229107561512</v>
      </c>
      <c r="O8">
        <f t="shared" si="3"/>
        <v>0.98285714285714287</v>
      </c>
      <c r="P8">
        <f t="shared" si="4"/>
        <v>1.5905802322860458</v>
      </c>
      <c r="Q8">
        <f t="shared" si="5"/>
        <v>0.28982875952734066</v>
      </c>
    </row>
    <row r="9" spans="1:17" x14ac:dyDescent="0.25">
      <c r="A9" t="s">
        <v>16</v>
      </c>
      <c r="B9">
        <v>2008</v>
      </c>
      <c r="C9">
        <v>2.5</v>
      </c>
      <c r="D9">
        <v>1.4</v>
      </c>
      <c r="E9">
        <v>10</v>
      </c>
      <c r="F9">
        <v>-0.4</v>
      </c>
      <c r="G9">
        <v>5.2</v>
      </c>
      <c r="H9">
        <v>10</v>
      </c>
      <c r="I9">
        <v>2.9</v>
      </c>
      <c r="J9">
        <v>-0.44</v>
      </c>
      <c r="K9">
        <v>6.24</v>
      </c>
      <c r="L9">
        <f t="shared" si="0"/>
        <v>1.7040816326530615</v>
      </c>
      <c r="M9">
        <f t="shared" si="1"/>
        <v>3.8104423698210708</v>
      </c>
      <c r="N9">
        <f t="shared" si="2"/>
        <v>0.76106649006639537</v>
      </c>
      <c r="O9">
        <f t="shared" si="3"/>
        <v>0.95774647887323949</v>
      </c>
      <c r="P9">
        <f t="shared" si="4"/>
        <v>0.72890875104950548</v>
      </c>
      <c r="Q9">
        <f t="shared" si="5"/>
        <v>0.42831724639432589</v>
      </c>
    </row>
    <row r="10" spans="1:17" x14ac:dyDescent="0.25">
      <c r="A10" t="s">
        <v>17</v>
      </c>
      <c r="B10">
        <v>2011</v>
      </c>
      <c r="C10">
        <v>1.1000000000000001</v>
      </c>
      <c r="D10">
        <v>1.4</v>
      </c>
      <c r="E10">
        <v>13</v>
      </c>
      <c r="F10">
        <v>0.8</v>
      </c>
      <c r="G10">
        <v>0.8</v>
      </c>
      <c r="H10">
        <v>11</v>
      </c>
      <c r="I10">
        <v>0.3</v>
      </c>
      <c r="J10">
        <v>-0.6</v>
      </c>
      <c r="K10">
        <v>1.2</v>
      </c>
      <c r="L10">
        <f t="shared" si="0"/>
        <v>0.45918367346938771</v>
      </c>
      <c r="M10">
        <f t="shared" si="1"/>
        <v>1.1247656982167653</v>
      </c>
      <c r="N10">
        <f t="shared" si="2"/>
        <v>0.26672221643639055</v>
      </c>
      <c r="O10">
        <f t="shared" si="3"/>
        <v>0.96551724137931039</v>
      </c>
      <c r="P10">
        <f t="shared" si="4"/>
        <v>0.25752489862823918</v>
      </c>
      <c r="Q10">
        <f t="shared" si="5"/>
        <v>0.39417076320648842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2026-01-02T14:41:10Z</dcterms:modified>
</cp:coreProperties>
</file>