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esai2024\"/>
    </mc:Choice>
  </mc:AlternateContent>
  <xr:revisionPtr revIDLastSave="0" documentId="13_ncr:1_{FE7B80B9-C7AF-45EC-B8A8-BF7ABDE9A39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K3" i="1"/>
  <c r="L3" i="1"/>
  <c r="M3" i="1" s="1"/>
  <c r="N3" i="1"/>
  <c r="K4" i="1"/>
  <c r="L4" i="1"/>
  <c r="M4" i="1" s="1"/>
  <c r="N4" i="1"/>
  <c r="K5" i="1"/>
  <c r="L5" i="1"/>
  <c r="M5" i="1" s="1"/>
  <c r="N5" i="1"/>
  <c r="K6" i="1"/>
  <c r="L6" i="1"/>
  <c r="M6" i="1"/>
  <c r="N6" i="1"/>
  <c r="P6" i="1"/>
  <c r="K7" i="1"/>
  <c r="L7" i="1"/>
  <c r="M7" i="1" s="1"/>
  <c r="N7" i="1"/>
  <c r="K8" i="1"/>
  <c r="L8" i="1"/>
  <c r="M8" i="1" s="1"/>
  <c r="N8" i="1"/>
  <c r="P8" i="1"/>
  <c r="K9" i="1"/>
  <c r="L9" i="1"/>
  <c r="M9" i="1" s="1"/>
  <c r="N9" i="1"/>
  <c r="K10" i="1"/>
  <c r="L10" i="1" s="1"/>
  <c r="N10" i="1"/>
  <c r="N2" i="1"/>
  <c r="K2" i="1"/>
  <c r="L2" i="1" s="1"/>
  <c r="M2" i="1" s="1"/>
  <c r="M10" i="1" l="1"/>
  <c r="P10" i="1"/>
  <c r="P4" i="1"/>
  <c r="P9" i="1"/>
  <c r="P7" i="1"/>
  <c r="P5" i="1"/>
  <c r="P3" i="1"/>
  <c r="P2" i="1"/>
</calcChain>
</file>

<file path=xl/sharedStrings.xml><?xml version="1.0" encoding="utf-8"?>
<sst xmlns="http://schemas.openxmlformats.org/spreadsheetml/2006/main" count="25" uniqueCount="25">
  <si>
    <t>Cribb</t>
  </si>
  <si>
    <t>Ferguson</t>
  </si>
  <si>
    <t>Hoffman</t>
  </si>
  <si>
    <t>Nunes</t>
  </si>
  <si>
    <t>Taylor</t>
  </si>
  <si>
    <t>Volek</t>
  </si>
  <si>
    <t>Arciero</t>
  </si>
  <si>
    <t>Saremi</t>
  </si>
  <si>
    <t>Ribeiro</t>
  </si>
  <si>
    <t>Author</t>
  </si>
  <si>
    <t>n_control</t>
  </si>
  <si>
    <t>mc_control</t>
  </si>
  <si>
    <t>sd_control</t>
  </si>
  <si>
    <t>n_treat</t>
  </si>
  <si>
    <t>mc_treat</t>
  </si>
  <si>
    <t>sd_treat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</si>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</sst>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Q7" sqref="Q7"/>
    </sheetView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0</v>
      </c>
      <c r="B2">
        <v>8</v>
      </c>
      <c r="C2">
        <v>-0.3</v>
      </c>
      <c r="D2">
        <v>1.81</v>
      </c>
      <c r="E2">
        <v>7</v>
      </c>
      <c r="F2">
        <v>-0.7</v>
      </c>
      <c r="G2">
        <v>0.95</v>
      </c>
      <c r="H2">
        <v>0.4</v>
      </c>
      <c r="I2">
        <v>-1.04</v>
      </c>
      <c r="J2">
        <v>1.84</v>
      </c>
      <c r="K2">
        <f>(J2-I2)/2/1.96</f>
        <v>0.73469387755102045</v>
      </c>
      <c r="L2">
        <f>K2*SQRT((B2+E2)/4)</f>
        <v>1.4227285761578268</v>
      </c>
      <c r="M2">
        <f>H2/L2</f>
        <v>0.28114990216913099</v>
      </c>
      <c r="N2">
        <f>1-3/(4*(B2+E2-2)-1)</f>
        <v>0.94117647058823528</v>
      </c>
      <c r="O2">
        <f>-N2*M2</f>
        <v>-0.26461167262977037</v>
      </c>
      <c r="P2">
        <f>N2*K2/L2</f>
        <v>0.48602143952406796</v>
      </c>
    </row>
    <row r="3" spans="1:16" x14ac:dyDescent="0.25">
      <c r="A3" t="s">
        <v>1</v>
      </c>
      <c r="B3">
        <v>13</v>
      </c>
      <c r="C3">
        <v>-0.7</v>
      </c>
      <c r="D3">
        <v>1.1299999999999999</v>
      </c>
      <c r="E3">
        <v>13</v>
      </c>
      <c r="F3">
        <v>1.4</v>
      </c>
      <c r="G3">
        <v>1.27</v>
      </c>
      <c r="H3">
        <v>-2.1</v>
      </c>
      <c r="I3">
        <v>-3.03</v>
      </c>
      <c r="J3">
        <v>-1.17</v>
      </c>
      <c r="K3">
        <f t="shared" ref="K3:K10" si="0">(J3-I3)/2/1.96</f>
        <v>0.47448979591836732</v>
      </c>
      <c r="L3">
        <f t="shared" ref="L3:L10" si="1">K3*SQRT((B3+E3)/4)</f>
        <v>1.2097163641942064</v>
      </c>
      <c r="M3">
        <f t="shared" ref="M3:M10" si="2">H3/L3</f>
        <v>-1.7359441123199262</v>
      </c>
      <c r="N3">
        <f t="shared" ref="N3:N10" si="3">1-3/(4*(B3+E3-2)-1)</f>
        <v>0.96842105263157896</v>
      </c>
      <c r="O3">
        <f t="shared" ref="O3:O10" si="4">-N3*M3</f>
        <v>1.6811248245624548</v>
      </c>
      <c r="P3">
        <f t="shared" ref="P3:P10" si="5">N3*K3/L3</f>
        <v>0.37984598805711439</v>
      </c>
    </row>
    <row r="4" spans="1:16" x14ac:dyDescent="0.25">
      <c r="A4" t="s">
        <v>2</v>
      </c>
      <c r="B4">
        <v>11</v>
      </c>
      <c r="C4">
        <v>-0.7</v>
      </c>
      <c r="D4">
        <v>0.9</v>
      </c>
      <c r="E4">
        <v>11</v>
      </c>
      <c r="F4">
        <v>0.32</v>
      </c>
      <c r="G4">
        <v>1.5</v>
      </c>
      <c r="H4">
        <v>-1.02</v>
      </c>
      <c r="I4">
        <v>-2.0499999999999998</v>
      </c>
      <c r="J4">
        <v>0.01</v>
      </c>
      <c r="K4">
        <f t="shared" si="0"/>
        <v>0.52551020408163251</v>
      </c>
      <c r="L4">
        <f t="shared" si="1"/>
        <v>1.2324306715862581</v>
      </c>
      <c r="M4">
        <f t="shared" si="2"/>
        <v>-0.82763276143327469</v>
      </c>
      <c r="N4">
        <f t="shared" si="3"/>
        <v>0.96202531645569622</v>
      </c>
      <c r="O4">
        <f t="shared" si="4"/>
        <v>0.79620366922694785</v>
      </c>
      <c r="P4">
        <f t="shared" si="5"/>
        <v>0.4102089732411745</v>
      </c>
    </row>
    <row r="5" spans="1:16" x14ac:dyDescent="0.25">
      <c r="A5" t="s">
        <v>3</v>
      </c>
      <c r="B5">
        <v>22</v>
      </c>
      <c r="C5">
        <v>-0.12</v>
      </c>
      <c r="D5">
        <v>0.85</v>
      </c>
      <c r="E5">
        <v>21</v>
      </c>
      <c r="F5">
        <v>-0.31</v>
      </c>
      <c r="G5">
        <v>0.77</v>
      </c>
      <c r="H5">
        <v>0.19</v>
      </c>
      <c r="I5">
        <v>-0.28999999999999998</v>
      </c>
      <c r="J5">
        <v>0.67</v>
      </c>
      <c r="K5">
        <f t="shared" si="0"/>
        <v>0.24489795918367346</v>
      </c>
      <c r="L5">
        <f t="shared" si="1"/>
        <v>0.8029516560369796</v>
      </c>
      <c r="M5">
        <f t="shared" si="2"/>
        <v>0.23662694829942493</v>
      </c>
      <c r="N5">
        <f t="shared" si="3"/>
        <v>0.98159509202453987</v>
      </c>
      <c r="O5">
        <f t="shared" si="4"/>
        <v>-0.23227185109146006</v>
      </c>
      <c r="P5">
        <f t="shared" si="5"/>
        <v>0.29938369635848772</v>
      </c>
    </row>
    <row r="6" spans="1:16" x14ac:dyDescent="0.25">
      <c r="A6" t="s">
        <v>4</v>
      </c>
      <c r="B6">
        <v>14</v>
      </c>
      <c r="C6">
        <v>-1.1000000000000001</v>
      </c>
      <c r="D6">
        <v>0.84</v>
      </c>
      <c r="E6">
        <v>15</v>
      </c>
      <c r="F6">
        <v>4</v>
      </c>
      <c r="G6">
        <v>0.81</v>
      </c>
      <c r="H6">
        <v>-1.5</v>
      </c>
      <c r="I6">
        <v>-2.1</v>
      </c>
      <c r="J6">
        <v>-0.9</v>
      </c>
      <c r="K6">
        <f t="shared" si="0"/>
        <v>0.3061224489795919</v>
      </c>
      <c r="L6">
        <f t="shared" si="1"/>
        <v>0.82425991945936294</v>
      </c>
      <c r="M6">
        <f t="shared" si="2"/>
        <v>-1.819814314135108</v>
      </c>
      <c r="N6">
        <f t="shared" si="3"/>
        <v>0.9719626168224299</v>
      </c>
      <c r="O6">
        <f t="shared" si="4"/>
        <v>1.768791482897675</v>
      </c>
      <c r="P6">
        <f t="shared" si="5"/>
        <v>0.36097785365258683</v>
      </c>
    </row>
    <row r="7" spans="1:16" x14ac:dyDescent="0.25">
      <c r="A7" t="s">
        <v>5</v>
      </c>
      <c r="B7">
        <v>9</v>
      </c>
      <c r="C7">
        <v>-1.3</v>
      </c>
      <c r="D7">
        <v>1.36</v>
      </c>
      <c r="E7">
        <v>8</v>
      </c>
      <c r="F7">
        <v>0.9</v>
      </c>
      <c r="G7">
        <v>1.25</v>
      </c>
      <c r="H7">
        <v>-2.2000000000000002</v>
      </c>
      <c r="I7">
        <v>-3.44</v>
      </c>
      <c r="J7">
        <v>-0.96</v>
      </c>
      <c r="K7">
        <f t="shared" si="0"/>
        <v>0.63265306122448983</v>
      </c>
      <c r="L7">
        <f t="shared" si="1"/>
        <v>1.3042476978994642</v>
      </c>
      <c r="M7">
        <f t="shared" si="2"/>
        <v>-1.6867961534784963</v>
      </c>
      <c r="N7">
        <f t="shared" si="3"/>
        <v>0.94915254237288138</v>
      </c>
      <c r="O7">
        <f t="shared" si="4"/>
        <v>1.6010268575389117</v>
      </c>
      <c r="P7">
        <f t="shared" si="5"/>
        <v>0.46040661023846258</v>
      </c>
    </row>
    <row r="8" spans="1:16" x14ac:dyDescent="0.25">
      <c r="A8" t="s">
        <v>6</v>
      </c>
      <c r="B8">
        <v>10</v>
      </c>
      <c r="C8">
        <v>0</v>
      </c>
      <c r="D8">
        <v>0.74</v>
      </c>
      <c r="E8">
        <v>10</v>
      </c>
      <c r="F8">
        <v>-0.1</v>
      </c>
      <c r="G8">
        <v>1.02</v>
      </c>
      <c r="H8">
        <v>0.1</v>
      </c>
      <c r="I8">
        <v>-0.68</v>
      </c>
      <c r="J8">
        <v>0.88</v>
      </c>
      <c r="K8">
        <f t="shared" si="0"/>
        <v>0.39795918367346939</v>
      </c>
      <c r="L8">
        <f t="shared" si="1"/>
        <v>0.8898637869642021</v>
      </c>
      <c r="M8">
        <f t="shared" si="2"/>
        <v>0.11237674963845097</v>
      </c>
      <c r="N8">
        <f t="shared" si="3"/>
        <v>0.95774647887323949</v>
      </c>
      <c r="O8">
        <f t="shared" si="4"/>
        <v>-0.10762843627344601</v>
      </c>
      <c r="P8">
        <f t="shared" si="5"/>
        <v>0.42831724639432589</v>
      </c>
    </row>
    <row r="9" spans="1:16" x14ac:dyDescent="0.25">
      <c r="A9" t="s">
        <v>7</v>
      </c>
      <c r="B9">
        <v>8</v>
      </c>
      <c r="C9">
        <v>-1.28</v>
      </c>
      <c r="D9">
        <v>0.37</v>
      </c>
      <c r="E9">
        <v>8</v>
      </c>
      <c r="F9">
        <v>0.98</v>
      </c>
      <c r="G9">
        <v>0.27</v>
      </c>
      <c r="H9">
        <v>-2.2599999999999998</v>
      </c>
      <c r="I9">
        <v>-2.58</v>
      </c>
      <c r="J9">
        <v>-1.94</v>
      </c>
      <c r="K9">
        <f t="shared" si="0"/>
        <v>0.16326530612244902</v>
      </c>
      <c r="L9">
        <f t="shared" si="1"/>
        <v>0.32653061224489804</v>
      </c>
      <c r="M9">
        <f t="shared" si="2"/>
        <v>-6.9212499999999979</v>
      </c>
      <c r="N9">
        <f t="shared" si="3"/>
        <v>0.94545454545454544</v>
      </c>
      <c r="O9">
        <f t="shared" si="4"/>
        <v>6.5437272727272706</v>
      </c>
      <c r="P9">
        <f t="shared" si="5"/>
        <v>0.47272727272727272</v>
      </c>
    </row>
    <row r="10" spans="1:16" x14ac:dyDescent="0.25">
      <c r="A10" t="s">
        <v>8</v>
      </c>
      <c r="B10">
        <v>14</v>
      </c>
      <c r="C10">
        <v>0.2</v>
      </c>
      <c r="D10">
        <v>0.82</v>
      </c>
      <c r="E10">
        <v>13</v>
      </c>
      <c r="F10">
        <v>-0.3</v>
      </c>
      <c r="G10">
        <v>0.98</v>
      </c>
      <c r="H10">
        <v>0.5</v>
      </c>
      <c r="I10">
        <v>-0.18</v>
      </c>
      <c r="J10">
        <v>1.18</v>
      </c>
      <c r="K10">
        <f t="shared" si="0"/>
        <v>0.34693877551020408</v>
      </c>
      <c r="L10">
        <f t="shared" si="1"/>
        <v>0.90137337944910967</v>
      </c>
      <c r="M10">
        <f t="shared" si="2"/>
        <v>0.55470908216258163</v>
      </c>
      <c r="N10">
        <f t="shared" si="3"/>
        <v>0.96969696969696972</v>
      </c>
      <c r="O10">
        <f t="shared" si="4"/>
        <v>-0.53789971603644282</v>
      </c>
      <c r="P10">
        <f t="shared" si="5"/>
        <v>0.37323653765793985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2025-12-31T15:11:51Z</dcterms:modified>
</cp:coreProperties>
</file>