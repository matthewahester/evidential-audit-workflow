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desai2024\"/>
    </mc:Choice>
  </mc:AlternateContent>
  <xr:revisionPtr revIDLastSave="0" documentId="13_ncr:1_{5B98D58B-3DE5-44DE-AA39-297E2DEA5AF6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O3" i="1" s="1"/>
  <c r="N3" i="1"/>
  <c r="P3" i="1"/>
  <c r="L4" i="1"/>
  <c r="M4" i="1" s="1"/>
  <c r="O4" i="1" s="1"/>
  <c r="N4" i="1"/>
  <c r="P4" i="1"/>
  <c r="L5" i="1"/>
  <c r="M5" i="1"/>
  <c r="N5" i="1"/>
  <c r="O5" i="1" s="1"/>
  <c r="L6" i="1"/>
  <c r="M6" i="1" s="1"/>
  <c r="N6" i="1"/>
  <c r="P6" i="1"/>
  <c r="L7" i="1"/>
  <c r="M7" i="1"/>
  <c r="N7" i="1"/>
  <c r="P7" i="1" s="1"/>
  <c r="O7" i="1"/>
  <c r="L8" i="1"/>
  <c r="M8" i="1" s="1"/>
  <c r="N8" i="1"/>
  <c r="O8" i="1" s="1"/>
  <c r="P8" i="1"/>
  <c r="L9" i="1"/>
  <c r="M9" i="1"/>
  <c r="N9" i="1"/>
  <c r="O9" i="1"/>
  <c r="P9" i="1"/>
  <c r="L10" i="1"/>
  <c r="M10" i="1" s="1"/>
  <c r="N10" i="1"/>
  <c r="O10" i="1" s="1"/>
  <c r="L11" i="1"/>
  <c r="M11" i="1"/>
  <c r="N11" i="1"/>
  <c r="O11" i="1"/>
  <c r="P11" i="1"/>
  <c r="L12" i="1"/>
  <c r="M12" i="1"/>
  <c r="N12" i="1"/>
  <c r="O12" i="1" s="1"/>
  <c r="L13" i="1"/>
  <c r="M13" i="1"/>
  <c r="N13" i="1"/>
  <c r="O13" i="1"/>
  <c r="P13" i="1"/>
  <c r="P2" i="1"/>
  <c r="O2" i="1"/>
  <c r="N2" i="1"/>
  <c r="M2" i="1"/>
  <c r="L2" i="1"/>
  <c r="O6" i="1" l="1"/>
  <c r="P5" i="1"/>
  <c r="P10" i="1"/>
  <c r="P12" i="1"/>
  <c r="K3" i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<sst xmlns="http://schemas.openxmlformats.org/spreadsheetml/2006/main" count="29" uniqueCount="28">
  <si>
    <t>7 03</t>
  </si>
  <si>
    <t>Andre</t>
  </si>
  <si>
    <t>Burke</t>
  </si>
  <si>
    <t>Cribb</t>
  </si>
  <si>
    <t>Ferguson</t>
  </si>
  <si>
    <t>Hoffman</t>
  </si>
  <si>
    <t>Nunes</t>
  </si>
  <si>
    <t>Taylor</t>
  </si>
  <si>
    <t>Volek</t>
  </si>
  <si>
    <t>Arciero</t>
  </si>
  <si>
    <t>Saremi</t>
  </si>
  <si>
    <t>Spillane</t>
  </si>
  <si>
    <t>Author</t>
  </si>
  <si>
    <t>n_control</t>
  </si>
  <si>
    <t>sd_control</t>
  </si>
  <si>
    <t>n_treat</t>
  </si>
  <si>
    <t>mc_treat</t>
  </si>
  <si>
    <t>mc_control</t>
  </si>
  <si>
    <t>sd_treat</t>
  </si>
  <si>
    <t>md</t>
  </si>
  <si>
    <t>lCI</t>
  </si>
  <si>
    <t>uCI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</si>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</sst>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D1" workbookViewId="0">
      <selection activeCell="N22" sqref="N22"/>
    </sheetView>
  </sheetViews>
  <sheetFormatPr defaultRowHeight="15" x14ac:dyDescent="0.25"/>
  <cols>
    <col min="1" max="1" width="9.140625" bestFit="1" customWidth="1"/>
    <col min="2" max="2" width="9.42578125" bestFit="1" customWidth="1"/>
    <col min="3" max="3" width="10.85546875" bestFit="1" customWidth="1"/>
    <col min="4" max="4" width="10.28515625" bestFit="1" customWidth="1"/>
    <col min="5" max="5" width="7.42578125" bestFit="1" customWidth="1"/>
    <col min="6" max="6" width="8.85546875" bestFit="1" customWidth="1"/>
    <col min="7" max="7" width="8.28515625" bestFit="1" customWidth="1"/>
    <col min="8" max="8" width="5" bestFit="1" customWidth="1"/>
    <col min="9" max="9" width="5.7109375" bestFit="1" customWidth="1"/>
    <col min="10" max="10" width="5" bestFit="1" customWidth="1"/>
    <col min="11" max="16" width="12" bestFit="1" customWidth="1"/>
  </cols>
  <sheetData>
    <row r="1" spans="1:16" x14ac:dyDescent="0.25">
      <c r="A1" t="s">
        <v>12</v>
      </c>
      <c r="B1" t="s">
        <v>13</v>
      </c>
      <c r="C1" t="s">
        <v>17</v>
      </c>
      <c r="D1" t="s">
        <v>14</v>
      </c>
      <c r="E1" t="s">
        <v>15</v>
      </c>
      <c r="F1" t="s">
        <v>16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 x14ac:dyDescent="0.25">
      <c r="A2" t="s">
        <v>1</v>
      </c>
      <c r="B2">
        <v>10</v>
      </c>
      <c r="C2">
        <v>-0.4</v>
      </c>
      <c r="D2">
        <v>1.56</v>
      </c>
      <c r="E2">
        <v>9</v>
      </c>
      <c r="F2">
        <v>1.2</v>
      </c>
      <c r="G2">
        <v>1.55</v>
      </c>
      <c r="H2">
        <v>1.6</v>
      </c>
      <c r="I2">
        <v>0.2</v>
      </c>
      <c r="J2">
        <v>3</v>
      </c>
      <c r="K2">
        <f>(J2-I2)/2/1.96</f>
        <v>0.7142857142857143</v>
      </c>
      <c r="L2">
        <f>K2*SQRT((B2+E2)/4)</f>
        <v>1.5567496226930979</v>
      </c>
      <c r="M2">
        <f>H2/L2</f>
        <v>1.0277824877401167</v>
      </c>
      <c r="N2">
        <f>1-3/(4*(B2+E2-2)-1)</f>
        <v>0.95522388059701491</v>
      </c>
      <c r="O2">
        <f>N2*M2</f>
        <v>0.98176237634876817</v>
      </c>
      <c r="P2">
        <f>N2*K2/L2</f>
        <v>0.43828677515570003</v>
      </c>
    </row>
    <row r="3" spans="1:16" x14ac:dyDescent="0.25">
      <c r="A3" t="s">
        <v>2</v>
      </c>
      <c r="B3">
        <v>12</v>
      </c>
      <c r="C3">
        <v>0.82</v>
      </c>
      <c r="D3">
        <v>2.21</v>
      </c>
      <c r="E3">
        <v>12</v>
      </c>
      <c r="F3">
        <v>1.91</v>
      </c>
      <c r="G3">
        <v>2.91</v>
      </c>
      <c r="H3">
        <v>1.0900000000000001</v>
      </c>
      <c r="I3">
        <v>-0.97</v>
      </c>
      <c r="J3">
        <v>3.16</v>
      </c>
      <c r="K3">
        <f t="shared" ref="K3:K13" si="0">(J3-I3)/2/1.96</f>
        <v>1.0535714285714286</v>
      </c>
      <c r="L3">
        <f t="shared" ref="L3:L13" si="1">K3*SQRT((B3+E3)/4)</f>
        <v>2.5807124075751338</v>
      </c>
      <c r="M3">
        <f t="shared" ref="M3:M13" si="2">H3/L3</f>
        <v>0.42236399406634245</v>
      </c>
      <c r="N3">
        <f t="shared" ref="N3:N13" si="3">1-3/(4*(B3+E3-2)-1)</f>
        <v>0.96551724137931039</v>
      </c>
      <c r="O3">
        <f t="shared" ref="O3:O13" si="4">N3*M3</f>
        <v>0.40779971840888241</v>
      </c>
      <c r="P3">
        <f t="shared" ref="P3:P13" si="5">N3*K3/L3</f>
        <v>0.39417076320648853</v>
      </c>
    </row>
    <row r="4" spans="1:16" x14ac:dyDescent="0.25">
      <c r="A4" t="s">
        <v>2</v>
      </c>
      <c r="B4">
        <v>8</v>
      </c>
      <c r="C4">
        <v>0.82</v>
      </c>
      <c r="D4">
        <v>1.99</v>
      </c>
      <c r="E4">
        <v>10</v>
      </c>
      <c r="F4">
        <v>3.28</v>
      </c>
      <c r="G4" t="s">
        <v>0</v>
      </c>
      <c r="H4">
        <v>2.46</v>
      </c>
      <c r="I4">
        <v>-2.11</v>
      </c>
      <c r="J4">
        <v>7.03</v>
      </c>
      <c r="K4">
        <f t="shared" si="0"/>
        <v>2.3316326530612246</v>
      </c>
      <c r="L4">
        <f t="shared" si="1"/>
        <v>4.9461397806467176</v>
      </c>
      <c r="M4">
        <f t="shared" si="2"/>
        <v>0.49735755742801713</v>
      </c>
      <c r="N4">
        <f t="shared" si="3"/>
        <v>0.95238095238095233</v>
      </c>
      <c r="O4">
        <f t="shared" si="4"/>
        <v>0.47367386421715912</v>
      </c>
      <c r="P4">
        <f t="shared" si="5"/>
        <v>0.44895668646764919</v>
      </c>
    </row>
    <row r="5" spans="1:16" x14ac:dyDescent="0.25">
      <c r="A5" t="s">
        <v>3</v>
      </c>
      <c r="B5">
        <v>7</v>
      </c>
      <c r="C5">
        <v>0.7</v>
      </c>
      <c r="D5">
        <v>1.65</v>
      </c>
      <c r="E5">
        <v>8</v>
      </c>
      <c r="F5">
        <v>4.3</v>
      </c>
      <c r="G5">
        <v>2.1</v>
      </c>
      <c r="H5">
        <v>3.6</v>
      </c>
      <c r="I5">
        <v>1.7</v>
      </c>
      <c r="J5">
        <v>5.5</v>
      </c>
      <c r="K5">
        <f t="shared" si="0"/>
        <v>0.96938775510204078</v>
      </c>
      <c r="L5">
        <f t="shared" si="1"/>
        <v>1.8772113157637991</v>
      </c>
      <c r="M5">
        <f t="shared" si="2"/>
        <v>1.9177382800589147</v>
      </c>
      <c r="N5">
        <f t="shared" si="3"/>
        <v>0.94117647058823528</v>
      </c>
      <c r="O5">
        <f t="shared" si="4"/>
        <v>1.804930145937802</v>
      </c>
      <c r="P5">
        <f t="shared" si="5"/>
        <v>0.48602143952406796</v>
      </c>
    </row>
    <row r="6" spans="1:16" x14ac:dyDescent="0.25">
      <c r="A6" t="s">
        <v>4</v>
      </c>
      <c r="B6">
        <v>13</v>
      </c>
      <c r="C6">
        <v>0.93</v>
      </c>
      <c r="D6">
        <v>1.1299999999999999</v>
      </c>
      <c r="E6">
        <v>13</v>
      </c>
      <c r="F6">
        <v>1.08</v>
      </c>
      <c r="G6">
        <v>0.92</v>
      </c>
      <c r="H6">
        <v>0.15</v>
      </c>
      <c r="I6">
        <v>-0.64</v>
      </c>
      <c r="J6">
        <v>0.94</v>
      </c>
      <c r="K6">
        <f t="shared" si="0"/>
        <v>0.40306122448979592</v>
      </c>
      <c r="L6">
        <f t="shared" si="1"/>
        <v>1.0276085244230357</v>
      </c>
      <c r="M6">
        <f t="shared" si="2"/>
        <v>0.14596998412816733</v>
      </c>
      <c r="N6">
        <f t="shared" si="3"/>
        <v>0.96842105263157896</v>
      </c>
      <c r="O6">
        <f t="shared" si="4"/>
        <v>0.14136040568201469</v>
      </c>
      <c r="P6">
        <f t="shared" si="5"/>
        <v>0.37984598805711434</v>
      </c>
    </row>
    <row r="7" spans="1:16" x14ac:dyDescent="0.25">
      <c r="A7" t="s">
        <v>5</v>
      </c>
      <c r="B7">
        <v>11</v>
      </c>
      <c r="C7">
        <v>-0.55000000000000004</v>
      </c>
      <c r="D7">
        <v>1.59</v>
      </c>
      <c r="E7">
        <v>11</v>
      </c>
      <c r="F7">
        <v>0.64</v>
      </c>
      <c r="G7">
        <v>1.72</v>
      </c>
      <c r="H7">
        <v>1.19</v>
      </c>
      <c r="I7">
        <v>-0.19</v>
      </c>
      <c r="J7">
        <v>2.57</v>
      </c>
      <c r="K7">
        <f t="shared" si="0"/>
        <v>0.70408163265306123</v>
      </c>
      <c r="L7">
        <f t="shared" si="1"/>
        <v>1.6512177929990646</v>
      </c>
      <c r="M7">
        <f t="shared" si="2"/>
        <v>0.7206802185910518</v>
      </c>
      <c r="N7">
        <f t="shared" si="3"/>
        <v>0.96202531645569622</v>
      </c>
      <c r="O7">
        <f t="shared" si="4"/>
        <v>0.69331261535341693</v>
      </c>
      <c r="P7">
        <f t="shared" si="5"/>
        <v>0.4102089732411745</v>
      </c>
    </row>
    <row r="8" spans="1:16" x14ac:dyDescent="0.25">
      <c r="A8" t="s">
        <v>6</v>
      </c>
      <c r="B8">
        <v>21</v>
      </c>
      <c r="C8">
        <v>0.46</v>
      </c>
      <c r="D8">
        <v>1.32</v>
      </c>
      <c r="E8">
        <v>22</v>
      </c>
      <c r="F8">
        <v>1.77</v>
      </c>
      <c r="G8">
        <v>1.03</v>
      </c>
      <c r="H8">
        <v>1.31</v>
      </c>
      <c r="I8">
        <v>0.6</v>
      </c>
      <c r="J8">
        <v>2.02</v>
      </c>
      <c r="K8">
        <f t="shared" si="0"/>
        <v>0.36224489795918369</v>
      </c>
      <c r="L8">
        <f t="shared" si="1"/>
        <v>1.1876993245546992</v>
      </c>
      <c r="M8">
        <f t="shared" si="2"/>
        <v>1.1029727582704105</v>
      </c>
      <c r="N8">
        <f t="shared" si="3"/>
        <v>0.98159509202453987</v>
      </c>
      <c r="O8">
        <f t="shared" si="4"/>
        <v>1.0826726461550042</v>
      </c>
      <c r="P8">
        <f t="shared" si="5"/>
        <v>0.29938369635848766</v>
      </c>
    </row>
    <row r="9" spans="1:16" x14ac:dyDescent="0.25">
      <c r="A9" t="s">
        <v>7</v>
      </c>
      <c r="B9">
        <v>15</v>
      </c>
      <c r="C9">
        <v>0.5</v>
      </c>
      <c r="D9">
        <v>1.98</v>
      </c>
      <c r="E9">
        <v>14</v>
      </c>
      <c r="F9">
        <v>1.9</v>
      </c>
      <c r="G9">
        <v>1.99</v>
      </c>
      <c r="H9">
        <v>1.4</v>
      </c>
      <c r="I9">
        <v>-0.05</v>
      </c>
      <c r="J9">
        <v>2.85</v>
      </c>
      <c r="K9">
        <f t="shared" si="0"/>
        <v>0.73979591836734693</v>
      </c>
      <c r="L9">
        <f t="shared" si="1"/>
        <v>1.9919614720267935</v>
      </c>
      <c r="M9">
        <f t="shared" si="2"/>
        <v>0.70282483856252453</v>
      </c>
      <c r="N9">
        <f t="shared" si="3"/>
        <v>0.9719626168224299</v>
      </c>
      <c r="O9">
        <f t="shared" si="4"/>
        <v>0.68311946925703315</v>
      </c>
      <c r="P9">
        <f t="shared" si="5"/>
        <v>0.36097785365258678</v>
      </c>
    </row>
    <row r="10" spans="1:16" x14ac:dyDescent="0.25">
      <c r="A10" t="s">
        <v>8</v>
      </c>
      <c r="B10">
        <v>8</v>
      </c>
      <c r="C10">
        <v>2</v>
      </c>
      <c r="D10">
        <v>1.41</v>
      </c>
      <c r="E10">
        <v>9</v>
      </c>
      <c r="F10">
        <v>3.4</v>
      </c>
      <c r="G10">
        <v>1.29</v>
      </c>
      <c r="H10">
        <v>1.4</v>
      </c>
      <c r="I10">
        <v>0.11</v>
      </c>
      <c r="J10">
        <v>2.69</v>
      </c>
      <c r="K10">
        <f t="shared" si="0"/>
        <v>0.65816326530612246</v>
      </c>
      <c r="L10">
        <f t="shared" si="1"/>
        <v>1.3568383308792811</v>
      </c>
      <c r="M10">
        <f t="shared" si="2"/>
        <v>1.0318104730227871</v>
      </c>
      <c r="N10">
        <f t="shared" si="3"/>
        <v>0.94915254237288138</v>
      </c>
      <c r="O10">
        <f t="shared" si="4"/>
        <v>0.97934553371654365</v>
      </c>
      <c r="P10">
        <f t="shared" si="5"/>
        <v>0.46040661023846269</v>
      </c>
    </row>
    <row r="11" spans="1:16" x14ac:dyDescent="0.25">
      <c r="A11" t="s">
        <v>9</v>
      </c>
      <c r="B11">
        <v>10</v>
      </c>
      <c r="C11">
        <v>0.2</v>
      </c>
      <c r="D11">
        <v>1.45</v>
      </c>
      <c r="E11">
        <v>10</v>
      </c>
      <c r="F11">
        <v>1.7</v>
      </c>
      <c r="G11">
        <v>1.07</v>
      </c>
      <c r="H11">
        <v>1.5</v>
      </c>
      <c r="I11">
        <v>0.38</v>
      </c>
      <c r="J11">
        <v>2.62</v>
      </c>
      <c r="K11">
        <f t="shared" si="0"/>
        <v>0.57142857142857151</v>
      </c>
      <c r="L11">
        <f t="shared" si="1"/>
        <v>1.2777531299998801</v>
      </c>
      <c r="M11">
        <f t="shared" si="2"/>
        <v>1.1739356881873892</v>
      </c>
      <c r="N11">
        <f t="shared" si="3"/>
        <v>0.95774647887323949</v>
      </c>
      <c r="O11">
        <f t="shared" si="4"/>
        <v>1.1243327717851053</v>
      </c>
      <c r="P11">
        <f t="shared" si="5"/>
        <v>0.42831724639432595</v>
      </c>
    </row>
    <row r="12" spans="1:16" x14ac:dyDescent="0.25">
      <c r="A12" t="s">
        <v>10</v>
      </c>
      <c r="B12">
        <v>8</v>
      </c>
      <c r="C12">
        <v>203</v>
      </c>
      <c r="D12">
        <v>0.37</v>
      </c>
      <c r="E12">
        <v>8</v>
      </c>
      <c r="F12">
        <v>2.6</v>
      </c>
      <c r="G12">
        <v>0.39</v>
      </c>
      <c r="H12">
        <v>0.56999999999999995</v>
      </c>
      <c r="I12">
        <v>0.2</v>
      </c>
      <c r="J12">
        <v>0.94</v>
      </c>
      <c r="K12">
        <f t="shared" si="0"/>
        <v>0.18877551020408162</v>
      </c>
      <c r="L12">
        <f t="shared" si="1"/>
        <v>0.37755102040816324</v>
      </c>
      <c r="M12">
        <f t="shared" si="2"/>
        <v>1.5097297297297296</v>
      </c>
      <c r="N12">
        <f t="shared" si="3"/>
        <v>0.94545454545454544</v>
      </c>
      <c r="O12">
        <f t="shared" si="4"/>
        <v>1.4273808353808353</v>
      </c>
      <c r="P12">
        <f t="shared" si="5"/>
        <v>0.47272727272727272</v>
      </c>
    </row>
    <row r="13" spans="1:16" x14ac:dyDescent="0.25">
      <c r="A13" t="s">
        <v>11</v>
      </c>
      <c r="B13">
        <v>5</v>
      </c>
      <c r="C13">
        <v>0.85</v>
      </c>
      <c r="D13">
        <v>1.1399999999999999</v>
      </c>
      <c r="E13">
        <v>10</v>
      </c>
      <c r="F13">
        <v>1.85</v>
      </c>
      <c r="G13">
        <v>2.5499999999999998</v>
      </c>
      <c r="H13">
        <v>1</v>
      </c>
      <c r="I13">
        <v>-0.87</v>
      </c>
      <c r="J13">
        <v>2.87</v>
      </c>
      <c r="K13">
        <f t="shared" si="0"/>
        <v>0.95408163265306134</v>
      </c>
      <c r="L13">
        <f t="shared" si="1"/>
        <v>1.8475711370938446</v>
      </c>
      <c r="M13">
        <f t="shared" si="2"/>
        <v>0.54125114856089385</v>
      </c>
      <c r="N13">
        <f t="shared" si="3"/>
        <v>0.94117647058823528</v>
      </c>
      <c r="O13">
        <f t="shared" si="4"/>
        <v>0.50941284570437062</v>
      </c>
      <c r="P13">
        <f t="shared" si="5"/>
        <v>0.48602143952406796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2025-12-31T15:04:26Z</dcterms:modified>
</cp:coreProperties>
</file>