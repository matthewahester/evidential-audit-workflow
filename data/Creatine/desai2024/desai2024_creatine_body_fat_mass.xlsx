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desai2024\"/>
    </mc:Choice>
  </mc:AlternateContent>
  <xr:revisionPtr revIDLastSave="0" documentId="13_ncr:1_{20BE1081-7261-487B-BE4B-91C6822453D6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2" i="1"/>
  <c r="K3" i="1"/>
  <c r="L3" i="1" s="1"/>
  <c r="M3" i="1" s="1"/>
  <c r="N3" i="1"/>
  <c r="K4" i="1"/>
  <c r="L4" i="1"/>
  <c r="P4" i="1" s="1"/>
  <c r="N4" i="1"/>
  <c r="K5" i="1"/>
  <c r="L5" i="1" s="1"/>
  <c r="N5" i="1"/>
  <c r="K6" i="1"/>
  <c r="L6" i="1"/>
  <c r="M6" i="1" s="1"/>
  <c r="N6" i="1"/>
  <c r="P6" i="1"/>
  <c r="K7" i="1"/>
  <c r="L7" i="1" s="1"/>
  <c r="N7" i="1"/>
  <c r="K8" i="1"/>
  <c r="L8" i="1"/>
  <c r="M8" i="1" s="1"/>
  <c r="N8" i="1"/>
  <c r="P8" i="1"/>
  <c r="N2" i="1"/>
  <c r="K2" i="1"/>
  <c r="L2" i="1" s="1"/>
  <c r="M2" i="1" s="1"/>
  <c r="P7" i="1" l="1"/>
  <c r="M7" i="1"/>
  <c r="M5" i="1"/>
  <c r="P5" i="1"/>
  <c r="M4" i="1"/>
  <c r="P3" i="1"/>
  <c r="P2" i="1"/>
</calcChain>
</file>

<file path=xl/sharedStrings.xml><?xml version="1.0" encoding="utf-8"?>
<sst xmlns="http://schemas.openxmlformats.org/spreadsheetml/2006/main" count="23" uniqueCount="23">
  <si>
    <t>Cribb</t>
  </si>
  <si>
    <t>Hoffman</t>
  </si>
  <si>
    <t>Taylor</t>
  </si>
  <si>
    <t>Volek</t>
  </si>
  <si>
    <t>Arciero</t>
  </si>
  <si>
    <t>Saremi</t>
  </si>
  <si>
    <t>Spillane</t>
  </si>
  <si>
    <t>Author</t>
  </si>
  <si>
    <t>n_control</t>
  </si>
  <si>
    <t>mc_control</t>
  </si>
  <si>
    <t>sd_control</t>
  </si>
  <si>
    <t>n_treat</t>
  </si>
  <si>
    <t>mc_treat</t>
  </si>
  <si>
    <t>sd_treat</t>
  </si>
  <si>
    <t>md</t>
  </si>
  <si>
    <t>lCI</t>
  </si>
  <si>
    <t>uCI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</si>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</sst>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O5" sqref="O5"/>
    </sheetView>
  </sheetViews>
  <sheetFormatPr defaultRowHeight="15" x14ac:dyDescent="0.25"/>
  <sheetData>
    <row r="1" spans="1:1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25">
      <c r="A2" t="s">
        <v>0</v>
      </c>
      <c r="B2">
        <v>8</v>
      </c>
      <c r="C2">
        <v>0.4</v>
      </c>
      <c r="D2">
        <v>3.39</v>
      </c>
      <c r="E2">
        <v>7</v>
      </c>
      <c r="F2">
        <v>-0.8</v>
      </c>
      <c r="G2">
        <v>1.1000000000000001</v>
      </c>
      <c r="H2">
        <v>1.2</v>
      </c>
      <c r="I2">
        <v>-1.28</v>
      </c>
      <c r="J2">
        <v>3.68</v>
      </c>
      <c r="K2">
        <f>(J2-I2)/2/1.96</f>
        <v>1.2653061224489797</v>
      </c>
      <c r="L2">
        <f>K2*SQRT((B2+E2)/4)</f>
        <v>2.4502547700495905</v>
      </c>
      <c r="M2">
        <f>H2/L2</f>
        <v>0.48974499087526041</v>
      </c>
      <c r="N2">
        <f>1-3/(4*(B2+E2-2)-1)</f>
        <v>0.94117647058823528</v>
      </c>
      <c r="O2">
        <f>-N2*M2</f>
        <v>-0.46093646200024507</v>
      </c>
      <c r="P2">
        <f>N2*K2/L2</f>
        <v>0.48602143952406801</v>
      </c>
    </row>
    <row r="3" spans="1:16" x14ac:dyDescent="0.25">
      <c r="A3" t="s">
        <v>1</v>
      </c>
      <c r="B3">
        <v>11</v>
      </c>
      <c r="C3">
        <v>-0.39</v>
      </c>
      <c r="D3">
        <v>1.24</v>
      </c>
      <c r="E3">
        <v>11</v>
      </c>
      <c r="F3">
        <v>0.28999999999999998</v>
      </c>
      <c r="G3">
        <v>1.89</v>
      </c>
      <c r="H3">
        <v>-0.68</v>
      </c>
      <c r="I3">
        <v>-2.02</v>
      </c>
      <c r="J3">
        <v>0.66</v>
      </c>
      <c r="K3">
        <f t="shared" ref="K3:K8" si="0">(J3-I3)/2/1.96</f>
        <v>0.68367346938775519</v>
      </c>
      <c r="L3">
        <f t="shared" ref="L3:L8" si="1">K3*SQRT((B3+E3)/4)</f>
        <v>1.603356407694744</v>
      </c>
      <c r="M3">
        <f t="shared" ref="M3:M8" si="2">H3/L3</f>
        <v>-0.42411032053545905</v>
      </c>
      <c r="N3">
        <f t="shared" ref="N3:N8" si="3">1-3/(4*(B3+E3-2)-1)</f>
        <v>0.96202531645569622</v>
      </c>
      <c r="O3">
        <f t="shared" ref="O3:O8" si="4">-N3*M3</f>
        <v>0.40800486532525176</v>
      </c>
      <c r="P3">
        <f t="shared" ref="P3:P8" si="5">N3*K3/L3</f>
        <v>0.4102089732411745</v>
      </c>
    </row>
    <row r="4" spans="1:16" x14ac:dyDescent="0.25">
      <c r="A4" t="s">
        <v>2</v>
      </c>
      <c r="B4">
        <v>14</v>
      </c>
      <c r="C4">
        <v>-0.7</v>
      </c>
      <c r="D4">
        <v>0.83</v>
      </c>
      <c r="E4">
        <v>15</v>
      </c>
      <c r="F4">
        <v>0.3</v>
      </c>
      <c r="G4">
        <v>0.8</v>
      </c>
      <c r="H4">
        <v>-1</v>
      </c>
      <c r="I4">
        <v>-1.59</v>
      </c>
      <c r="J4">
        <v>-0.41</v>
      </c>
      <c r="K4">
        <f t="shared" si="0"/>
        <v>0.30102040816326536</v>
      </c>
      <c r="L4">
        <f t="shared" si="1"/>
        <v>0.81052225413504031</v>
      </c>
      <c r="M4">
        <f t="shared" si="2"/>
        <v>-1.233772416362785</v>
      </c>
      <c r="N4">
        <f t="shared" si="3"/>
        <v>0.9719626168224299</v>
      </c>
      <c r="O4">
        <f t="shared" si="4"/>
        <v>1.1991806663713052</v>
      </c>
      <c r="P4">
        <f t="shared" si="5"/>
        <v>0.36097785365258683</v>
      </c>
    </row>
    <row r="5" spans="1:16" x14ac:dyDescent="0.25">
      <c r="A5" t="s">
        <v>3</v>
      </c>
      <c r="B5">
        <v>8</v>
      </c>
      <c r="C5">
        <v>-0.7</v>
      </c>
      <c r="D5">
        <v>1.78</v>
      </c>
      <c r="E5">
        <v>8</v>
      </c>
      <c r="F5">
        <v>0.7</v>
      </c>
      <c r="G5">
        <v>1.52</v>
      </c>
      <c r="H5">
        <v>-1.4</v>
      </c>
      <c r="I5">
        <v>-3.02</v>
      </c>
      <c r="J5">
        <v>0.22</v>
      </c>
      <c r="K5">
        <f t="shared" si="0"/>
        <v>0.82653061224489799</v>
      </c>
      <c r="L5">
        <f t="shared" si="1"/>
        <v>1.653061224489796</v>
      </c>
      <c r="M5">
        <f t="shared" si="2"/>
        <v>-0.84691358024691354</v>
      </c>
      <c r="N5">
        <f t="shared" si="3"/>
        <v>0.94545454545454544</v>
      </c>
      <c r="O5">
        <f t="shared" si="4"/>
        <v>0.80071829405162731</v>
      </c>
      <c r="P5">
        <f t="shared" si="5"/>
        <v>0.47272727272727272</v>
      </c>
    </row>
    <row r="6" spans="1:16" x14ac:dyDescent="0.25">
      <c r="A6" t="s">
        <v>4</v>
      </c>
      <c r="B6">
        <v>10</v>
      </c>
      <c r="C6">
        <v>0.3</v>
      </c>
      <c r="D6">
        <v>0.71</v>
      </c>
      <c r="E6">
        <v>10</v>
      </c>
      <c r="F6">
        <v>-0.2</v>
      </c>
      <c r="G6">
        <v>1.19</v>
      </c>
      <c r="H6">
        <v>0.5</v>
      </c>
      <c r="I6">
        <v>-0.36</v>
      </c>
      <c r="J6">
        <v>1.36</v>
      </c>
      <c r="K6">
        <f t="shared" si="0"/>
        <v>0.43877551020408168</v>
      </c>
      <c r="L6">
        <f t="shared" si="1"/>
        <v>0.98113186767847926</v>
      </c>
      <c r="M6">
        <f t="shared" si="2"/>
        <v>0.50961549254646366</v>
      </c>
      <c r="N6">
        <f t="shared" si="3"/>
        <v>0.95774647887323949</v>
      </c>
      <c r="O6">
        <f t="shared" si="4"/>
        <v>-0.48808244356562719</v>
      </c>
      <c r="P6">
        <f t="shared" si="5"/>
        <v>0.42831724639432595</v>
      </c>
    </row>
    <row r="7" spans="1:16" x14ac:dyDescent="0.25">
      <c r="A7" t="s">
        <v>5</v>
      </c>
      <c r="B7">
        <v>8</v>
      </c>
      <c r="C7">
        <v>-0.48</v>
      </c>
      <c r="D7">
        <v>0.46</v>
      </c>
      <c r="E7">
        <v>8</v>
      </c>
      <c r="F7">
        <v>0.49</v>
      </c>
      <c r="G7">
        <v>0.28000000000000003</v>
      </c>
      <c r="H7">
        <v>-0.97</v>
      </c>
      <c r="I7">
        <v>-1.34</v>
      </c>
      <c r="J7">
        <v>-0.6</v>
      </c>
      <c r="K7">
        <f t="shared" si="0"/>
        <v>0.18877551020408168</v>
      </c>
      <c r="L7">
        <f t="shared" si="1"/>
        <v>0.37755102040816335</v>
      </c>
      <c r="M7">
        <f t="shared" si="2"/>
        <v>-2.5691891891891885</v>
      </c>
      <c r="N7">
        <f t="shared" si="3"/>
        <v>0.94545454545454544</v>
      </c>
      <c r="O7">
        <f t="shared" si="4"/>
        <v>2.4290515970515965</v>
      </c>
      <c r="P7">
        <f t="shared" si="5"/>
        <v>0.47272727272727272</v>
      </c>
    </row>
    <row r="8" spans="1:16" x14ac:dyDescent="0.25">
      <c r="A8" t="s">
        <v>6</v>
      </c>
      <c r="B8">
        <v>10</v>
      </c>
      <c r="C8">
        <v>-1.47</v>
      </c>
      <c r="D8">
        <v>1.82</v>
      </c>
      <c r="E8">
        <v>5</v>
      </c>
      <c r="F8">
        <v>0.33</v>
      </c>
      <c r="G8">
        <v>0.63</v>
      </c>
      <c r="H8">
        <v>-1.8</v>
      </c>
      <c r="I8">
        <v>-3.05</v>
      </c>
      <c r="J8">
        <v>-0.55000000000000004</v>
      </c>
      <c r="K8">
        <f t="shared" si="0"/>
        <v>0.63775510204081631</v>
      </c>
      <c r="L8">
        <f t="shared" si="1"/>
        <v>1.2350074445814467</v>
      </c>
      <c r="M8">
        <f t="shared" si="2"/>
        <v>-1.4574810928447752</v>
      </c>
      <c r="N8">
        <f t="shared" si="3"/>
        <v>0.94117647058823528</v>
      </c>
      <c r="O8">
        <f t="shared" si="4"/>
        <v>1.3717469109127296</v>
      </c>
      <c r="P8">
        <f t="shared" si="5"/>
        <v>0.48602143952406796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2025-12-31T15:17:58Z</dcterms:modified>
</cp:coreProperties>
</file>