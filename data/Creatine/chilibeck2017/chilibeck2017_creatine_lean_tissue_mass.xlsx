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chilibeck2017\"/>
    </mc:Choice>
  </mc:AlternateContent>
  <xr:revisionPtr revIDLastSave="0" documentId="13_ncr:1_{20EDEE94-379B-402B-AC0E-39A807004384}" xr6:coauthVersionLast="47" xr6:coauthVersionMax="47" xr10:uidLastSave="{00000000-0000-0000-0000-000000000000}"/>
  <bookViews>
    <workbookView xWindow="52800" yWindow="2940" windowWidth="14400" windowHeight="16200" xr2:uid="{A6AC6BC4-B828-48C2-A336-9DB8F78F27E2}"/>
  </bookViews>
  <sheets>
    <sheet name="chilibeck_creatine_l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 s="1"/>
  <c r="O4" i="1"/>
  <c r="P4" i="1"/>
  <c r="Q4" i="1" s="1"/>
  <c r="O5" i="1"/>
  <c r="P5" i="1"/>
  <c r="Q5" i="1"/>
  <c r="R5" i="1"/>
  <c r="O6" i="1"/>
  <c r="P6" i="1"/>
  <c r="Q6" i="1" s="1"/>
  <c r="O7" i="1"/>
  <c r="P7" i="1"/>
  <c r="Q7" i="1" s="1"/>
  <c r="O8" i="1"/>
  <c r="P8" i="1"/>
  <c r="Q8" i="1"/>
  <c r="R8" i="1"/>
  <c r="O9" i="1"/>
  <c r="P9" i="1"/>
  <c r="Q9" i="1" s="1"/>
  <c r="O10" i="1"/>
  <c r="P10" i="1"/>
  <c r="Q10" i="1" s="1"/>
  <c r="O11" i="1"/>
  <c r="P11" i="1"/>
  <c r="Q11" i="1"/>
  <c r="R11" i="1"/>
  <c r="O12" i="1"/>
  <c r="P12" i="1"/>
  <c r="Q12" i="1" s="1"/>
  <c r="O13" i="1"/>
  <c r="P13" i="1"/>
  <c r="Q13" i="1" s="1"/>
  <c r="O14" i="1"/>
  <c r="P14" i="1"/>
  <c r="Q14" i="1"/>
  <c r="R14" i="1"/>
  <c r="O15" i="1"/>
  <c r="P15" i="1"/>
  <c r="Q15" i="1" s="1"/>
  <c r="O16" i="1"/>
  <c r="P16" i="1"/>
  <c r="Q16" i="1" s="1"/>
  <c r="O17" i="1"/>
  <c r="P17" i="1"/>
  <c r="Q17" i="1"/>
  <c r="R17" i="1"/>
  <c r="O18" i="1"/>
  <c r="P18" i="1"/>
  <c r="Q18" i="1" s="1"/>
  <c r="O19" i="1"/>
  <c r="P19" i="1"/>
  <c r="Q19" i="1" s="1"/>
  <c r="O20" i="1"/>
  <c r="P20" i="1"/>
  <c r="Q20" i="1"/>
  <c r="R20" i="1"/>
  <c r="O21" i="1"/>
  <c r="P21" i="1"/>
  <c r="Q21" i="1" s="1"/>
  <c r="O22" i="1"/>
  <c r="P22" i="1"/>
  <c r="Q22" i="1" s="1"/>
  <c r="R22" i="1"/>
  <c r="R2" i="1"/>
  <c r="Q2" i="1"/>
  <c r="P2" i="1"/>
  <c r="O2" i="1"/>
  <c r="R19" i="1" l="1"/>
  <c r="R16" i="1"/>
  <c r="R13" i="1"/>
  <c r="R10" i="1"/>
  <c r="R7" i="1"/>
  <c r="R4" i="1"/>
  <c r="R21" i="1"/>
  <c r="R18" i="1"/>
  <c r="R15" i="1"/>
  <c r="R12" i="1"/>
  <c r="R9" i="1"/>
  <c r="R6" i="1"/>
  <c r="R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</calcChain>
</file>

<file path=xl/sharedStrings.xml><?xml version="1.0" encoding="utf-8"?>
<sst xmlns="http://schemas.openxmlformats.org/spreadsheetml/2006/main" count="39" uniqueCount="39">
  <si>
    <t>Author</t>
  </si>
  <si>
    <t>Year</t>
  </si>
  <si>
    <t>mean_t</t>
  </si>
  <si>
    <t>sd_t</t>
  </si>
  <si>
    <t>n_treatment</t>
  </si>
  <si>
    <t>mean_c</t>
  </si>
  <si>
    <t>sd_c</t>
  </si>
  <si>
    <t>n_control</t>
  </si>
  <si>
    <t>weight</t>
  </si>
  <si>
    <t>ES</t>
  </si>
  <si>
    <t>CI_lower</t>
  </si>
  <si>
    <t>CI_upper</t>
  </si>
  <si>
    <t>SE</t>
  </si>
  <si>
    <t>pooled_sd</t>
  </si>
  <si>
    <t>Aguiar</t>
  </si>
  <si>
    <t>Brose_m</t>
  </si>
  <si>
    <t>Brose_w</t>
  </si>
  <si>
    <t>Candow</t>
  </si>
  <si>
    <t>Candow_a</t>
  </si>
  <si>
    <t>Candow_b</t>
  </si>
  <si>
    <t>Chilibeck</t>
  </si>
  <si>
    <t>Chrusch</t>
  </si>
  <si>
    <t>Collins</t>
  </si>
  <si>
    <t>Cooke</t>
  </si>
  <si>
    <t>Deacon</t>
  </si>
  <si>
    <t>Eijnde</t>
  </si>
  <si>
    <t>Eliot</t>
  </si>
  <si>
    <t>Eliot_p</t>
  </si>
  <si>
    <t>Gualano</t>
  </si>
  <si>
    <t>Johannsmeyer</t>
  </si>
  <si>
    <t>Neves</t>
  </si>
  <si>
    <t>Pinto</t>
  </si>
  <si>
    <t>Tarnopolsky_m</t>
  </si>
  <si>
    <t>Tarnopolsky_w</t>
  </si>
  <si>
    <t>Villanueva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</si>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</sst>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85AC-6202-4561-8794-CA08E56B2AEE}">
  <dimension ref="A1:R22"/>
  <sheetViews>
    <sheetView tabSelected="1" topLeftCell="E1" workbookViewId="0">
      <selection activeCell="L2" sqref="L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25">
      <c r="A2" t="s">
        <v>14</v>
      </c>
      <c r="B2">
        <v>2013</v>
      </c>
      <c r="C2">
        <v>1.1000000000000001</v>
      </c>
      <c r="D2">
        <v>1.5</v>
      </c>
      <c r="E2">
        <v>9</v>
      </c>
      <c r="F2">
        <v>0</v>
      </c>
      <c r="G2">
        <v>2.5</v>
      </c>
      <c r="H2">
        <v>9</v>
      </c>
      <c r="I2">
        <v>4.3999999999999997E-2</v>
      </c>
      <c r="J2">
        <v>1.1000000000000001</v>
      </c>
      <c r="K2">
        <v>-0.8</v>
      </c>
      <c r="L2">
        <v>3</v>
      </c>
      <c r="M2">
        <f>(L2-K2)/2/1.96</f>
        <v>0.96938775510204078</v>
      </c>
      <c r="N2">
        <f>M2*SQRT((E2+H2)/4)</f>
        <v>2.0563819656955715</v>
      </c>
      <c r="O2">
        <f>J2/N2</f>
        <v>0.53492007727656032</v>
      </c>
      <c r="P2">
        <f>1-3/(4*(E2+H2-2)-1)</f>
        <v>0.95238095238095233</v>
      </c>
      <c r="Q2">
        <f>P2*O2</f>
        <v>0.50944769264434309</v>
      </c>
      <c r="R2">
        <f>P2*M2/N2</f>
        <v>0.4489566864676493</v>
      </c>
    </row>
    <row r="3" spans="1:18" x14ac:dyDescent="0.25">
      <c r="A3" t="s">
        <v>15</v>
      </c>
      <c r="B3">
        <v>2003</v>
      </c>
      <c r="C3">
        <v>1.4</v>
      </c>
      <c r="D3">
        <v>4.5999999999999996</v>
      </c>
      <c r="E3">
        <v>5</v>
      </c>
      <c r="F3">
        <v>0</v>
      </c>
      <c r="G3">
        <v>3.5</v>
      </c>
      <c r="H3">
        <v>2</v>
      </c>
      <c r="I3">
        <v>4.0000000000000001E-3</v>
      </c>
      <c r="J3">
        <v>1.4</v>
      </c>
      <c r="K3">
        <v>-4.91</v>
      </c>
      <c r="L3">
        <v>7.71</v>
      </c>
      <c r="M3">
        <f t="shared" ref="M3:M22" si="0">(L3-K3)/2/1.96</f>
        <v>3.2193877551020411</v>
      </c>
      <c r="N3">
        <f>M3*SQRT((E3+H3)/4)</f>
        <v>4.2588496869432575</v>
      </c>
      <c r="O3">
        <f t="shared" ref="O3:O22" si="1">J3/N3</f>
        <v>0.32872726273766062</v>
      </c>
      <c r="P3">
        <f t="shared" ref="P3:P22" si="2">1-3/(4*(E3+H3-2)-1)</f>
        <v>0.84210526315789469</v>
      </c>
      <c r="Q3">
        <f t="shared" ref="Q3:Q22" si="3">P3*O3</f>
        <v>0.27682295809487206</v>
      </c>
      <c r="R3">
        <f t="shared" ref="R3:R22" si="4">P3*M3/N3</f>
        <v>0.63657174401554051</v>
      </c>
    </row>
    <row r="4" spans="1:18" x14ac:dyDescent="0.25">
      <c r="A4" t="s">
        <v>16</v>
      </c>
      <c r="B4">
        <v>2003</v>
      </c>
      <c r="C4">
        <v>2</v>
      </c>
      <c r="D4">
        <v>2.5</v>
      </c>
      <c r="E4">
        <v>5</v>
      </c>
      <c r="F4">
        <v>0.6</v>
      </c>
      <c r="G4">
        <v>1.2</v>
      </c>
      <c r="H4">
        <v>5</v>
      </c>
      <c r="I4">
        <v>2.7E-2</v>
      </c>
      <c r="J4">
        <v>1.4</v>
      </c>
      <c r="K4">
        <v>-1.03</v>
      </c>
      <c r="L4">
        <v>3.83</v>
      </c>
      <c r="M4">
        <f t="shared" si="0"/>
        <v>1.239795918367347</v>
      </c>
      <c r="N4">
        <f>M4*SQRT((E4+H4)/4)</f>
        <v>1.9602894679105007</v>
      </c>
      <c r="O4">
        <f t="shared" si="1"/>
        <v>0.71418023864214253</v>
      </c>
      <c r="P4">
        <f t="shared" si="2"/>
        <v>0.90322580645161288</v>
      </c>
      <c r="Q4">
        <f t="shared" si="3"/>
        <v>0.64506602199935448</v>
      </c>
      <c r="R4">
        <f t="shared" si="4"/>
        <v>0.57125015796590073</v>
      </c>
    </row>
    <row r="5" spans="1:18" x14ac:dyDescent="0.25">
      <c r="A5" t="s">
        <v>17</v>
      </c>
      <c r="B5">
        <v>2008</v>
      </c>
      <c r="C5">
        <v>2.1</v>
      </c>
      <c r="D5">
        <v>1.4</v>
      </c>
      <c r="E5">
        <v>13</v>
      </c>
      <c r="F5">
        <v>0.6</v>
      </c>
      <c r="G5">
        <v>2.1</v>
      </c>
      <c r="H5">
        <v>12</v>
      </c>
      <c r="I5">
        <v>0.08</v>
      </c>
      <c r="J5">
        <v>1.5</v>
      </c>
      <c r="K5">
        <v>0.09</v>
      </c>
      <c r="L5">
        <v>2.91</v>
      </c>
      <c r="M5">
        <f t="shared" si="0"/>
        <v>0.71938775510204089</v>
      </c>
      <c r="N5">
        <f>M5*SQRT((E5+H5)/4)</f>
        <v>1.7984693877551021</v>
      </c>
      <c r="O5">
        <f t="shared" si="1"/>
        <v>0.83404255319148934</v>
      </c>
      <c r="P5">
        <f t="shared" si="2"/>
        <v>0.96703296703296704</v>
      </c>
      <c r="Q5">
        <f t="shared" si="3"/>
        <v>0.80654664484451721</v>
      </c>
      <c r="R5">
        <f t="shared" si="4"/>
        <v>0.38681318681318683</v>
      </c>
    </row>
    <row r="6" spans="1:18" x14ac:dyDescent="0.25">
      <c r="A6" t="s">
        <v>18</v>
      </c>
      <c r="B6">
        <v>2015</v>
      </c>
      <c r="C6">
        <v>3</v>
      </c>
      <c r="D6">
        <v>1.9</v>
      </c>
      <c r="E6">
        <v>12</v>
      </c>
      <c r="F6">
        <v>0.5</v>
      </c>
      <c r="G6">
        <v>2.1</v>
      </c>
      <c r="H6">
        <v>12</v>
      </c>
      <c r="I6">
        <v>6.2E-2</v>
      </c>
      <c r="J6">
        <v>2.5</v>
      </c>
      <c r="K6">
        <v>0.9</v>
      </c>
      <c r="L6">
        <v>4.0999999999999996</v>
      </c>
      <c r="M6">
        <f t="shared" si="0"/>
        <v>0.81632653061224481</v>
      </c>
      <c r="N6">
        <f>M6*SQRT((E6+H6)/4)</f>
        <v>1.9995834634964715</v>
      </c>
      <c r="O6">
        <f t="shared" si="1"/>
        <v>1.2502603895455808</v>
      </c>
      <c r="P6">
        <f t="shared" si="2"/>
        <v>0.96551724137931039</v>
      </c>
      <c r="Q6">
        <f t="shared" si="3"/>
        <v>1.2071479623198711</v>
      </c>
      <c r="R6">
        <f t="shared" si="4"/>
        <v>0.39417076320648847</v>
      </c>
    </row>
    <row r="7" spans="1:18" x14ac:dyDescent="0.25">
      <c r="A7" t="s">
        <v>19</v>
      </c>
      <c r="B7">
        <v>2015</v>
      </c>
      <c r="C7">
        <v>1.8</v>
      </c>
      <c r="D7">
        <v>2</v>
      </c>
      <c r="E7">
        <v>15</v>
      </c>
      <c r="F7">
        <v>0.5</v>
      </c>
      <c r="G7">
        <v>2.1</v>
      </c>
      <c r="H7">
        <v>12</v>
      </c>
      <c r="I7">
        <v>6.5000000000000002E-2</v>
      </c>
      <c r="J7">
        <v>1.3</v>
      </c>
      <c r="K7">
        <v>-0.26</v>
      </c>
      <c r="L7">
        <v>2.86</v>
      </c>
      <c r="M7">
        <f t="shared" si="0"/>
        <v>0.79591836734693877</v>
      </c>
      <c r="N7">
        <f>M7*SQRT((E7+H7)/4)</f>
        <v>2.0678565763832517</v>
      </c>
      <c r="O7">
        <f t="shared" si="1"/>
        <v>0.62867029311759248</v>
      </c>
      <c r="P7">
        <f t="shared" si="2"/>
        <v>0.96969696969696972</v>
      </c>
      <c r="Q7">
        <f t="shared" si="3"/>
        <v>0.60961967817463514</v>
      </c>
      <c r="R7">
        <f t="shared" si="4"/>
        <v>0.37323653765793985</v>
      </c>
    </row>
    <row r="8" spans="1:18" x14ac:dyDescent="0.25">
      <c r="A8" t="s">
        <v>20</v>
      </c>
      <c r="B8">
        <v>2015</v>
      </c>
      <c r="C8">
        <v>-1</v>
      </c>
      <c r="D8">
        <v>2.9</v>
      </c>
      <c r="E8">
        <v>15</v>
      </c>
      <c r="F8">
        <v>-1.3</v>
      </c>
      <c r="G8">
        <v>2.2000000000000002</v>
      </c>
      <c r="H8">
        <v>18</v>
      </c>
      <c r="I8">
        <v>0.05</v>
      </c>
      <c r="J8">
        <v>0.3</v>
      </c>
      <c r="K8">
        <v>-1.49</v>
      </c>
      <c r="L8">
        <v>2.09</v>
      </c>
      <c r="M8">
        <f t="shared" si="0"/>
        <v>0.91326530612244905</v>
      </c>
      <c r="N8">
        <f>M8*SQRT((E8+H8)/4)</f>
        <v>2.6231548819650694</v>
      </c>
      <c r="O8">
        <f t="shared" si="1"/>
        <v>0.11436610246027969</v>
      </c>
      <c r="P8">
        <f t="shared" si="2"/>
        <v>0.97560975609756095</v>
      </c>
      <c r="Q8">
        <f t="shared" si="3"/>
        <v>0.11157668532710213</v>
      </c>
      <c r="R8">
        <f t="shared" si="4"/>
        <v>0.339663718937947</v>
      </c>
    </row>
    <row r="9" spans="1:18" x14ac:dyDescent="0.25">
      <c r="A9" t="s">
        <v>21</v>
      </c>
      <c r="B9">
        <v>2001</v>
      </c>
      <c r="C9">
        <v>3.3</v>
      </c>
      <c r="D9">
        <v>4.2</v>
      </c>
      <c r="E9">
        <v>16</v>
      </c>
      <c r="F9">
        <v>1.3</v>
      </c>
      <c r="G9">
        <v>3.2</v>
      </c>
      <c r="H9">
        <v>14</v>
      </c>
      <c r="I9">
        <v>2.3E-2</v>
      </c>
      <c r="J9">
        <v>2</v>
      </c>
      <c r="K9">
        <v>-0.65</v>
      </c>
      <c r="L9">
        <v>4.6500000000000004</v>
      </c>
      <c r="M9">
        <f t="shared" si="0"/>
        <v>1.3520408163265307</v>
      </c>
      <c r="N9">
        <f>M9*SQRT((E9+H9)/4)</f>
        <v>3.7027162688486999</v>
      </c>
      <c r="O9">
        <f t="shared" si="1"/>
        <v>0.54014400639503168</v>
      </c>
      <c r="P9">
        <f t="shared" si="2"/>
        <v>0.97297297297297303</v>
      </c>
      <c r="Q9">
        <f t="shared" si="3"/>
        <v>0.52554551973570651</v>
      </c>
      <c r="R9">
        <f t="shared" si="4"/>
        <v>0.35527949676010778</v>
      </c>
    </row>
    <row r="10" spans="1:18" x14ac:dyDescent="0.25">
      <c r="A10" t="s">
        <v>22</v>
      </c>
      <c r="B10">
        <v>2016</v>
      </c>
      <c r="C10">
        <v>0.9</v>
      </c>
      <c r="D10">
        <v>2.7</v>
      </c>
      <c r="E10">
        <v>9</v>
      </c>
      <c r="F10">
        <v>0.9</v>
      </c>
      <c r="G10">
        <v>1.2</v>
      </c>
      <c r="H10">
        <v>7</v>
      </c>
      <c r="I10">
        <v>4.1000000000000002E-2</v>
      </c>
      <c r="J10">
        <v>0</v>
      </c>
      <c r="K10">
        <v>-1.98</v>
      </c>
      <c r="L10">
        <v>1.98</v>
      </c>
      <c r="M10">
        <f t="shared" si="0"/>
        <v>1.010204081632653</v>
      </c>
      <c r="N10">
        <f>M10*SQRT((E10+H10)/4)</f>
        <v>2.0204081632653059</v>
      </c>
      <c r="O10">
        <f t="shared" si="1"/>
        <v>0</v>
      </c>
      <c r="P10">
        <f t="shared" si="2"/>
        <v>0.94545454545454544</v>
      </c>
      <c r="Q10">
        <f t="shared" si="3"/>
        <v>0</v>
      </c>
      <c r="R10">
        <f t="shared" si="4"/>
        <v>0.47272727272727272</v>
      </c>
    </row>
    <row r="11" spans="1:18" x14ac:dyDescent="0.25">
      <c r="A11" t="s">
        <v>23</v>
      </c>
      <c r="B11">
        <v>2014</v>
      </c>
      <c r="C11">
        <v>2</v>
      </c>
      <c r="D11">
        <v>4.8</v>
      </c>
      <c r="E11">
        <v>10</v>
      </c>
      <c r="F11">
        <v>0.5</v>
      </c>
      <c r="G11">
        <v>6.9</v>
      </c>
      <c r="H11">
        <v>10</v>
      </c>
      <c r="I11">
        <v>6.0000000000000001E-3</v>
      </c>
      <c r="J11">
        <v>1.5</v>
      </c>
      <c r="K11">
        <v>-3.71</v>
      </c>
      <c r="L11">
        <v>6.71</v>
      </c>
      <c r="M11">
        <f t="shared" si="0"/>
        <v>2.6581632653061225</v>
      </c>
      <c r="N11">
        <f>M11*SQRT((E11+H11)/4)</f>
        <v>5.9438337565172983</v>
      </c>
      <c r="O11">
        <f t="shared" si="1"/>
        <v>0.2523623744279993</v>
      </c>
      <c r="P11">
        <f t="shared" si="2"/>
        <v>0.95774647887323949</v>
      </c>
      <c r="Q11">
        <f t="shared" si="3"/>
        <v>0.24169917550850639</v>
      </c>
      <c r="R11">
        <f t="shared" si="4"/>
        <v>0.42831724639432595</v>
      </c>
    </row>
    <row r="12" spans="1:18" x14ac:dyDescent="0.25">
      <c r="A12" t="s">
        <v>24</v>
      </c>
      <c r="B12">
        <v>2008</v>
      </c>
      <c r="C12">
        <v>1.1000000000000001</v>
      </c>
      <c r="D12">
        <v>2.5</v>
      </c>
      <c r="E12">
        <v>38</v>
      </c>
      <c r="F12">
        <v>0.7</v>
      </c>
      <c r="G12">
        <v>2</v>
      </c>
      <c r="H12">
        <v>42</v>
      </c>
      <c r="I12">
        <v>0.159</v>
      </c>
      <c r="J12">
        <v>0.4</v>
      </c>
      <c r="K12">
        <v>-0.6</v>
      </c>
      <c r="L12">
        <v>1.4</v>
      </c>
      <c r="M12">
        <f t="shared" si="0"/>
        <v>0.51020408163265307</v>
      </c>
      <c r="N12">
        <f>M12*SQRT((E12+H12)/4)</f>
        <v>2.2817020178569285</v>
      </c>
      <c r="O12">
        <f t="shared" si="1"/>
        <v>0.17530772943598349</v>
      </c>
      <c r="P12">
        <f t="shared" si="2"/>
        <v>0.99035369774919613</v>
      </c>
      <c r="Q12">
        <f t="shared" si="3"/>
        <v>0.17361665809094184</v>
      </c>
      <c r="R12">
        <f t="shared" si="4"/>
        <v>0.22144981899354829</v>
      </c>
    </row>
    <row r="13" spans="1:18" x14ac:dyDescent="0.25">
      <c r="A13" t="s">
        <v>25</v>
      </c>
      <c r="B13">
        <v>2003</v>
      </c>
      <c r="C13">
        <v>0.9</v>
      </c>
      <c r="D13">
        <v>4.2</v>
      </c>
      <c r="E13">
        <v>23</v>
      </c>
      <c r="F13">
        <v>0.3</v>
      </c>
      <c r="G13">
        <v>3.5</v>
      </c>
      <c r="H13">
        <v>23</v>
      </c>
      <c r="I13">
        <v>3.2000000000000001E-2</v>
      </c>
      <c r="J13">
        <v>0.6</v>
      </c>
      <c r="K13">
        <v>-1.63</v>
      </c>
      <c r="L13">
        <v>2.83</v>
      </c>
      <c r="M13">
        <f t="shared" si="0"/>
        <v>1.1377551020408163</v>
      </c>
      <c r="N13">
        <f>M13*SQRT((E13+H13)/4)</f>
        <v>3.8583152710125885</v>
      </c>
      <c r="O13">
        <f t="shared" si="1"/>
        <v>0.15550828738848343</v>
      </c>
      <c r="P13">
        <f t="shared" si="2"/>
        <v>0.98285714285714287</v>
      </c>
      <c r="Q13">
        <f t="shared" si="3"/>
        <v>0.15284243103325229</v>
      </c>
      <c r="R13">
        <f t="shared" si="4"/>
        <v>0.28982875952734066</v>
      </c>
    </row>
    <row r="14" spans="1:18" x14ac:dyDescent="0.25">
      <c r="A14" t="s">
        <v>26</v>
      </c>
      <c r="B14">
        <v>2008</v>
      </c>
      <c r="C14">
        <v>2.5</v>
      </c>
      <c r="D14">
        <v>4.5999999999999996</v>
      </c>
      <c r="E14">
        <v>10</v>
      </c>
      <c r="F14">
        <v>-0.4</v>
      </c>
      <c r="G14">
        <v>7.8</v>
      </c>
      <c r="H14">
        <v>10</v>
      </c>
      <c r="I14">
        <v>5.0000000000000001E-3</v>
      </c>
      <c r="J14">
        <v>2.9</v>
      </c>
      <c r="K14">
        <v>-2.71</v>
      </c>
      <c r="L14">
        <v>8.51</v>
      </c>
      <c r="M14">
        <f t="shared" si="0"/>
        <v>2.8622448979591835</v>
      </c>
      <c r="N14">
        <f>M14*SQRT((E14+H14)/4)</f>
        <v>6.4001741600886835</v>
      </c>
      <c r="O14">
        <f t="shared" si="1"/>
        <v>0.45311266966519803</v>
      </c>
      <c r="P14">
        <f t="shared" si="2"/>
        <v>0.95774647887323949</v>
      </c>
      <c r="Q14">
        <f t="shared" si="3"/>
        <v>0.43396706390469675</v>
      </c>
      <c r="R14">
        <f t="shared" si="4"/>
        <v>0.42831724639432595</v>
      </c>
    </row>
    <row r="15" spans="1:18" x14ac:dyDescent="0.25">
      <c r="A15" t="s">
        <v>27</v>
      </c>
      <c r="B15">
        <v>2008</v>
      </c>
      <c r="C15">
        <v>1.6</v>
      </c>
      <c r="D15">
        <v>5.6</v>
      </c>
      <c r="E15">
        <v>11</v>
      </c>
      <c r="F15">
        <v>0.7</v>
      </c>
      <c r="G15">
        <v>3.9</v>
      </c>
      <c r="H15">
        <v>11</v>
      </c>
      <c r="I15">
        <v>0.01</v>
      </c>
      <c r="J15">
        <v>0.9</v>
      </c>
      <c r="K15">
        <v>-3.13</v>
      </c>
      <c r="L15">
        <v>4.93</v>
      </c>
      <c r="M15">
        <f t="shared" si="0"/>
        <v>2.0561224489795915</v>
      </c>
      <c r="N15">
        <f>M15*SQRT((E15+H15)/4)</f>
        <v>4.8220345694103113</v>
      </c>
      <c r="O15">
        <f t="shared" si="1"/>
        <v>0.18664320776739296</v>
      </c>
      <c r="P15">
        <f t="shared" si="2"/>
        <v>0.96202531645569622</v>
      </c>
      <c r="Q15">
        <f t="shared" si="3"/>
        <v>0.17955549101673246</v>
      </c>
      <c r="R15">
        <f t="shared" si="4"/>
        <v>0.41020897324117445</v>
      </c>
    </row>
    <row r="16" spans="1:18" x14ac:dyDescent="0.25">
      <c r="A16" t="s">
        <v>28</v>
      </c>
      <c r="B16">
        <v>2011</v>
      </c>
      <c r="C16">
        <v>3</v>
      </c>
      <c r="D16">
        <v>1.3</v>
      </c>
      <c r="E16">
        <v>13</v>
      </c>
      <c r="F16">
        <v>0</v>
      </c>
      <c r="G16">
        <v>1.3</v>
      </c>
      <c r="H16">
        <v>12</v>
      </c>
      <c r="I16">
        <v>0.152</v>
      </c>
      <c r="J16">
        <v>3</v>
      </c>
      <c r="K16">
        <v>1.98</v>
      </c>
      <c r="L16">
        <v>4.0199999999999996</v>
      </c>
      <c r="M16">
        <f t="shared" si="0"/>
        <v>0.52040816326530603</v>
      </c>
      <c r="N16">
        <f>M16*SQRT((E16+H16)/4)</f>
        <v>1.301020408163265</v>
      </c>
      <c r="O16">
        <f t="shared" si="1"/>
        <v>2.3058823529411772</v>
      </c>
      <c r="P16">
        <f t="shared" si="2"/>
        <v>0.96703296703296704</v>
      </c>
      <c r="Q16">
        <f t="shared" si="3"/>
        <v>2.2298642533936657</v>
      </c>
      <c r="R16">
        <f t="shared" si="4"/>
        <v>0.38681318681318677</v>
      </c>
    </row>
    <row r="17" spans="1:18" x14ac:dyDescent="0.25">
      <c r="A17" t="s">
        <v>29</v>
      </c>
      <c r="B17">
        <v>2016</v>
      </c>
      <c r="C17">
        <v>2.8</v>
      </c>
      <c r="D17">
        <v>4.3</v>
      </c>
      <c r="E17">
        <v>14</v>
      </c>
      <c r="F17">
        <v>0.9</v>
      </c>
      <c r="G17">
        <v>4.3</v>
      </c>
      <c r="H17">
        <v>17</v>
      </c>
      <c r="I17">
        <v>1.7000000000000001E-2</v>
      </c>
      <c r="J17">
        <v>1.9</v>
      </c>
      <c r="K17">
        <v>-1.1399999999999999</v>
      </c>
      <c r="L17">
        <v>4.9400000000000004</v>
      </c>
      <c r="M17">
        <f t="shared" si="0"/>
        <v>1.5510204081632653</v>
      </c>
      <c r="N17">
        <f>M17*SQRT((E17+H17)/4)</f>
        <v>4.3178580772967514</v>
      </c>
      <c r="O17">
        <f t="shared" si="1"/>
        <v>0.44003298996559853</v>
      </c>
      <c r="P17">
        <f t="shared" si="2"/>
        <v>0.97391304347826091</v>
      </c>
      <c r="Q17">
        <f t="shared" si="3"/>
        <v>0.42855386848823512</v>
      </c>
      <c r="R17">
        <f t="shared" si="4"/>
        <v>0.34983989264345722</v>
      </c>
    </row>
    <row r="18" spans="1:18" x14ac:dyDescent="0.25">
      <c r="A18" t="s">
        <v>30</v>
      </c>
      <c r="B18">
        <v>2011</v>
      </c>
      <c r="C18">
        <v>1.1000000000000001</v>
      </c>
      <c r="D18">
        <v>3.9</v>
      </c>
      <c r="E18">
        <v>13</v>
      </c>
      <c r="F18">
        <v>0.8</v>
      </c>
      <c r="G18">
        <v>3</v>
      </c>
      <c r="H18">
        <v>11</v>
      </c>
      <c r="I18">
        <v>2.1000000000000001E-2</v>
      </c>
      <c r="J18">
        <v>0.3</v>
      </c>
      <c r="K18">
        <v>-2.46</v>
      </c>
      <c r="L18">
        <v>3.06</v>
      </c>
      <c r="M18">
        <f t="shared" si="0"/>
        <v>1.4081632653061225</v>
      </c>
      <c r="N18">
        <f>M18*SQRT((E18+H18)/4)</f>
        <v>3.4492814745314138</v>
      </c>
      <c r="O18">
        <f t="shared" si="1"/>
        <v>8.6974635794475175E-2</v>
      </c>
      <c r="P18">
        <f t="shared" si="2"/>
        <v>0.96551724137931039</v>
      </c>
      <c r="Q18">
        <f t="shared" si="3"/>
        <v>8.3975510422251903E-2</v>
      </c>
      <c r="R18">
        <f t="shared" si="4"/>
        <v>0.39417076320648847</v>
      </c>
    </row>
    <row r="19" spans="1:18" x14ac:dyDescent="0.25">
      <c r="A19" t="s">
        <v>31</v>
      </c>
      <c r="B19">
        <v>2016</v>
      </c>
      <c r="C19">
        <v>1.8</v>
      </c>
      <c r="D19">
        <v>1.3</v>
      </c>
      <c r="E19">
        <v>13</v>
      </c>
      <c r="F19">
        <v>0.6</v>
      </c>
      <c r="G19">
        <v>1.3</v>
      </c>
      <c r="H19">
        <v>14</v>
      </c>
      <c r="I19">
        <v>0.16500000000000001</v>
      </c>
      <c r="J19">
        <v>1.2</v>
      </c>
      <c r="K19">
        <v>0.22</v>
      </c>
      <c r="L19">
        <v>2.1800000000000002</v>
      </c>
      <c r="M19">
        <f t="shared" si="0"/>
        <v>0.50000000000000011</v>
      </c>
      <c r="N19">
        <f>M19*SQRT((E19+H19)/4)</f>
        <v>1.2990381056766582</v>
      </c>
      <c r="O19">
        <f t="shared" si="1"/>
        <v>0.92376043070340097</v>
      </c>
      <c r="P19">
        <f t="shared" si="2"/>
        <v>0.96969696969696972</v>
      </c>
      <c r="Q19">
        <f t="shared" si="3"/>
        <v>0.89576769037905546</v>
      </c>
      <c r="R19">
        <f t="shared" si="4"/>
        <v>0.3732365376579399</v>
      </c>
    </row>
    <row r="20" spans="1:18" x14ac:dyDescent="0.25">
      <c r="A20" t="s">
        <v>32</v>
      </c>
      <c r="B20">
        <v>2007</v>
      </c>
      <c r="C20">
        <v>2.7</v>
      </c>
      <c r="D20">
        <v>5.4</v>
      </c>
      <c r="E20">
        <v>11</v>
      </c>
      <c r="F20">
        <v>1.4</v>
      </c>
      <c r="G20">
        <v>3.5</v>
      </c>
      <c r="H20">
        <v>8</v>
      </c>
      <c r="I20">
        <v>0.01</v>
      </c>
      <c r="J20">
        <v>1.3</v>
      </c>
      <c r="K20">
        <v>-2.71</v>
      </c>
      <c r="L20">
        <v>5.31</v>
      </c>
      <c r="M20">
        <f t="shared" si="0"/>
        <v>2.0459183673469385</v>
      </c>
      <c r="N20">
        <f>M20*SQRT((E20+H20)/4)</f>
        <v>4.4589757049995153</v>
      </c>
      <c r="O20">
        <f t="shared" si="1"/>
        <v>0.29154677800608053</v>
      </c>
      <c r="P20">
        <f t="shared" si="2"/>
        <v>0.95522388059701491</v>
      </c>
      <c r="Q20">
        <f t="shared" si="3"/>
        <v>0.27849244466252471</v>
      </c>
      <c r="R20">
        <f t="shared" si="4"/>
        <v>0.43828677515570008</v>
      </c>
    </row>
    <row r="21" spans="1:18" x14ac:dyDescent="0.25">
      <c r="A21" t="s">
        <v>33</v>
      </c>
      <c r="B21">
        <v>2007</v>
      </c>
      <c r="C21">
        <v>1.6</v>
      </c>
      <c r="D21">
        <v>2.9</v>
      </c>
      <c r="E21">
        <v>10</v>
      </c>
      <c r="F21">
        <v>0.4</v>
      </c>
      <c r="G21">
        <v>3.2</v>
      </c>
      <c r="H21">
        <v>10</v>
      </c>
      <c r="I21">
        <v>2.1999999999999999E-2</v>
      </c>
      <c r="J21">
        <v>1.2</v>
      </c>
      <c r="K21">
        <v>-1.48</v>
      </c>
      <c r="L21">
        <v>3.88</v>
      </c>
      <c r="M21">
        <f t="shared" si="0"/>
        <v>1.3673469387755102</v>
      </c>
      <c r="N21">
        <f>M21*SQRT((E21+H21)/4)</f>
        <v>3.0574807039282841</v>
      </c>
      <c r="O21">
        <f t="shared" si="1"/>
        <v>0.39247999127458993</v>
      </c>
      <c r="P21">
        <f t="shared" si="2"/>
        <v>0.95774647887323949</v>
      </c>
      <c r="Q21">
        <f t="shared" si="3"/>
        <v>0.37589632967143827</v>
      </c>
      <c r="R21">
        <f t="shared" si="4"/>
        <v>0.42831724639432595</v>
      </c>
    </row>
    <row r="22" spans="1:18" x14ac:dyDescent="0.25">
      <c r="A22" t="s">
        <v>34</v>
      </c>
      <c r="B22">
        <v>2014</v>
      </c>
      <c r="C22">
        <v>1.8</v>
      </c>
      <c r="D22">
        <v>2.6</v>
      </c>
      <c r="E22">
        <v>7</v>
      </c>
      <c r="F22">
        <v>0.8</v>
      </c>
      <c r="G22">
        <v>5.7</v>
      </c>
      <c r="H22">
        <v>7</v>
      </c>
      <c r="I22">
        <v>7.0000000000000001E-3</v>
      </c>
      <c r="J22">
        <v>1</v>
      </c>
      <c r="K22">
        <v>-3.64</v>
      </c>
      <c r="L22">
        <v>5.64</v>
      </c>
      <c r="M22">
        <f t="shared" si="0"/>
        <v>2.3673469387755102</v>
      </c>
      <c r="N22">
        <f>M22*SQRT((E22+H22)/4)</f>
        <v>4.4289005802630328</v>
      </c>
      <c r="O22">
        <f t="shared" si="1"/>
        <v>0.22578966989153093</v>
      </c>
      <c r="P22">
        <f t="shared" si="2"/>
        <v>0.93617021276595747</v>
      </c>
      <c r="Q22">
        <f t="shared" si="3"/>
        <v>0.21137756330270982</v>
      </c>
      <c r="R22">
        <f t="shared" si="4"/>
        <v>0.50040402741049672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chilibeck_creatine_ltm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2025-12-28T20:17:44Z</dcterms:created>
  <dcterms:modified xsi:type="dcterms:W3CDTF">2025-12-31T12:47:41Z</dcterms:modified>
</cp:coreProperties>
</file>