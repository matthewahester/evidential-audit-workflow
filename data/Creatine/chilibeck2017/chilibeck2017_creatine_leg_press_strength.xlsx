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chilibeck2017\"/>
    </mc:Choice>
  </mc:AlternateContent>
  <xr:revisionPtr revIDLastSave="0" documentId="13_ncr:1_{7C9DF28F-BD6B-402C-9BDA-7DEB43DF540A}" xr6:coauthVersionLast="47" xr6:coauthVersionMax="47" xr10:uidLastSave="{00000000-0000-0000-0000-000000000000}"/>
  <bookViews>
    <workbookView xWindow="38400" yWindow="2940" windowWidth="14400" windowHeight="16200" xr2:uid="{B8C1BBFF-AF87-4C03-BFF8-BBC584083004}"/>
  </bookViews>
  <sheets>
    <sheet name="chilibeck_creatine_l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P2" i="1"/>
  <c r="O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N5" i="1"/>
  <c r="N6" i="1"/>
  <c r="N12" i="1"/>
  <c r="N14" i="1"/>
  <c r="N18" i="1"/>
  <c r="M3" i="1"/>
  <c r="N3" i="1" s="1"/>
  <c r="M4" i="1"/>
  <c r="N4" i="1" s="1"/>
  <c r="M5" i="1"/>
  <c r="M6" i="1"/>
  <c r="M7" i="1"/>
  <c r="N7" i="1" s="1"/>
  <c r="M8" i="1"/>
  <c r="N8" i="1" s="1"/>
  <c r="M9" i="1"/>
  <c r="N9" i="1" s="1"/>
  <c r="M10" i="1"/>
  <c r="N10" i="1" s="1"/>
  <c r="M11" i="1"/>
  <c r="N11" i="1" s="1"/>
  <c r="M12" i="1"/>
  <c r="M13" i="1"/>
  <c r="N13" i="1" s="1"/>
  <c r="M14" i="1"/>
  <c r="M15" i="1"/>
  <c r="N15" i="1" s="1"/>
  <c r="M16" i="1"/>
  <c r="N16" i="1" s="1"/>
  <c r="M17" i="1"/>
  <c r="N17" i="1" s="1"/>
  <c r="M18" i="1"/>
  <c r="M19" i="1"/>
  <c r="N19" i="1" s="1"/>
  <c r="M20" i="1"/>
  <c r="N20" i="1" s="1"/>
  <c r="M21" i="1"/>
  <c r="N21" i="1" s="1"/>
  <c r="M2" i="1"/>
  <c r="N2" i="1" s="1"/>
</calcChain>
</file>

<file path=xl/sharedStrings.xml><?xml version="1.0" encoding="utf-8"?>
<sst xmlns="http://schemas.openxmlformats.org/spreadsheetml/2006/main" count="39" uniqueCount="38">
  <si>
    <t>Author</t>
  </si>
  <si>
    <t>Year</t>
  </si>
  <si>
    <t>mean_t</t>
  </si>
  <si>
    <t>sd_t</t>
  </si>
  <si>
    <t>n_treatment</t>
  </si>
  <si>
    <t>mean_c</t>
  </si>
  <si>
    <t>sd_c</t>
  </si>
  <si>
    <t>n_control</t>
  </si>
  <si>
    <t>weight</t>
  </si>
  <si>
    <t>CI_lower</t>
  </si>
  <si>
    <t>CI_upper</t>
  </si>
  <si>
    <t>pooled_sd</t>
  </si>
  <si>
    <t>Alves</t>
  </si>
  <si>
    <t>Bemben</t>
  </si>
  <si>
    <t>Bemben_p</t>
  </si>
  <si>
    <t>Bermon</t>
  </si>
  <si>
    <t>Brose_m</t>
  </si>
  <si>
    <t>Brose_w</t>
  </si>
  <si>
    <t>1B</t>
  </si>
  <si>
    <t>Candow</t>
  </si>
  <si>
    <t>Candow_a</t>
  </si>
  <si>
    <t>Candow_b</t>
  </si>
  <si>
    <t>Chilibeck</t>
  </si>
  <si>
    <t>Chrusch</t>
  </si>
  <si>
    <t>Cooke</t>
  </si>
  <si>
    <t>Gualano</t>
  </si>
  <si>
    <t>B</t>
  </si>
  <si>
    <t>Johannsmeyer</t>
  </si>
  <si>
    <t>Neves</t>
  </si>
  <si>
    <t>Pinto</t>
  </si>
  <si>
    <t>Tarnopolsky_m</t>
  </si>
  <si>
    <t>Tarnopolsky_w</t>
  </si>
  <si>
    <t>Villanueva</t>
  </si>
  <si>
    <t>d</t>
  </si>
  <si>
    <t>J</t>
  </si>
  <si>
    <t>g</t>
  </si>
  <si>
    <t>se_g</t>
  </si>
  <si>
    <t>se_d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</si>
</sst>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9735-D94C-4D31-9C6A-D7E7AC3EB6DA}">
  <dimension ref="A1:Q21"/>
  <sheetViews>
    <sheetView tabSelected="1" topLeftCell="D1" workbookViewId="0">
      <selection activeCell="O4" sqref="O4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</v>
      </c>
      <c r="K1" t="s">
        <v>9</v>
      </c>
      <c r="L1" t="s">
        <v>10</v>
      </c>
      <c r="M1" t="s">
        <v>37</v>
      </c>
      <c r="N1" t="s">
        <v>11</v>
      </c>
      <c r="O1" t="s">
        <v>34</v>
      </c>
      <c r="P1" t="s">
        <v>35</v>
      </c>
      <c r="Q1" t="s">
        <v>36</v>
      </c>
    </row>
    <row r="2" spans="1:17" x14ac:dyDescent="0.25">
      <c r="A2" t="s">
        <v>12</v>
      </c>
      <c r="B2">
        <v>2013</v>
      </c>
      <c r="C2">
        <v>17</v>
      </c>
      <c r="D2">
        <v>14</v>
      </c>
      <c r="E2">
        <v>12</v>
      </c>
      <c r="F2">
        <v>8</v>
      </c>
      <c r="G2">
        <v>9</v>
      </c>
      <c r="H2">
        <v>10</v>
      </c>
      <c r="I2">
        <v>4.7E-2</v>
      </c>
      <c r="J2">
        <v>0.72</v>
      </c>
      <c r="K2">
        <v>-0.15</v>
      </c>
      <c r="L2">
        <v>1.59</v>
      </c>
      <c r="M2">
        <f>(L2-K2)/2/1.96</f>
        <v>0.44387755102040816</v>
      </c>
      <c r="N2">
        <f t="shared" ref="N2:N21" si="0">M2*SQRT((E2+H2)/4)</f>
        <v>1.0409851303689754</v>
      </c>
      <c r="O2">
        <f>1-3/(4*(E2+H2-2)-1)</f>
        <v>0.96202531645569622</v>
      </c>
      <c r="P2">
        <f>J2*O2</f>
        <v>0.69265822784810127</v>
      </c>
      <c r="Q2">
        <f>O2*M2</f>
        <v>0.4270214414879876</v>
      </c>
    </row>
    <row r="3" spans="1:17" x14ac:dyDescent="0.25">
      <c r="A3" t="s">
        <v>13</v>
      </c>
      <c r="B3">
        <v>2010</v>
      </c>
      <c r="C3">
        <v>40</v>
      </c>
      <c r="D3">
        <v>16</v>
      </c>
      <c r="E3">
        <v>10</v>
      </c>
      <c r="F3">
        <v>33</v>
      </c>
      <c r="G3">
        <v>32</v>
      </c>
      <c r="H3">
        <v>10</v>
      </c>
      <c r="I3">
        <v>4.5999999999999999E-2</v>
      </c>
      <c r="J3">
        <v>0.27</v>
      </c>
      <c r="K3">
        <v>-0.62</v>
      </c>
      <c r="L3">
        <v>1.1499999999999999</v>
      </c>
      <c r="M3">
        <f t="shared" ref="M3:M21" si="1">(L3-K3)/2/1.96</f>
        <v>0.45153061224489799</v>
      </c>
      <c r="N3">
        <f t="shared" si="0"/>
        <v>1.0096531429016908</v>
      </c>
      <c r="O3">
        <f>1-3/(4*(E3+H3-2)-1)</f>
        <v>0.95774647887323949</v>
      </c>
      <c r="P3">
        <f t="shared" ref="P3:P21" si="2">J3*O3</f>
        <v>0.25859154929577466</v>
      </c>
      <c r="Q3">
        <f t="shared" ref="Q3:Q21" si="3">O3*M3</f>
        <v>0.43245185398102909</v>
      </c>
    </row>
    <row r="4" spans="1:17" x14ac:dyDescent="0.25">
      <c r="A4" t="s">
        <v>14</v>
      </c>
      <c r="B4">
        <v>2010</v>
      </c>
      <c r="C4">
        <v>45</v>
      </c>
      <c r="D4">
        <v>23</v>
      </c>
      <c r="E4">
        <v>10</v>
      </c>
      <c r="F4">
        <v>49</v>
      </c>
      <c r="G4">
        <v>33</v>
      </c>
      <c r="H4">
        <v>10</v>
      </c>
      <c r="I4">
        <v>4.5999999999999999E-2</v>
      </c>
      <c r="J4">
        <v>-0.13</v>
      </c>
      <c r="K4">
        <v>-1.01</v>
      </c>
      <c r="L4">
        <v>0.74</v>
      </c>
      <c r="M4">
        <f t="shared" si="1"/>
        <v>0.44642857142857145</v>
      </c>
      <c r="N4">
        <f t="shared" si="0"/>
        <v>0.99824463281240616</v>
      </c>
      <c r="O4">
        <f>1-3/(4*(E4+H4-2)-1)</f>
        <v>0.95774647887323949</v>
      </c>
      <c r="P4">
        <f t="shared" si="2"/>
        <v>-0.12450704225352113</v>
      </c>
      <c r="Q4">
        <f t="shared" si="3"/>
        <v>0.42756539235412477</v>
      </c>
    </row>
    <row r="5" spans="1:17" x14ac:dyDescent="0.25">
      <c r="A5" t="s">
        <v>15</v>
      </c>
      <c r="B5">
        <v>1998</v>
      </c>
      <c r="C5">
        <v>4.5999999999999996</v>
      </c>
      <c r="D5">
        <v>4.5999999999999996</v>
      </c>
      <c r="E5">
        <v>8</v>
      </c>
      <c r="F5">
        <v>2.5</v>
      </c>
      <c r="G5">
        <v>4.3</v>
      </c>
      <c r="H5">
        <v>8</v>
      </c>
      <c r="I5">
        <v>3.5999999999999997E-2</v>
      </c>
      <c r="J5">
        <v>0.45</v>
      </c>
      <c r="K5">
        <v>-0.55000000000000004</v>
      </c>
      <c r="L5">
        <v>1.44</v>
      </c>
      <c r="M5">
        <f t="shared" si="1"/>
        <v>0.50765306122448983</v>
      </c>
      <c r="N5">
        <f t="shared" si="0"/>
        <v>1.0153061224489797</v>
      </c>
      <c r="O5">
        <f>1-3/(4*(E5+H5-2)-1)</f>
        <v>0.94545454545454544</v>
      </c>
      <c r="P5">
        <f t="shared" si="2"/>
        <v>0.42545454545454547</v>
      </c>
      <c r="Q5">
        <f t="shared" si="3"/>
        <v>0.47996289424860855</v>
      </c>
    </row>
    <row r="6" spans="1:17" x14ac:dyDescent="0.25">
      <c r="A6" t="s">
        <v>16</v>
      </c>
      <c r="B6">
        <v>2003</v>
      </c>
      <c r="C6">
        <v>50</v>
      </c>
      <c r="D6">
        <v>33</v>
      </c>
      <c r="E6">
        <v>7</v>
      </c>
      <c r="F6">
        <v>65</v>
      </c>
      <c r="G6">
        <v>23</v>
      </c>
      <c r="H6">
        <v>7</v>
      </c>
      <c r="I6">
        <v>3.1E-2</v>
      </c>
      <c r="J6">
        <v>-0.49</v>
      </c>
      <c r="K6">
        <v>-1.56</v>
      </c>
      <c r="L6">
        <v>0.57999999999999996</v>
      </c>
      <c r="M6">
        <f t="shared" si="1"/>
        <v>0.54591836734693877</v>
      </c>
      <c r="N6">
        <f t="shared" si="0"/>
        <v>1.0213197458796217</v>
      </c>
      <c r="O6">
        <f>1-3/(4*(E6+H6-2)-1)</f>
        <v>0.93617021276595747</v>
      </c>
      <c r="P6">
        <f t="shared" si="2"/>
        <v>-0.45872340425531916</v>
      </c>
      <c r="Q6">
        <f t="shared" si="3"/>
        <v>0.51107251411202781</v>
      </c>
    </row>
    <row r="7" spans="1:17" x14ac:dyDescent="0.25">
      <c r="A7" t="s">
        <v>17</v>
      </c>
      <c r="B7">
        <v>2003</v>
      </c>
      <c r="C7">
        <v>42</v>
      </c>
      <c r="D7">
        <v>36</v>
      </c>
      <c r="E7">
        <v>6</v>
      </c>
      <c r="F7">
        <v>47</v>
      </c>
      <c r="G7" t="s">
        <v>18</v>
      </c>
      <c r="H7">
        <v>6</v>
      </c>
      <c r="I7">
        <v>2.8000000000000001E-2</v>
      </c>
      <c r="J7">
        <v>-0.16</v>
      </c>
      <c r="K7">
        <v>-1.3</v>
      </c>
      <c r="L7">
        <v>0.97</v>
      </c>
      <c r="M7">
        <f t="shared" si="1"/>
        <v>0.57908163265306123</v>
      </c>
      <c r="N7">
        <f t="shared" si="0"/>
        <v>1.0029988094850386</v>
      </c>
      <c r="O7">
        <f>1-3/(4*(E7+H7-2)-1)</f>
        <v>0.92307692307692313</v>
      </c>
      <c r="P7">
        <f t="shared" si="2"/>
        <v>-0.14769230769230771</v>
      </c>
      <c r="Q7">
        <f t="shared" si="3"/>
        <v>0.53453689167974883</v>
      </c>
    </row>
    <row r="8" spans="1:17" x14ac:dyDescent="0.25">
      <c r="A8" t="s">
        <v>19</v>
      </c>
      <c r="B8">
        <v>2008</v>
      </c>
      <c r="C8">
        <v>20</v>
      </c>
      <c r="D8">
        <v>18</v>
      </c>
      <c r="E8">
        <v>13</v>
      </c>
      <c r="F8">
        <v>21</v>
      </c>
      <c r="G8">
        <v>17</v>
      </c>
      <c r="H8">
        <v>12</v>
      </c>
      <c r="I8">
        <v>5.8000000000000003E-2</v>
      </c>
      <c r="J8">
        <v>-0.06</v>
      </c>
      <c r="K8">
        <v>-0.84</v>
      </c>
      <c r="L8">
        <v>0.73</v>
      </c>
      <c r="M8">
        <f t="shared" si="1"/>
        <v>0.40051020408163263</v>
      </c>
      <c r="N8">
        <f t="shared" si="0"/>
        <v>1.0012755102040816</v>
      </c>
      <c r="O8">
        <f>1-3/(4*(E8+H8-2)-1)</f>
        <v>0.96703296703296704</v>
      </c>
      <c r="P8">
        <f t="shared" si="2"/>
        <v>-5.8021978021978018E-2</v>
      </c>
      <c r="Q8">
        <f t="shared" si="3"/>
        <v>0.38730657098004034</v>
      </c>
    </row>
    <row r="9" spans="1:17" x14ac:dyDescent="0.25">
      <c r="A9" t="s">
        <v>20</v>
      </c>
      <c r="B9">
        <v>2015</v>
      </c>
      <c r="C9">
        <v>41</v>
      </c>
      <c r="D9">
        <v>38</v>
      </c>
      <c r="E9">
        <v>12</v>
      </c>
      <c r="F9">
        <v>6</v>
      </c>
      <c r="G9">
        <v>35</v>
      </c>
      <c r="H9">
        <v>12</v>
      </c>
      <c r="I9">
        <v>4.9000000000000002E-2</v>
      </c>
      <c r="J9">
        <v>0.93</v>
      </c>
      <c r="K9">
        <v>0.08</v>
      </c>
      <c r="L9">
        <v>1.77</v>
      </c>
      <c r="M9">
        <f t="shared" si="1"/>
        <v>0.43112244897959184</v>
      </c>
      <c r="N9">
        <f t="shared" si="0"/>
        <v>1.0560300166590741</v>
      </c>
      <c r="O9">
        <f>1-3/(4*(E9+H9-2)-1)</f>
        <v>0.96551724137931039</v>
      </c>
      <c r="P9">
        <f t="shared" si="2"/>
        <v>0.89793103448275868</v>
      </c>
      <c r="Q9">
        <f t="shared" si="3"/>
        <v>0.41625615763546803</v>
      </c>
    </row>
    <row r="10" spans="1:17" x14ac:dyDescent="0.25">
      <c r="A10" t="s">
        <v>21</v>
      </c>
      <c r="B10">
        <v>2015</v>
      </c>
      <c r="C10">
        <v>37</v>
      </c>
      <c r="D10">
        <v>27</v>
      </c>
      <c r="E10">
        <v>15</v>
      </c>
      <c r="F10">
        <v>6</v>
      </c>
      <c r="G10">
        <v>35</v>
      </c>
      <c r="H10">
        <v>12</v>
      </c>
      <c r="I10">
        <v>5.3999999999999999E-2</v>
      </c>
      <c r="J10">
        <v>0.98</v>
      </c>
      <c r="K10">
        <v>0.17</v>
      </c>
      <c r="L10">
        <v>1.79</v>
      </c>
      <c r="M10">
        <f t="shared" si="1"/>
        <v>0.41326530612244899</v>
      </c>
      <c r="N10">
        <f t="shared" si="0"/>
        <v>1.0736947608143805</v>
      </c>
      <c r="O10">
        <f>1-3/(4*(E10+H10-2)-1)</f>
        <v>0.96969696969696972</v>
      </c>
      <c r="P10">
        <f t="shared" si="2"/>
        <v>0.95030303030303032</v>
      </c>
      <c r="Q10">
        <f t="shared" si="3"/>
        <v>0.40074211502782936</v>
      </c>
    </row>
    <row r="11" spans="1:17" x14ac:dyDescent="0.25">
      <c r="A11" t="s">
        <v>22</v>
      </c>
      <c r="B11">
        <v>2015</v>
      </c>
      <c r="C11">
        <v>54</v>
      </c>
      <c r="D11">
        <v>49</v>
      </c>
      <c r="E11">
        <v>15</v>
      </c>
      <c r="F11">
        <v>50</v>
      </c>
      <c r="G11">
        <v>45</v>
      </c>
      <c r="H11">
        <v>18</v>
      </c>
      <c r="I11">
        <v>7.4999999999999997E-2</v>
      </c>
      <c r="J11">
        <v>0.08</v>
      </c>
      <c r="K11">
        <v>-0.6</v>
      </c>
      <c r="L11">
        <v>0.77</v>
      </c>
      <c r="M11">
        <f t="shared" si="1"/>
        <v>0.34948979591836737</v>
      </c>
      <c r="N11">
        <f t="shared" si="0"/>
        <v>1.003833013489426</v>
      </c>
      <c r="O11">
        <f>1-3/(4*(E11+H11-2)-1)</f>
        <v>0.97560975609756095</v>
      </c>
      <c r="P11">
        <f t="shared" si="2"/>
        <v>7.8048780487804878E-2</v>
      </c>
      <c r="Q11">
        <f t="shared" si="3"/>
        <v>0.34096565455450473</v>
      </c>
    </row>
    <row r="12" spans="1:17" x14ac:dyDescent="0.25">
      <c r="A12" t="s">
        <v>23</v>
      </c>
      <c r="B12">
        <v>2001</v>
      </c>
      <c r="C12">
        <v>50</v>
      </c>
      <c r="D12">
        <v>24</v>
      </c>
      <c r="E12">
        <v>16</v>
      </c>
      <c r="F12">
        <v>29</v>
      </c>
      <c r="G12">
        <v>19</v>
      </c>
      <c r="H12">
        <v>14</v>
      </c>
      <c r="I12">
        <v>6.0999999999999999E-2</v>
      </c>
      <c r="J12">
        <v>0.94</v>
      </c>
      <c r="K12">
        <v>0.18</v>
      </c>
      <c r="L12">
        <v>1.7</v>
      </c>
      <c r="M12">
        <f t="shared" si="1"/>
        <v>0.38775510204081631</v>
      </c>
      <c r="N12">
        <f t="shared" si="0"/>
        <v>1.0619110808773629</v>
      </c>
      <c r="O12">
        <f>1-3/(4*(E12+H12-2)-1)</f>
        <v>0.97297297297297303</v>
      </c>
      <c r="P12">
        <f t="shared" si="2"/>
        <v>0.91459459459459458</v>
      </c>
      <c r="Q12">
        <f t="shared" si="3"/>
        <v>0.37727523441809158</v>
      </c>
    </row>
    <row r="13" spans="1:17" x14ac:dyDescent="0.25">
      <c r="A13" t="s">
        <v>24</v>
      </c>
      <c r="B13">
        <v>2014</v>
      </c>
      <c r="C13">
        <v>67</v>
      </c>
      <c r="D13">
        <v>46</v>
      </c>
      <c r="E13">
        <v>10</v>
      </c>
      <c r="F13">
        <v>64</v>
      </c>
      <c r="G13">
        <v>52</v>
      </c>
      <c r="H13">
        <v>10</v>
      </c>
      <c r="I13">
        <v>4.5999999999999999E-2</v>
      </c>
      <c r="J13">
        <v>0.06</v>
      </c>
      <c r="K13">
        <v>-0.82</v>
      </c>
      <c r="L13">
        <v>0.94</v>
      </c>
      <c r="M13">
        <f t="shared" si="1"/>
        <v>0.44897959183673464</v>
      </c>
      <c r="N13">
        <f t="shared" si="0"/>
        <v>1.0039488878570484</v>
      </c>
      <c r="O13">
        <f>1-3/(4*(E13+H13-2)-1)</f>
        <v>0.95774647887323949</v>
      </c>
      <c r="P13">
        <f t="shared" si="2"/>
        <v>5.746478873239437E-2</v>
      </c>
      <c r="Q13">
        <f t="shared" si="3"/>
        <v>0.43000862316757688</v>
      </c>
    </row>
    <row r="14" spans="1:17" x14ac:dyDescent="0.25">
      <c r="A14" t="s">
        <v>25</v>
      </c>
      <c r="B14">
        <v>2011</v>
      </c>
      <c r="C14">
        <v>14</v>
      </c>
      <c r="D14">
        <v>16</v>
      </c>
      <c r="E14">
        <v>13</v>
      </c>
      <c r="F14">
        <v>13</v>
      </c>
      <c r="G14" t="s">
        <v>26</v>
      </c>
      <c r="H14">
        <v>12</v>
      </c>
      <c r="I14">
        <v>5.8000000000000003E-2</v>
      </c>
      <c r="J14">
        <v>0.08</v>
      </c>
      <c r="K14">
        <v>-0.71</v>
      </c>
      <c r="L14">
        <v>0.86</v>
      </c>
      <c r="M14">
        <f t="shared" si="1"/>
        <v>0.40051020408163263</v>
      </c>
      <c r="N14">
        <f t="shared" si="0"/>
        <v>1.0012755102040816</v>
      </c>
      <c r="O14">
        <f>1-3/(4*(E14+H14-2)-1)</f>
        <v>0.96703296703296704</v>
      </c>
      <c r="P14">
        <f t="shared" si="2"/>
        <v>7.7362637362637363E-2</v>
      </c>
      <c r="Q14">
        <f t="shared" si="3"/>
        <v>0.38730657098004034</v>
      </c>
    </row>
    <row r="15" spans="1:17" x14ac:dyDescent="0.25">
      <c r="A15" t="s">
        <v>25</v>
      </c>
      <c r="B15">
        <v>2014</v>
      </c>
      <c r="C15">
        <v>14</v>
      </c>
      <c r="D15">
        <v>13</v>
      </c>
      <c r="E15">
        <v>15</v>
      </c>
      <c r="F15">
        <v>10</v>
      </c>
      <c r="G15">
        <v>9</v>
      </c>
      <c r="H15">
        <v>15</v>
      </c>
      <c r="I15">
        <v>6.8000000000000005E-2</v>
      </c>
      <c r="J15">
        <v>0.35</v>
      </c>
      <c r="K15">
        <v>-0.37</v>
      </c>
      <c r="L15">
        <v>1.07</v>
      </c>
      <c r="M15">
        <f t="shared" si="1"/>
        <v>0.36734693877551022</v>
      </c>
      <c r="N15">
        <f t="shared" si="0"/>
        <v>1.0060210239890808</v>
      </c>
      <c r="O15">
        <f>1-3/(4*(E15+H15-2)-1)</f>
        <v>0.97297297297297303</v>
      </c>
      <c r="P15">
        <f t="shared" si="2"/>
        <v>0.34054054054054056</v>
      </c>
      <c r="Q15">
        <f t="shared" si="3"/>
        <v>0.35741864313292887</v>
      </c>
    </row>
    <row r="16" spans="1:17" x14ac:dyDescent="0.25">
      <c r="A16" t="s">
        <v>27</v>
      </c>
      <c r="B16">
        <v>2016</v>
      </c>
      <c r="C16">
        <v>28</v>
      </c>
      <c r="D16">
        <v>23</v>
      </c>
      <c r="E16">
        <v>14</v>
      </c>
      <c r="F16">
        <v>36</v>
      </c>
      <c r="G16">
        <v>24</v>
      </c>
      <c r="H16">
        <v>17</v>
      </c>
      <c r="I16">
        <v>7.0000000000000007E-2</v>
      </c>
      <c r="J16">
        <v>-0.33</v>
      </c>
      <c r="K16">
        <v>-1.04</v>
      </c>
      <c r="L16">
        <v>0.38</v>
      </c>
      <c r="M16">
        <f t="shared" si="1"/>
        <v>0.36224489795918369</v>
      </c>
      <c r="N16">
        <f t="shared" si="0"/>
        <v>1.0084471167370703</v>
      </c>
      <c r="O16">
        <f>1-3/(4*(E16+H16-2)-1)</f>
        <v>0.97391304347826091</v>
      </c>
      <c r="P16">
        <f t="shared" si="2"/>
        <v>-0.32139130434782609</v>
      </c>
      <c r="Q16">
        <f t="shared" si="3"/>
        <v>0.35279503105590065</v>
      </c>
    </row>
    <row r="17" spans="1:17" x14ac:dyDescent="0.25">
      <c r="A17" t="s">
        <v>28</v>
      </c>
      <c r="B17">
        <v>2011</v>
      </c>
      <c r="C17">
        <v>10</v>
      </c>
      <c r="D17">
        <v>11</v>
      </c>
      <c r="E17">
        <v>13</v>
      </c>
      <c r="F17">
        <v>11</v>
      </c>
      <c r="G17">
        <v>11</v>
      </c>
      <c r="H17">
        <v>11</v>
      </c>
      <c r="I17">
        <v>5.5E-2</v>
      </c>
      <c r="J17">
        <v>-0.09</v>
      </c>
      <c r="K17">
        <v>-0.89</v>
      </c>
      <c r="L17">
        <v>0.72</v>
      </c>
      <c r="M17">
        <f t="shared" si="1"/>
        <v>0.4107142857142857</v>
      </c>
      <c r="N17">
        <f t="shared" si="0"/>
        <v>1.0060404300716623</v>
      </c>
      <c r="O17">
        <f>1-3/(4*(E17+H17-2)-1)</f>
        <v>0.96551724137931039</v>
      </c>
      <c r="P17">
        <f t="shared" si="2"/>
        <v>-8.6896551724137933E-2</v>
      </c>
      <c r="Q17">
        <f t="shared" si="3"/>
        <v>0.39655172413793105</v>
      </c>
    </row>
    <row r="18" spans="1:17" x14ac:dyDescent="0.25">
      <c r="A18" t="s">
        <v>29</v>
      </c>
      <c r="B18">
        <v>2016</v>
      </c>
      <c r="C18">
        <v>54</v>
      </c>
      <c r="D18">
        <v>47</v>
      </c>
      <c r="E18">
        <v>13</v>
      </c>
      <c r="F18">
        <v>71</v>
      </c>
      <c r="G18">
        <v>33</v>
      </c>
      <c r="H18">
        <v>14</v>
      </c>
      <c r="I18">
        <v>6.0999999999999999E-2</v>
      </c>
      <c r="J18">
        <v>-0.41</v>
      </c>
      <c r="K18">
        <v>-1.17</v>
      </c>
      <c r="L18">
        <v>0.36</v>
      </c>
      <c r="M18">
        <f t="shared" si="1"/>
        <v>0.39030612244897955</v>
      </c>
      <c r="N18">
        <f t="shared" si="0"/>
        <v>1.0140450518802482</v>
      </c>
      <c r="O18">
        <f>1-3/(4*(E18+H18-2)-1)</f>
        <v>0.96969696969696972</v>
      </c>
      <c r="P18">
        <f t="shared" si="2"/>
        <v>-0.39757575757575758</v>
      </c>
      <c r="Q18">
        <f t="shared" si="3"/>
        <v>0.3784786641929499</v>
      </c>
    </row>
    <row r="19" spans="1:17" x14ac:dyDescent="0.25">
      <c r="A19" t="s">
        <v>30</v>
      </c>
      <c r="B19">
        <v>2007</v>
      </c>
      <c r="C19">
        <v>80</v>
      </c>
      <c r="D19">
        <v>44</v>
      </c>
      <c r="E19">
        <v>10</v>
      </c>
      <c r="F19">
        <v>64</v>
      </c>
      <c r="G19">
        <v>34</v>
      </c>
      <c r="H19">
        <v>8</v>
      </c>
      <c r="I19">
        <v>0.04</v>
      </c>
      <c r="J19">
        <v>0.38</v>
      </c>
      <c r="K19">
        <v>-0.56000000000000005</v>
      </c>
      <c r="L19">
        <v>1.32</v>
      </c>
      <c r="M19">
        <f t="shared" si="1"/>
        <v>0.47959183673469391</v>
      </c>
      <c r="N19">
        <f t="shared" si="0"/>
        <v>1.0173679198704408</v>
      </c>
      <c r="O19">
        <f>1-3/(4*(E19+H19-2)-1)</f>
        <v>0.95238095238095233</v>
      </c>
      <c r="P19">
        <f t="shared" si="2"/>
        <v>0.3619047619047619</v>
      </c>
      <c r="Q19">
        <f t="shared" si="3"/>
        <v>0.45675413022351796</v>
      </c>
    </row>
    <row r="20" spans="1:17" x14ac:dyDescent="0.25">
      <c r="A20" t="s">
        <v>31</v>
      </c>
      <c r="B20">
        <v>2007</v>
      </c>
      <c r="C20">
        <v>77</v>
      </c>
      <c r="D20">
        <v>19</v>
      </c>
      <c r="E20">
        <v>10</v>
      </c>
      <c r="F20">
        <v>50</v>
      </c>
      <c r="G20">
        <v>34</v>
      </c>
      <c r="H20">
        <v>10</v>
      </c>
      <c r="I20">
        <v>4.1000000000000002E-2</v>
      </c>
      <c r="J20">
        <v>0.94</v>
      </c>
      <c r="K20">
        <v>0</v>
      </c>
      <c r="L20">
        <v>1.87</v>
      </c>
      <c r="M20">
        <f t="shared" si="1"/>
        <v>0.47704081632653067</v>
      </c>
      <c r="N20">
        <f t="shared" si="0"/>
        <v>1.0666956933481142</v>
      </c>
      <c r="O20">
        <f>1-3/(4*(E20+H20-2)-1)</f>
        <v>0.95774647887323949</v>
      </c>
      <c r="P20">
        <f t="shared" si="2"/>
        <v>0.90028169014084503</v>
      </c>
      <c r="Q20">
        <f t="shared" si="3"/>
        <v>0.45688416211555055</v>
      </c>
    </row>
    <row r="21" spans="1:17" x14ac:dyDescent="0.25">
      <c r="A21" t="s">
        <v>32</v>
      </c>
      <c r="B21">
        <v>2014</v>
      </c>
      <c r="C21">
        <v>210</v>
      </c>
      <c r="D21">
        <v>97</v>
      </c>
      <c r="E21">
        <v>7</v>
      </c>
      <c r="F21">
        <v>180</v>
      </c>
      <c r="G21">
        <v>53</v>
      </c>
      <c r="H21">
        <v>7</v>
      </c>
      <c r="I21">
        <v>3.2000000000000001E-2</v>
      </c>
      <c r="J21">
        <v>0.36</v>
      </c>
      <c r="K21">
        <v>-0.7</v>
      </c>
      <c r="L21">
        <v>1.42</v>
      </c>
      <c r="M21">
        <f t="shared" si="1"/>
        <v>0.54081632653061229</v>
      </c>
      <c r="N21">
        <f t="shared" si="0"/>
        <v>1.0117747015256067</v>
      </c>
      <c r="O21">
        <f>1-3/(4*(E21+H21-2)-1)</f>
        <v>0.93617021276595747</v>
      </c>
      <c r="P21">
        <f t="shared" si="2"/>
        <v>0.33702127659574466</v>
      </c>
      <c r="Q21">
        <f t="shared" si="3"/>
        <v>0.50629613547546681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chilibeck_creatine_lps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2025-12-28T20:16:55Z</dcterms:created>
  <dcterms:modified xsi:type="dcterms:W3CDTF">2025-12-31T12:50:10Z</dcterms:modified>
</cp:coreProperties>
</file>