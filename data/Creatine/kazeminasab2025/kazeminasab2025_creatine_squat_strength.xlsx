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kazeminasab2025\"/>
    </mc:Choice>
  </mc:AlternateContent>
  <xr:revisionPtr revIDLastSave="0" documentId="13_ncr:1_{D919DA55-FC80-40AA-ADD7-5E1BFBE2A9E4}" xr6:coauthVersionLast="47" xr6:coauthVersionMax="47" xr10:uidLastSave="{00000000-0000-0000-0000-000000000000}"/>
  <bookViews>
    <workbookView xWindow="57930" yWindow="9255" windowWidth="14370" windowHeight="7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M3" i="1"/>
  <c r="K4" i="1"/>
  <c r="L4" i="1" s="1"/>
  <c r="N4" i="1" s="1"/>
  <c r="M4" i="1"/>
  <c r="O4" i="1"/>
  <c r="K5" i="1"/>
  <c r="O5" i="1" s="1"/>
  <c r="L5" i="1"/>
  <c r="M5" i="1"/>
  <c r="N5" i="1" s="1"/>
  <c r="K6" i="1"/>
  <c r="L6" i="1" s="1"/>
  <c r="M6" i="1"/>
  <c r="N6" i="1" s="1"/>
  <c r="K7" i="1"/>
  <c r="L7" i="1"/>
  <c r="M7" i="1"/>
  <c r="O7" i="1" s="1"/>
  <c r="N7" i="1"/>
  <c r="K8" i="1"/>
  <c r="L8" i="1"/>
  <c r="M8" i="1"/>
  <c r="N8" i="1" s="1"/>
  <c r="K9" i="1"/>
  <c r="L9" i="1" s="1"/>
  <c r="N9" i="1" s="1"/>
  <c r="M9" i="1"/>
  <c r="O9" i="1"/>
  <c r="K10" i="1"/>
  <c r="L10" i="1" s="1"/>
  <c r="N10" i="1" s="1"/>
  <c r="M10" i="1"/>
  <c r="K11" i="1"/>
  <c r="L11" i="1" s="1"/>
  <c r="M11" i="1"/>
  <c r="N11" i="1" s="1"/>
  <c r="O11" i="1"/>
  <c r="K12" i="1"/>
  <c r="L12" i="1"/>
  <c r="M12" i="1"/>
  <c r="N12" i="1" s="1"/>
  <c r="K13" i="1"/>
  <c r="L13" i="1"/>
  <c r="M13" i="1"/>
  <c r="N13" i="1" s="1"/>
  <c r="K14" i="1"/>
  <c r="L14" i="1"/>
  <c r="M14" i="1"/>
  <c r="N14" i="1"/>
  <c r="O14" i="1"/>
  <c r="K15" i="1"/>
  <c r="L15" i="1" s="1"/>
  <c r="N15" i="1" s="1"/>
  <c r="M15" i="1"/>
  <c r="O15" i="1"/>
  <c r="K16" i="1"/>
  <c r="L16" i="1" s="1"/>
  <c r="N16" i="1" s="1"/>
  <c r="M16" i="1"/>
  <c r="O16" i="1"/>
  <c r="K17" i="1"/>
  <c r="O17" i="1" s="1"/>
  <c r="L17" i="1"/>
  <c r="M17" i="1"/>
  <c r="N17" i="1" s="1"/>
  <c r="K18" i="1"/>
  <c r="L18" i="1" s="1"/>
  <c r="M18" i="1"/>
  <c r="N18" i="1" s="1"/>
  <c r="K19" i="1"/>
  <c r="L19" i="1"/>
  <c r="M19" i="1"/>
  <c r="O19" i="1" s="1"/>
  <c r="N19" i="1"/>
  <c r="K20" i="1"/>
  <c r="L20" i="1"/>
  <c r="M20" i="1"/>
  <c r="N20" i="1" s="1"/>
  <c r="K21" i="1"/>
  <c r="L21" i="1" s="1"/>
  <c r="N21" i="1" s="1"/>
  <c r="M21" i="1"/>
  <c r="O21" i="1"/>
  <c r="K22" i="1"/>
  <c r="L22" i="1" s="1"/>
  <c r="N22" i="1" s="1"/>
  <c r="M22" i="1"/>
  <c r="K23" i="1"/>
  <c r="L23" i="1" s="1"/>
  <c r="M23" i="1"/>
  <c r="K24" i="1"/>
  <c r="L24" i="1"/>
  <c r="M24" i="1"/>
  <c r="N24" i="1" s="1"/>
  <c r="K25" i="1"/>
  <c r="L25" i="1"/>
  <c r="M25" i="1"/>
  <c r="N25" i="1" s="1"/>
  <c r="K26" i="1"/>
  <c r="L26" i="1"/>
  <c r="M26" i="1"/>
  <c r="N26" i="1"/>
  <c r="O26" i="1"/>
  <c r="O2" i="1"/>
  <c r="N2" i="1"/>
  <c r="M2" i="1"/>
  <c r="L2" i="1"/>
  <c r="K2" i="1"/>
  <c r="N3" i="1" l="1"/>
  <c r="N23" i="1"/>
  <c r="O23" i="1"/>
  <c r="O18" i="1"/>
  <c r="O6" i="1"/>
  <c r="O25" i="1"/>
  <c r="O13" i="1"/>
  <c r="O20" i="1"/>
  <c r="O8" i="1"/>
  <c r="O3" i="1"/>
  <c r="O22" i="1"/>
  <c r="O10" i="1"/>
  <c r="O24" i="1"/>
  <c r="O12" i="1"/>
</calcChain>
</file>

<file path=xl/sharedStrings.xml><?xml version="1.0" encoding="utf-8"?>
<sst xmlns="http://schemas.openxmlformats.org/spreadsheetml/2006/main" count="40" uniqueCount="40">
  <si>
    <t>Almeida</t>
  </si>
  <si>
    <t>Bonilla</t>
  </si>
  <si>
    <t>Candow</t>
  </si>
  <si>
    <t>Chilibeck</t>
  </si>
  <si>
    <t>Gotshalk</t>
  </si>
  <si>
    <t>Izquierdo</t>
  </si>
  <si>
    <t>Pearson</t>
  </si>
  <si>
    <t>Tayebi</t>
  </si>
  <si>
    <t>Volek</t>
  </si>
  <si>
    <t>DelFavero</t>
  </si>
  <si>
    <t>Chilibecka</t>
  </si>
  <si>
    <t>Chilibeckb</t>
  </si>
  <si>
    <t>larsonmeyera</t>
  </si>
  <si>
    <t>larsonmeyerb</t>
  </si>
  <si>
    <t>Lawa</t>
  </si>
  <si>
    <t>Lawb</t>
  </si>
  <si>
    <t>Stonea</t>
  </si>
  <si>
    <t>Stoneb</t>
  </si>
  <si>
    <t>Tayebia</t>
  </si>
  <si>
    <t>Tayebib</t>
  </si>
  <si>
    <t>Tayebic</t>
  </si>
  <si>
    <t>Voleka</t>
  </si>
  <si>
    <t>Volekb</t>
  </si>
  <si>
    <t>Wildera</t>
  </si>
  <si>
    <t>Wilderb</t>
  </si>
  <si>
    <t>Author</t>
  </si>
  <si>
    <t>Year</t>
  </si>
  <si>
    <t>n</t>
  </si>
  <si>
    <t>md</t>
  </si>
  <si>
    <t>se_md</t>
  </si>
  <si>
    <t>var_md</t>
  </si>
  <si>
    <t>lCI</t>
  </si>
  <si>
    <t>uCI</t>
  </si>
  <si>
    <t>z</t>
  </si>
  <si>
    <t>p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</si>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</sst>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B1" workbookViewId="0">
      <selection activeCell="K8" sqref="K8"/>
    </sheetView>
  </sheetViews>
  <sheetFormatPr defaultRowHeight="15" x14ac:dyDescent="0.25"/>
  <cols>
    <col min="1" max="1" width="13.42578125" bestFit="1" customWidth="1"/>
    <col min="2" max="2" width="5" bestFit="1" customWidth="1"/>
    <col min="3" max="4" width="6" bestFit="1" customWidth="1"/>
    <col min="5" max="5" width="7" bestFit="1" customWidth="1"/>
    <col min="6" max="6" width="8" bestFit="1" customWidth="1"/>
    <col min="7" max="7" width="7.7109375" bestFit="1" customWidth="1"/>
    <col min="8" max="8" width="7" bestFit="1" customWidth="1"/>
    <col min="9" max="9" width="6.7109375" bestFit="1" customWidth="1"/>
    <col min="10" max="10" width="6" bestFit="1" customWidth="1"/>
    <col min="11" max="15" width="12" bestFit="1" customWidth="1"/>
  </cols>
  <sheetData>
    <row r="1" spans="1:1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 x14ac:dyDescent="0.25">
      <c r="A2" t="s">
        <v>0</v>
      </c>
      <c r="B2">
        <v>2022</v>
      </c>
      <c r="C2">
        <v>34</v>
      </c>
      <c r="D2">
        <v>5.4</v>
      </c>
      <c r="E2">
        <v>6.7489999999999997</v>
      </c>
      <c r="F2">
        <v>45.552999999999997</v>
      </c>
      <c r="G2">
        <v>-7.8280000000000003</v>
      </c>
      <c r="H2">
        <v>18.628</v>
      </c>
      <c r="I2">
        <v>0.8</v>
      </c>
      <c r="J2">
        <v>0.42399999999999999</v>
      </c>
      <c r="K2">
        <f>E2*SQRT(C2/4)</f>
        <v>19.676547169155466</v>
      </c>
      <c r="L2">
        <f>D2/K2</f>
        <v>0.27443839376783163</v>
      </c>
      <c r="M2">
        <f>1-3/(4*(C2-2)-1)</f>
        <v>0.97637795275590555</v>
      </c>
      <c r="N2">
        <f>M2*L2</f>
        <v>0.26795559706465449</v>
      </c>
      <c r="O2">
        <f>M2*E2/K2</f>
        <v>0.33489487492395426</v>
      </c>
    </row>
    <row r="3" spans="1:15" x14ac:dyDescent="0.25">
      <c r="A3" t="s">
        <v>1</v>
      </c>
      <c r="B3">
        <v>2021</v>
      </c>
      <c r="C3">
        <v>16</v>
      </c>
      <c r="D3">
        <v>7.04</v>
      </c>
      <c r="E3">
        <v>8.2080000000000002</v>
      </c>
      <c r="F3">
        <v>67.376999999999995</v>
      </c>
      <c r="G3">
        <v>-9.048</v>
      </c>
      <c r="H3">
        <v>23.128</v>
      </c>
      <c r="I3">
        <v>0.85799999999999998</v>
      </c>
      <c r="J3">
        <v>0.39100000000000001</v>
      </c>
      <c r="K3">
        <f t="shared" ref="K3:K26" si="0">E3*SQRT(C3/4)</f>
        <v>16.416</v>
      </c>
      <c r="L3">
        <f t="shared" ref="L3:L26" si="1">D3/K3</f>
        <v>0.42884990253411304</v>
      </c>
      <c r="M3">
        <f t="shared" ref="M3:M26" si="2">1-3/(4*(C3-2)-1)</f>
        <v>0.94545454545454544</v>
      </c>
      <c r="N3">
        <f t="shared" ref="N3:N26" si="3">M3*L3</f>
        <v>0.40545808966861596</v>
      </c>
      <c r="O3">
        <f t="shared" ref="O3:O26" si="4">M3*E3/K3</f>
        <v>0.47272727272727272</v>
      </c>
    </row>
    <row r="4" spans="1:15" x14ac:dyDescent="0.25">
      <c r="A4" t="s">
        <v>2</v>
      </c>
      <c r="B4">
        <v>2021</v>
      </c>
      <c r="C4">
        <v>39</v>
      </c>
      <c r="D4">
        <v>-7.4</v>
      </c>
      <c r="E4">
        <v>13.507999999999999</v>
      </c>
      <c r="F4">
        <v>182.47900000000001</v>
      </c>
      <c r="G4">
        <v>-33.875999999999998</v>
      </c>
      <c r="H4">
        <v>19.076000000000001</v>
      </c>
      <c r="I4">
        <v>-0.54800000000000004</v>
      </c>
      <c r="J4">
        <v>0.58399999999999996</v>
      </c>
      <c r="K4">
        <f t="shared" si="0"/>
        <v>42.178716481182782</v>
      </c>
      <c r="L4">
        <f t="shared" si="1"/>
        <v>-0.17544393517288198</v>
      </c>
      <c r="M4">
        <f t="shared" si="2"/>
        <v>0.97959183673469385</v>
      </c>
      <c r="N4">
        <f t="shared" si="3"/>
        <v>-0.17186344669996603</v>
      </c>
      <c r="O4">
        <f t="shared" si="4"/>
        <v>0.31372046459772174</v>
      </c>
    </row>
    <row r="5" spans="1:15" x14ac:dyDescent="0.25">
      <c r="A5" t="s">
        <v>3</v>
      </c>
      <c r="B5">
        <v>2015</v>
      </c>
      <c r="C5">
        <v>33</v>
      </c>
      <c r="D5">
        <v>4</v>
      </c>
      <c r="E5">
        <v>15.236000000000001</v>
      </c>
      <c r="F5">
        <v>232.124</v>
      </c>
      <c r="G5">
        <v>-25.861000000000001</v>
      </c>
      <c r="H5">
        <v>33.860999999999997</v>
      </c>
      <c r="I5">
        <v>0.26300000000000001</v>
      </c>
      <c r="J5">
        <v>0.79300000000000004</v>
      </c>
      <c r="K5">
        <f t="shared" si="0"/>
        <v>43.762078241326705</v>
      </c>
      <c r="L5">
        <f t="shared" si="1"/>
        <v>9.1403337335625001E-2</v>
      </c>
      <c r="M5">
        <f t="shared" si="2"/>
        <v>0.97560975609756095</v>
      </c>
      <c r="N5">
        <f t="shared" si="3"/>
        <v>8.917398764451219E-2</v>
      </c>
      <c r="O5">
        <f t="shared" si="4"/>
        <v>0.339663718937947</v>
      </c>
    </row>
    <row r="6" spans="1:15" x14ac:dyDescent="0.25">
      <c r="A6" t="s">
        <v>10</v>
      </c>
      <c r="B6">
        <v>2023</v>
      </c>
      <c r="C6">
        <v>118.5</v>
      </c>
      <c r="D6">
        <v>0.8</v>
      </c>
      <c r="E6">
        <v>3.319</v>
      </c>
      <c r="F6">
        <v>11.016999999999999</v>
      </c>
      <c r="G6">
        <v>-5.7050000000000001</v>
      </c>
      <c r="H6">
        <v>7.3049999999999997</v>
      </c>
      <c r="I6">
        <v>0.24099999999999999</v>
      </c>
      <c r="J6">
        <v>0.81</v>
      </c>
      <c r="K6">
        <f t="shared" si="0"/>
        <v>18.06493619210984</v>
      </c>
      <c r="L6">
        <f t="shared" si="1"/>
        <v>4.4284684512166349E-2</v>
      </c>
      <c r="M6">
        <f t="shared" si="2"/>
        <v>0.99354838709677418</v>
      </c>
      <c r="N6">
        <f t="shared" si="3"/>
        <v>4.3998976870152369E-2</v>
      </c>
      <c r="O6">
        <f t="shared" si="4"/>
        <v>0.18254075529004465</v>
      </c>
    </row>
    <row r="7" spans="1:15" x14ac:dyDescent="0.25">
      <c r="A7" t="s">
        <v>11</v>
      </c>
      <c r="B7">
        <v>2023</v>
      </c>
      <c r="C7">
        <v>118.5</v>
      </c>
      <c r="D7">
        <v>0.7</v>
      </c>
      <c r="E7">
        <v>3.2490000000000001</v>
      </c>
      <c r="F7">
        <v>10.557</v>
      </c>
      <c r="G7">
        <v>-5.6680000000000001</v>
      </c>
      <c r="H7">
        <v>7.0679999999999996</v>
      </c>
      <c r="I7">
        <v>0.215</v>
      </c>
      <c r="J7">
        <v>0.82899999999999996</v>
      </c>
      <c r="K7">
        <f t="shared" si="0"/>
        <v>17.68393422361099</v>
      </c>
      <c r="L7">
        <f t="shared" si="1"/>
        <v>3.9583951803291807E-2</v>
      </c>
      <c r="M7">
        <f t="shared" si="2"/>
        <v>0.99354838709677418</v>
      </c>
      <c r="N7">
        <f t="shared" si="3"/>
        <v>3.932857146907702E-2</v>
      </c>
      <c r="O7">
        <f t="shared" si="4"/>
        <v>0.18254075529004463</v>
      </c>
    </row>
    <row r="8" spans="1:15" x14ac:dyDescent="0.25">
      <c r="A8" t="s">
        <v>9</v>
      </c>
      <c r="B8">
        <v>2012</v>
      </c>
      <c r="C8">
        <v>17</v>
      </c>
      <c r="D8">
        <v>9.6999999999999993</v>
      </c>
      <c r="E8">
        <v>13.137</v>
      </c>
      <c r="F8">
        <v>172.57300000000001</v>
      </c>
      <c r="G8">
        <v>-16.047000000000001</v>
      </c>
      <c r="H8">
        <v>35.447000000000003</v>
      </c>
      <c r="I8">
        <v>0.73799999999999999</v>
      </c>
      <c r="J8">
        <v>0.46</v>
      </c>
      <c r="K8">
        <f t="shared" si="0"/>
        <v>27.082619301869606</v>
      </c>
      <c r="L8">
        <f t="shared" si="1"/>
        <v>0.35816328885627302</v>
      </c>
      <c r="M8">
        <f t="shared" si="2"/>
        <v>0.94915254237288138</v>
      </c>
      <c r="N8">
        <f t="shared" si="3"/>
        <v>0.33995159620256421</v>
      </c>
      <c r="O8">
        <f t="shared" si="4"/>
        <v>0.46040661023846258</v>
      </c>
    </row>
    <row r="9" spans="1:15" x14ac:dyDescent="0.25">
      <c r="A9" t="s">
        <v>4</v>
      </c>
      <c r="B9">
        <v>2002</v>
      </c>
      <c r="C9">
        <v>18</v>
      </c>
      <c r="D9">
        <v>13.16</v>
      </c>
      <c r="E9">
        <v>19.158000000000001</v>
      </c>
      <c r="F9">
        <v>367.01799999999997</v>
      </c>
      <c r="G9">
        <v>-24.388000000000002</v>
      </c>
      <c r="H9">
        <v>50.707999999999998</v>
      </c>
      <c r="I9">
        <v>0.68700000000000006</v>
      </c>
      <c r="J9">
        <v>0.49199999999999999</v>
      </c>
      <c r="K9">
        <f t="shared" si="0"/>
        <v>40.640255141915631</v>
      </c>
      <c r="L9">
        <f t="shared" si="1"/>
        <v>0.32381686468368187</v>
      </c>
      <c r="M9">
        <f t="shared" si="2"/>
        <v>0.95238095238095233</v>
      </c>
      <c r="N9">
        <f t="shared" si="3"/>
        <v>0.3083970139844589</v>
      </c>
      <c r="O9">
        <f t="shared" si="4"/>
        <v>0.44895668646764925</v>
      </c>
    </row>
    <row r="10" spans="1:15" x14ac:dyDescent="0.25">
      <c r="A10" t="s">
        <v>5</v>
      </c>
      <c r="B10">
        <v>2002</v>
      </c>
      <c r="C10">
        <v>19</v>
      </c>
      <c r="D10">
        <v>15</v>
      </c>
      <c r="E10">
        <v>8.1790000000000003</v>
      </c>
      <c r="F10">
        <v>66.897000000000006</v>
      </c>
      <c r="G10">
        <v>-1.0309999999999999</v>
      </c>
      <c r="H10">
        <v>31.030999999999999</v>
      </c>
      <c r="I10">
        <v>1.8340000000000001</v>
      </c>
      <c r="J10">
        <v>6.7000000000000004E-2</v>
      </c>
      <c r="K10">
        <f t="shared" si="0"/>
        <v>17.825717229609587</v>
      </c>
      <c r="L10">
        <f t="shared" si="1"/>
        <v>0.84148086760201146</v>
      </c>
      <c r="M10">
        <f t="shared" si="2"/>
        <v>0.95522388059701491</v>
      </c>
      <c r="N10">
        <f t="shared" si="3"/>
        <v>0.8038026197989363</v>
      </c>
      <c r="O10">
        <f t="shared" si="4"/>
        <v>0.43828677515570003</v>
      </c>
    </row>
    <row r="11" spans="1:15" x14ac:dyDescent="0.25">
      <c r="A11" t="s">
        <v>12</v>
      </c>
      <c r="B11">
        <v>2000</v>
      </c>
      <c r="C11">
        <v>7</v>
      </c>
      <c r="D11">
        <v>5.0999999999999996</v>
      </c>
      <c r="E11">
        <v>8.4380000000000006</v>
      </c>
      <c r="F11">
        <v>71.200999999999993</v>
      </c>
      <c r="G11">
        <v>-11.438000000000001</v>
      </c>
      <c r="H11">
        <v>21.638000000000002</v>
      </c>
      <c r="I11">
        <v>0.60399999999999998</v>
      </c>
      <c r="J11">
        <v>0.54600000000000004</v>
      </c>
      <c r="K11">
        <f t="shared" si="0"/>
        <v>11.162424781381509</v>
      </c>
      <c r="L11">
        <f t="shared" si="1"/>
        <v>0.45688997685400773</v>
      </c>
      <c r="M11">
        <f t="shared" si="2"/>
        <v>0.84210526315789469</v>
      </c>
      <c r="N11">
        <f t="shared" si="3"/>
        <v>0.38474945419284862</v>
      </c>
      <c r="O11">
        <f t="shared" si="4"/>
        <v>0.63657174401554051</v>
      </c>
    </row>
    <row r="12" spans="1:15" x14ac:dyDescent="0.25">
      <c r="A12" t="s">
        <v>13</v>
      </c>
      <c r="B12">
        <v>2000</v>
      </c>
      <c r="C12">
        <v>7</v>
      </c>
      <c r="D12">
        <v>8.1</v>
      </c>
      <c r="E12">
        <v>7.8639999999999999</v>
      </c>
      <c r="F12">
        <v>61.838999999999999</v>
      </c>
      <c r="G12">
        <v>-7.3129999999999997</v>
      </c>
      <c r="H12">
        <v>23.513000000000002</v>
      </c>
      <c r="I12">
        <v>1.03</v>
      </c>
      <c r="J12">
        <v>0.30299999999999999</v>
      </c>
      <c r="K12">
        <f t="shared" si="0"/>
        <v>10.40309415510597</v>
      </c>
      <c r="L12">
        <f t="shared" si="1"/>
        <v>0.77861450441880475</v>
      </c>
      <c r="M12">
        <f t="shared" si="2"/>
        <v>0.84210526315789469</v>
      </c>
      <c r="N12">
        <f t="shared" si="3"/>
        <v>0.65567537214215132</v>
      </c>
      <c r="O12">
        <f t="shared" si="4"/>
        <v>0.63657174401554062</v>
      </c>
    </row>
    <row r="13" spans="1:15" x14ac:dyDescent="0.25">
      <c r="A13" t="s">
        <v>14</v>
      </c>
      <c r="B13">
        <v>2009</v>
      </c>
      <c r="C13">
        <v>8.5</v>
      </c>
      <c r="D13">
        <v>2.6</v>
      </c>
      <c r="E13">
        <v>8.33</v>
      </c>
      <c r="F13">
        <v>69.391000000000005</v>
      </c>
      <c r="G13">
        <v>-13.727</v>
      </c>
      <c r="H13">
        <v>18.927</v>
      </c>
      <c r="I13">
        <v>0.312</v>
      </c>
      <c r="J13">
        <v>0.755</v>
      </c>
      <c r="K13">
        <f t="shared" si="0"/>
        <v>12.14295732101534</v>
      </c>
      <c r="L13">
        <f t="shared" si="1"/>
        <v>0.21411588061009504</v>
      </c>
      <c r="M13">
        <f t="shared" si="2"/>
        <v>0.88</v>
      </c>
      <c r="N13">
        <f t="shared" si="3"/>
        <v>0.18842197493688365</v>
      </c>
      <c r="O13">
        <f t="shared" si="4"/>
        <v>0.60367501970163107</v>
      </c>
    </row>
    <row r="14" spans="1:15" x14ac:dyDescent="0.25">
      <c r="A14" t="s">
        <v>15</v>
      </c>
      <c r="B14">
        <v>2009</v>
      </c>
      <c r="C14">
        <v>8.5</v>
      </c>
      <c r="D14">
        <v>10.1</v>
      </c>
      <c r="E14">
        <v>7.9039999999999999</v>
      </c>
      <c r="F14">
        <v>62.475000000000001</v>
      </c>
      <c r="G14">
        <v>-5.3920000000000003</v>
      </c>
      <c r="H14">
        <v>25.591999999999999</v>
      </c>
      <c r="I14">
        <v>1.278</v>
      </c>
      <c r="J14">
        <v>0.20100000000000001</v>
      </c>
      <c r="K14">
        <f t="shared" si="0"/>
        <v>11.521960944214314</v>
      </c>
      <c r="L14">
        <f t="shared" si="1"/>
        <v>0.87658689774258058</v>
      </c>
      <c r="M14">
        <f t="shared" si="2"/>
        <v>0.88</v>
      </c>
      <c r="N14">
        <f t="shared" si="3"/>
        <v>0.77139647001347089</v>
      </c>
      <c r="O14">
        <f t="shared" si="4"/>
        <v>0.60367501970163107</v>
      </c>
    </row>
    <row r="15" spans="1:15" x14ac:dyDescent="0.25">
      <c r="A15" t="s">
        <v>6</v>
      </c>
      <c r="B15">
        <v>1999</v>
      </c>
      <c r="C15">
        <v>16</v>
      </c>
      <c r="D15">
        <v>16.899999999999999</v>
      </c>
      <c r="E15">
        <v>30.849</v>
      </c>
      <c r="F15">
        <v>951.65300000000002</v>
      </c>
      <c r="G15">
        <v>-43.563000000000002</v>
      </c>
      <c r="H15">
        <v>77.363</v>
      </c>
      <c r="I15">
        <v>0.54800000000000004</v>
      </c>
      <c r="J15">
        <v>0.58399999999999996</v>
      </c>
      <c r="K15">
        <f t="shared" si="0"/>
        <v>61.698</v>
      </c>
      <c r="L15">
        <f t="shared" si="1"/>
        <v>0.27391487568478717</v>
      </c>
      <c r="M15">
        <f t="shared" si="2"/>
        <v>0.94545454545454544</v>
      </c>
      <c r="N15">
        <f t="shared" si="3"/>
        <v>0.25897406428379877</v>
      </c>
      <c r="O15">
        <f t="shared" si="4"/>
        <v>0.47272727272727272</v>
      </c>
    </row>
    <row r="16" spans="1:15" x14ac:dyDescent="0.25">
      <c r="A16" t="s">
        <v>16</v>
      </c>
      <c r="B16">
        <v>1999</v>
      </c>
      <c r="C16">
        <v>21</v>
      </c>
      <c r="D16">
        <v>2.6</v>
      </c>
      <c r="E16">
        <v>10.555999999999999</v>
      </c>
      <c r="F16">
        <v>111.42100000000001</v>
      </c>
      <c r="G16">
        <v>-18.088999999999999</v>
      </c>
      <c r="H16">
        <v>23.289000000000001</v>
      </c>
      <c r="I16">
        <v>0.246</v>
      </c>
      <c r="J16">
        <v>0.80500000000000005</v>
      </c>
      <c r="K16">
        <f t="shared" si="0"/>
        <v>24.186834517976919</v>
      </c>
      <c r="L16">
        <f t="shared" si="1"/>
        <v>0.10749649765319824</v>
      </c>
      <c r="M16">
        <f t="shared" si="2"/>
        <v>0.96</v>
      </c>
      <c r="N16">
        <f t="shared" si="3"/>
        <v>0.1031966377470703</v>
      </c>
      <c r="O16">
        <f t="shared" si="4"/>
        <v>0.4189783492531054</v>
      </c>
    </row>
    <row r="17" spans="1:15" x14ac:dyDescent="0.25">
      <c r="A17" t="s">
        <v>17</v>
      </c>
      <c r="B17">
        <v>1999</v>
      </c>
      <c r="C17">
        <v>21</v>
      </c>
      <c r="D17">
        <v>4.9000000000000004</v>
      </c>
      <c r="E17">
        <v>14.523999999999999</v>
      </c>
      <c r="F17">
        <v>210.95099999999999</v>
      </c>
      <c r="G17">
        <v>-23.567</v>
      </c>
      <c r="H17">
        <v>33.366999999999997</v>
      </c>
      <c r="I17">
        <v>0.33700000000000002</v>
      </c>
      <c r="J17">
        <v>0.73599999999999999</v>
      </c>
      <c r="K17">
        <f t="shared" si="0"/>
        <v>33.278664696769304</v>
      </c>
      <c r="L17">
        <f t="shared" si="1"/>
        <v>0.14724148473648621</v>
      </c>
      <c r="M17">
        <f t="shared" si="2"/>
        <v>0.96</v>
      </c>
      <c r="N17">
        <f t="shared" si="3"/>
        <v>0.14135182534702675</v>
      </c>
      <c r="O17">
        <f t="shared" si="4"/>
        <v>0.4189783492531054</v>
      </c>
    </row>
    <row r="18" spans="1:15" x14ac:dyDescent="0.25">
      <c r="A18" t="s">
        <v>18</v>
      </c>
      <c r="B18">
        <v>2020</v>
      </c>
      <c r="C18">
        <v>12</v>
      </c>
      <c r="D18">
        <v>2.2999999999999998</v>
      </c>
      <c r="E18">
        <v>1.7390000000000001</v>
      </c>
      <c r="F18">
        <v>3.0259999999999998</v>
      </c>
      <c r="G18">
        <v>-1.109</v>
      </c>
      <c r="H18">
        <v>5.7089999999999996</v>
      </c>
      <c r="I18">
        <v>1.3220000000000001</v>
      </c>
      <c r="J18">
        <v>0.186</v>
      </c>
      <c r="K18">
        <f t="shared" si="0"/>
        <v>3.0120363543622775</v>
      </c>
      <c r="L18">
        <f t="shared" si="1"/>
        <v>0.76360300122837221</v>
      </c>
      <c r="M18">
        <f t="shared" si="2"/>
        <v>0.92307692307692313</v>
      </c>
      <c r="N18">
        <f t="shared" si="3"/>
        <v>0.70486430882618978</v>
      </c>
      <c r="O18">
        <f t="shared" si="4"/>
        <v>0.53293871002119308</v>
      </c>
    </row>
    <row r="19" spans="1:15" x14ac:dyDescent="0.25">
      <c r="A19" t="s">
        <v>19</v>
      </c>
      <c r="B19">
        <v>2020</v>
      </c>
      <c r="C19">
        <v>12</v>
      </c>
      <c r="D19">
        <v>5.2</v>
      </c>
      <c r="E19">
        <v>1.7929999999999999</v>
      </c>
      <c r="F19">
        <v>3.214</v>
      </c>
      <c r="G19">
        <v>1.6859999999999999</v>
      </c>
      <c r="H19">
        <v>8.7140000000000004</v>
      </c>
      <c r="I19">
        <v>2.9</v>
      </c>
      <c r="J19">
        <v>4.0000000000000001E-3</v>
      </c>
      <c r="K19">
        <f t="shared" si="0"/>
        <v>3.1055670979709968</v>
      </c>
      <c r="L19">
        <f t="shared" si="1"/>
        <v>1.6744123813642244</v>
      </c>
      <c r="M19">
        <f t="shared" si="2"/>
        <v>0.92307692307692313</v>
      </c>
      <c r="N19">
        <f t="shared" si="3"/>
        <v>1.5456114289515919</v>
      </c>
      <c r="O19">
        <f t="shared" si="4"/>
        <v>0.53293871002119308</v>
      </c>
    </row>
    <row r="20" spans="1:15" x14ac:dyDescent="0.25">
      <c r="A20" t="s">
        <v>20</v>
      </c>
      <c r="B20">
        <v>2020</v>
      </c>
      <c r="C20">
        <v>12</v>
      </c>
      <c r="D20">
        <v>11.7</v>
      </c>
      <c r="E20">
        <v>1.776</v>
      </c>
      <c r="F20">
        <v>3.1539999999999999</v>
      </c>
      <c r="G20">
        <v>8.2189999999999994</v>
      </c>
      <c r="H20">
        <v>15.180999999999999</v>
      </c>
      <c r="I20">
        <v>6.5880000000000001</v>
      </c>
      <c r="J20">
        <v>0</v>
      </c>
      <c r="K20">
        <f t="shared" si="0"/>
        <v>3.0761222342423258</v>
      </c>
      <c r="L20">
        <f t="shared" si="1"/>
        <v>3.8034899490532781</v>
      </c>
      <c r="M20">
        <f t="shared" si="2"/>
        <v>0.92307692307692313</v>
      </c>
      <c r="N20">
        <f t="shared" si="3"/>
        <v>3.510913799126103</v>
      </c>
      <c r="O20">
        <f t="shared" si="4"/>
        <v>0.53293871002119308</v>
      </c>
    </row>
    <row r="21" spans="1:15" x14ac:dyDescent="0.25">
      <c r="A21" t="s">
        <v>7</v>
      </c>
      <c r="B21">
        <v>2021</v>
      </c>
      <c r="C21">
        <v>18</v>
      </c>
      <c r="D21">
        <v>11.5</v>
      </c>
      <c r="E21">
        <v>5.7679999999999998</v>
      </c>
      <c r="F21">
        <v>33.271999999999998</v>
      </c>
      <c r="G21">
        <v>0.19500000000000001</v>
      </c>
      <c r="H21">
        <v>22.805</v>
      </c>
      <c r="I21">
        <v>1.994</v>
      </c>
      <c r="J21">
        <v>4.5999999999999999E-2</v>
      </c>
      <c r="K21">
        <f t="shared" si="0"/>
        <v>12.235775741652017</v>
      </c>
      <c r="L21">
        <f t="shared" si="1"/>
        <v>0.939866849704727</v>
      </c>
      <c r="M21">
        <f t="shared" si="2"/>
        <v>0.95238095238095233</v>
      </c>
      <c r="N21">
        <f t="shared" si="3"/>
        <v>0.89511128543307328</v>
      </c>
      <c r="O21">
        <f t="shared" si="4"/>
        <v>0.4489566864676493</v>
      </c>
    </row>
    <row r="22" spans="1:15" x14ac:dyDescent="0.25">
      <c r="A22" t="s">
        <v>8</v>
      </c>
      <c r="B22">
        <v>1999</v>
      </c>
      <c r="C22">
        <v>19</v>
      </c>
      <c r="D22">
        <v>8.5</v>
      </c>
      <c r="E22">
        <v>12.147</v>
      </c>
      <c r="F22">
        <v>147.55500000000001</v>
      </c>
      <c r="G22">
        <v>-15.308</v>
      </c>
      <c r="H22">
        <v>32.308</v>
      </c>
      <c r="I22">
        <v>0.7</v>
      </c>
      <c r="J22">
        <v>0.48399999999999999</v>
      </c>
      <c r="K22">
        <f t="shared" si="0"/>
        <v>26.473772733594284</v>
      </c>
      <c r="L22">
        <f t="shared" si="1"/>
        <v>0.32107248504153696</v>
      </c>
      <c r="M22">
        <f t="shared" si="2"/>
        <v>0.95522388059701491</v>
      </c>
      <c r="N22">
        <f t="shared" si="3"/>
        <v>0.30669610511430395</v>
      </c>
      <c r="O22">
        <f t="shared" si="4"/>
        <v>0.43828677515570008</v>
      </c>
    </row>
    <row r="23" spans="1:15" x14ac:dyDescent="0.25">
      <c r="A23" t="s">
        <v>21</v>
      </c>
      <c r="B23">
        <v>2004</v>
      </c>
      <c r="C23">
        <v>8.5</v>
      </c>
      <c r="D23">
        <v>3.4</v>
      </c>
      <c r="E23">
        <v>4.1849999999999996</v>
      </c>
      <c r="F23">
        <v>17.516999999999999</v>
      </c>
      <c r="G23">
        <v>-4.8029999999999999</v>
      </c>
      <c r="H23">
        <v>11.603</v>
      </c>
      <c r="I23">
        <v>0.81200000000000006</v>
      </c>
      <c r="J23">
        <v>0.41699999999999998</v>
      </c>
      <c r="K23">
        <f t="shared" si="0"/>
        <v>6.1006334199818957</v>
      </c>
      <c r="L23">
        <f t="shared" si="1"/>
        <v>0.55731917752404303</v>
      </c>
      <c r="M23">
        <f t="shared" si="2"/>
        <v>0.88</v>
      </c>
      <c r="N23">
        <f t="shared" si="3"/>
        <v>0.4904408762211579</v>
      </c>
      <c r="O23">
        <f t="shared" si="4"/>
        <v>0.60367501970163107</v>
      </c>
    </row>
    <row r="24" spans="1:15" x14ac:dyDescent="0.25">
      <c r="A24" t="s">
        <v>22</v>
      </c>
      <c r="B24">
        <v>2004</v>
      </c>
      <c r="C24">
        <v>8.5</v>
      </c>
      <c r="D24">
        <v>7.3</v>
      </c>
      <c r="E24">
        <v>4.0510000000000002</v>
      </c>
      <c r="F24">
        <v>16.411999999999999</v>
      </c>
      <c r="G24">
        <v>-0.64</v>
      </c>
      <c r="H24">
        <v>15.24</v>
      </c>
      <c r="I24">
        <v>1.802</v>
      </c>
      <c r="J24">
        <v>7.1999999999999995E-2</v>
      </c>
      <c r="K24">
        <f t="shared" si="0"/>
        <v>5.9052965315045789</v>
      </c>
      <c r="L24">
        <f t="shared" si="1"/>
        <v>1.2361783969788342</v>
      </c>
      <c r="M24">
        <f t="shared" si="2"/>
        <v>0.88</v>
      </c>
      <c r="N24">
        <f t="shared" si="3"/>
        <v>1.0878369893413742</v>
      </c>
      <c r="O24">
        <f t="shared" si="4"/>
        <v>0.60367501970163107</v>
      </c>
    </row>
    <row r="25" spans="1:15" x14ac:dyDescent="0.25">
      <c r="A25" t="s">
        <v>23</v>
      </c>
      <c r="B25">
        <v>2002</v>
      </c>
      <c r="C25">
        <v>13.5</v>
      </c>
      <c r="D25">
        <v>10.1</v>
      </c>
      <c r="E25">
        <v>14.337</v>
      </c>
      <c r="F25">
        <v>205.54</v>
      </c>
      <c r="G25">
        <v>-17.998999999999999</v>
      </c>
      <c r="H25">
        <v>38.198999999999998</v>
      </c>
      <c r="I25">
        <v>0.70399999999999996</v>
      </c>
      <c r="J25">
        <v>0.48099999999999998</v>
      </c>
      <c r="K25">
        <f t="shared" si="0"/>
        <v>26.33875083171182</v>
      </c>
      <c r="L25">
        <f t="shared" si="1"/>
        <v>0.38346541430657421</v>
      </c>
      <c r="M25">
        <f t="shared" si="2"/>
        <v>0.93333333333333335</v>
      </c>
      <c r="N25">
        <f t="shared" si="3"/>
        <v>0.35790105335280259</v>
      </c>
      <c r="O25">
        <f t="shared" si="4"/>
        <v>0.50804231702169611</v>
      </c>
    </row>
    <row r="26" spans="1:15" x14ac:dyDescent="0.25">
      <c r="A26" t="s">
        <v>24</v>
      </c>
      <c r="B26">
        <v>2002</v>
      </c>
      <c r="C26">
        <v>13.5</v>
      </c>
      <c r="D26">
        <v>-0.1</v>
      </c>
      <c r="E26">
        <v>11.134</v>
      </c>
      <c r="F26">
        <v>123.958</v>
      </c>
      <c r="G26">
        <v>-21.922000000000001</v>
      </c>
      <c r="H26">
        <v>21.722000000000001</v>
      </c>
      <c r="I26">
        <v>-8.9999999999999993E-3</v>
      </c>
      <c r="J26">
        <v>0.99299999999999999</v>
      </c>
      <c r="K26">
        <f t="shared" si="0"/>
        <v>20.454464097110929</v>
      </c>
      <c r="L26">
        <f t="shared" si="1"/>
        <v>-4.8889083343974975E-3</v>
      </c>
      <c r="M26">
        <f t="shared" si="2"/>
        <v>0.93333333333333335</v>
      </c>
      <c r="N26">
        <f t="shared" si="3"/>
        <v>-4.5629811121043308E-3</v>
      </c>
      <c r="O26">
        <f t="shared" si="4"/>
        <v>0.50804231702169622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2026-01-03T16:57:17Z</dcterms:modified>
</cp:coreProperties>
</file>