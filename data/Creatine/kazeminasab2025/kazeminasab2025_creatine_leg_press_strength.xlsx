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My Drive School\Nutrition Publication Bias\nutrition_publication_bias\data\Creatine\kazeminasab2025\"/>
    </mc:Choice>
  </mc:AlternateContent>
  <xr:revisionPtr revIDLastSave="0" documentId="13_ncr:1_{319C3ED0-1445-4AD7-A68D-D7FDCE9DCEF6}" xr6:coauthVersionLast="47" xr6:coauthVersionMax="47" xr10:uidLastSave="{00000000-0000-0000-0000-000000000000}"/>
  <bookViews>
    <workbookView xWindow="59970" yWindow="8640" windowWidth="14370" windowHeight="70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1" l="1"/>
  <c r="L3" i="1" s="1"/>
  <c r="M3" i="1"/>
  <c r="N3" i="1" s="1"/>
  <c r="K4" i="1"/>
  <c r="L4" i="1"/>
  <c r="N4" i="1" s="1"/>
  <c r="M4" i="1"/>
  <c r="O4" i="1"/>
  <c r="K5" i="1"/>
  <c r="L5" i="1"/>
  <c r="M5" i="1"/>
  <c r="N5" i="1" s="1"/>
  <c r="K6" i="1"/>
  <c r="L6" i="1" s="1"/>
  <c r="N6" i="1" s="1"/>
  <c r="M6" i="1"/>
  <c r="O6" i="1"/>
  <c r="K7" i="1"/>
  <c r="L7" i="1" s="1"/>
  <c r="N7" i="1" s="1"/>
  <c r="M7" i="1"/>
  <c r="O7" i="1" s="1"/>
  <c r="K8" i="1"/>
  <c r="L8" i="1"/>
  <c r="M8" i="1"/>
  <c r="N8" i="1" s="1"/>
  <c r="K9" i="1"/>
  <c r="L9" i="1" s="1"/>
  <c r="M9" i="1"/>
  <c r="N9" i="1" s="1"/>
  <c r="K10" i="1"/>
  <c r="L10" i="1" s="1"/>
  <c r="N10" i="1" s="1"/>
  <c r="M10" i="1"/>
  <c r="K11" i="1"/>
  <c r="L11" i="1"/>
  <c r="M11" i="1"/>
  <c r="N11" i="1" s="1"/>
  <c r="O11" i="1"/>
  <c r="K12" i="1"/>
  <c r="L12" i="1"/>
  <c r="M12" i="1"/>
  <c r="N12" i="1" s="1"/>
  <c r="K13" i="1"/>
  <c r="L13" i="1"/>
  <c r="N13" i="1" s="1"/>
  <c r="M13" i="1"/>
  <c r="O13" i="1"/>
  <c r="K14" i="1"/>
  <c r="L14" i="1"/>
  <c r="N14" i="1" s="1"/>
  <c r="M14" i="1"/>
  <c r="O14" i="1"/>
  <c r="K15" i="1"/>
  <c r="L15" i="1" s="1"/>
  <c r="N15" i="1" s="1"/>
  <c r="M15" i="1"/>
  <c r="O15" i="1" s="1"/>
  <c r="K16" i="1"/>
  <c r="L16" i="1"/>
  <c r="M16" i="1"/>
  <c r="N16" i="1"/>
  <c r="O16" i="1"/>
  <c r="K17" i="1"/>
  <c r="O17" i="1" s="1"/>
  <c r="L17" i="1"/>
  <c r="M17" i="1"/>
  <c r="N17" i="1" s="1"/>
  <c r="K18" i="1"/>
  <c r="L18" i="1" s="1"/>
  <c r="N18" i="1" s="1"/>
  <c r="M18" i="1"/>
  <c r="O18" i="1"/>
  <c r="K19" i="1"/>
  <c r="L19" i="1"/>
  <c r="M19" i="1"/>
  <c r="O19" i="1" s="1"/>
  <c r="N19" i="1"/>
  <c r="K20" i="1"/>
  <c r="L20" i="1"/>
  <c r="M20" i="1"/>
  <c r="N20" i="1" s="1"/>
  <c r="K21" i="1"/>
  <c r="L21" i="1"/>
  <c r="M21" i="1"/>
  <c r="N21" i="1"/>
  <c r="O21" i="1"/>
  <c r="K22" i="1"/>
  <c r="L22" i="1" s="1"/>
  <c r="N22" i="1" s="1"/>
  <c r="M22" i="1"/>
  <c r="K23" i="1"/>
  <c r="L23" i="1"/>
  <c r="M23" i="1"/>
  <c r="N23" i="1"/>
  <c r="O23" i="1"/>
  <c r="K24" i="1"/>
  <c r="L24" i="1"/>
  <c r="M24" i="1"/>
  <c r="N24" i="1" s="1"/>
  <c r="K25" i="1"/>
  <c r="L25" i="1"/>
  <c r="N25" i="1" s="1"/>
  <c r="M25" i="1"/>
  <c r="O25" i="1"/>
  <c r="K26" i="1"/>
  <c r="L26" i="1"/>
  <c r="M26" i="1"/>
  <c r="N26" i="1"/>
  <c r="O26" i="1"/>
  <c r="K27" i="1"/>
  <c r="L27" i="1" s="1"/>
  <c r="N27" i="1" s="1"/>
  <c r="M27" i="1"/>
  <c r="O27" i="1" s="1"/>
  <c r="K28" i="1"/>
  <c r="L28" i="1"/>
  <c r="M28" i="1"/>
  <c r="N28" i="1"/>
  <c r="O28" i="1"/>
  <c r="K29" i="1"/>
  <c r="O29" i="1" s="1"/>
  <c r="L29" i="1"/>
  <c r="M29" i="1"/>
  <c r="N29" i="1" s="1"/>
  <c r="K30" i="1"/>
  <c r="L30" i="1" s="1"/>
  <c r="N30" i="1" s="1"/>
  <c r="M30" i="1"/>
  <c r="O30" i="1"/>
  <c r="K31" i="1"/>
  <c r="L31" i="1"/>
  <c r="M31" i="1"/>
  <c r="O31" i="1" s="1"/>
  <c r="N31" i="1"/>
  <c r="K32" i="1"/>
  <c r="L32" i="1"/>
  <c r="M32" i="1"/>
  <c r="N32" i="1" s="1"/>
  <c r="O2" i="1"/>
  <c r="N2" i="1"/>
  <c r="M2" i="1"/>
  <c r="K2" i="1"/>
  <c r="L2" i="1" s="1"/>
  <c r="O9" i="1" l="1"/>
  <c r="O32" i="1"/>
  <c r="O8" i="1"/>
  <c r="O20" i="1"/>
  <c r="O3" i="1"/>
  <c r="O22" i="1"/>
  <c r="O10" i="1"/>
  <c r="O5" i="1"/>
  <c r="O24" i="1"/>
  <c r="O12" i="1"/>
</calcChain>
</file>

<file path=xl/sharedStrings.xml><?xml version="1.0" encoding="utf-8"?>
<sst xmlns="http://schemas.openxmlformats.org/spreadsheetml/2006/main" count="46" uniqueCount="46">
  <si>
    <t>Almeida</t>
  </si>
  <si>
    <t>Arazi</t>
  </si>
  <si>
    <t>Bernat</t>
  </si>
  <si>
    <t>Chrusch</t>
  </si>
  <si>
    <t>Ferguson</t>
  </si>
  <si>
    <t>Johannsmeyer</t>
  </si>
  <si>
    <t>Kaviani</t>
  </si>
  <si>
    <t>Mills</t>
  </si>
  <si>
    <t>Pinto</t>
  </si>
  <si>
    <t>Samadi</t>
  </si>
  <si>
    <t>Syrotuik</t>
  </si>
  <si>
    <t>Trexler</t>
  </si>
  <si>
    <t>Brosea</t>
  </si>
  <si>
    <t>Broseb</t>
  </si>
  <si>
    <t>Candowa</t>
  </si>
  <si>
    <t>Candowb</t>
  </si>
  <si>
    <t>Chamia</t>
  </si>
  <si>
    <t>Chamib</t>
  </si>
  <si>
    <t>Eghbalia</t>
  </si>
  <si>
    <t>Eghbalib</t>
  </si>
  <si>
    <t>Gualanoa</t>
  </si>
  <si>
    <t>Gualanob</t>
  </si>
  <si>
    <t>Herdaa</t>
  </si>
  <si>
    <t>Herdab</t>
  </si>
  <si>
    <t>Herdac</t>
  </si>
  <si>
    <t>Pakulaka</t>
  </si>
  <si>
    <t>Pakulakb</t>
  </si>
  <si>
    <t>Peetersa</t>
  </si>
  <si>
    <t>Peetersb</t>
  </si>
  <si>
    <t>Syrotuika</t>
  </si>
  <si>
    <t>Syrotuikb</t>
  </si>
  <si>
    <t>md</t>
  </si>
  <si>
    <t>se_md</t>
  </si>
  <si>
    <t>var_md</t>
  </si>
  <si>
    <t>lCI</t>
  </si>
  <si>
    <t>uCI</t>
  </si>
  <si>
    <t>z</t>
  </si>
  <si>
    <t>p</t>
  </si>
  <si>
    <t>Author</t>
  </si>
  <si>
    <t>Year</t>
  </si>
  <si>
    <t>n</t>
  </si>
  <si>
    <t>pooled_sd</t>
  </si>
  <si>
    <t>d</t>
  </si>
  <si>
    <t>J</t>
  </si>
  <si>
    <t>g</t>
  </si>
  <si>
    <t>se_g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</si>
</sst>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2"/>
  <sheetViews>
    <sheetView tabSelected="1" workbookViewId="0">
      <selection activeCell="F13" sqref="F13"/>
    </sheetView>
  </sheetViews>
  <sheetFormatPr defaultRowHeight="15" x14ac:dyDescent="0.25"/>
  <cols>
    <col min="1" max="1" width="14" bestFit="1" customWidth="1"/>
    <col min="2" max="2" width="5" bestFit="1" customWidth="1"/>
    <col min="3" max="3" width="5" customWidth="1"/>
    <col min="4" max="4" width="6" bestFit="1" customWidth="1"/>
    <col min="5" max="5" width="7" bestFit="1" customWidth="1"/>
    <col min="6" max="6" width="9" bestFit="1" customWidth="1"/>
    <col min="7" max="7" width="8.7109375" bestFit="1" customWidth="1"/>
    <col min="8" max="8" width="8" bestFit="1" customWidth="1"/>
    <col min="9" max="9" width="6.7109375" bestFit="1" customWidth="1"/>
    <col min="10" max="10" width="6" bestFit="1" customWidth="1"/>
  </cols>
  <sheetData>
    <row r="1" spans="1:15" x14ac:dyDescent="0.25">
      <c r="A1" t="s">
        <v>38</v>
      </c>
      <c r="B1" t="s">
        <v>39</v>
      </c>
      <c r="C1" t="s">
        <v>40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41</v>
      </c>
      <c r="L1" t="s">
        <v>42</v>
      </c>
      <c r="M1" t="s">
        <v>43</v>
      </c>
      <c r="N1" t="s">
        <v>44</v>
      </c>
      <c r="O1" t="s">
        <v>45</v>
      </c>
    </row>
    <row r="2" spans="1:15" x14ac:dyDescent="0.25">
      <c r="A2" t="s">
        <v>0</v>
      </c>
      <c r="B2">
        <v>2022</v>
      </c>
      <c r="C2">
        <v>34</v>
      </c>
      <c r="D2">
        <v>18.100000000000001</v>
      </c>
      <c r="E2">
        <v>24.882000000000001</v>
      </c>
      <c r="F2">
        <v>619.10599999999999</v>
      </c>
      <c r="G2">
        <v>-30.667999999999999</v>
      </c>
      <c r="H2">
        <v>66.867999999999995</v>
      </c>
      <c r="I2">
        <v>0.72699999999999998</v>
      </c>
      <c r="J2">
        <v>0.46700000000000003</v>
      </c>
      <c r="K2">
        <f>E2*SQRT(C2/4)</f>
        <v>72.542872523770384</v>
      </c>
      <c r="L2">
        <f>D2/K2</f>
        <v>0.24950762728714815</v>
      </c>
      <c r="M2">
        <f>1-3/(4*(C2-2)-1)</f>
        <v>0.97637795275590555</v>
      </c>
      <c r="N2">
        <f>M2*L2</f>
        <v>0.24361374632760924</v>
      </c>
      <c r="O2">
        <f>M2*E2/K2</f>
        <v>0.33489487492395426</v>
      </c>
    </row>
    <row r="3" spans="1:15" x14ac:dyDescent="0.25">
      <c r="A3" t="s">
        <v>1</v>
      </c>
      <c r="B3">
        <v>2019</v>
      </c>
      <c r="C3">
        <v>16</v>
      </c>
      <c r="D3">
        <v>12.62</v>
      </c>
      <c r="E3">
        <v>7.4660000000000002</v>
      </c>
      <c r="F3">
        <v>55.741</v>
      </c>
      <c r="G3">
        <v>-2.0129999999999999</v>
      </c>
      <c r="H3">
        <v>27.253</v>
      </c>
      <c r="I3">
        <v>1.69</v>
      </c>
      <c r="J3">
        <v>9.0999999999999998E-2</v>
      </c>
      <c r="K3">
        <f t="shared" ref="K3:K32" si="0">E3*SQRT(C3/4)</f>
        <v>14.932</v>
      </c>
      <c r="L3">
        <f t="shared" ref="L3:L32" si="1">D3/K3</f>
        <v>0.84516474685239751</v>
      </c>
      <c r="M3">
        <f t="shared" ref="M3:M32" si="2">1-3/(4*(C3-2)-1)</f>
        <v>0.94545454545454544</v>
      </c>
      <c r="N3">
        <f t="shared" ref="N3:N32" si="3">M3*L3</f>
        <v>0.79906485156953944</v>
      </c>
      <c r="O3">
        <f t="shared" ref="O3:O32" si="4">M3*E3/K3</f>
        <v>0.47272727272727272</v>
      </c>
    </row>
    <row r="4" spans="1:15" x14ac:dyDescent="0.25">
      <c r="A4" t="s">
        <v>2</v>
      </c>
      <c r="B4">
        <v>2019</v>
      </c>
      <c r="C4">
        <v>24</v>
      </c>
      <c r="D4">
        <v>60.59</v>
      </c>
      <c r="E4">
        <v>28.138000000000002</v>
      </c>
      <c r="F4">
        <v>791.76800000000003</v>
      </c>
      <c r="G4">
        <v>5.44</v>
      </c>
      <c r="H4">
        <v>115.74</v>
      </c>
      <c r="I4">
        <v>2.153</v>
      </c>
      <c r="J4">
        <v>3.1E-2</v>
      </c>
      <c r="K4">
        <f t="shared" si="0"/>
        <v>68.923742382433062</v>
      </c>
      <c r="L4">
        <f t="shared" si="1"/>
        <v>0.87908749446319789</v>
      </c>
      <c r="M4">
        <f t="shared" si="2"/>
        <v>0.96551724137931039</v>
      </c>
      <c r="N4">
        <f t="shared" si="3"/>
        <v>0.84877413258515666</v>
      </c>
      <c r="O4">
        <f t="shared" si="4"/>
        <v>0.39417076320648853</v>
      </c>
    </row>
    <row r="5" spans="1:15" x14ac:dyDescent="0.25">
      <c r="A5" t="s">
        <v>12</v>
      </c>
      <c r="B5">
        <v>2003</v>
      </c>
      <c r="C5">
        <v>13</v>
      </c>
      <c r="D5">
        <v>-6.82</v>
      </c>
      <c r="E5">
        <v>10.802</v>
      </c>
      <c r="F5">
        <v>116.678</v>
      </c>
      <c r="G5">
        <v>-27.991</v>
      </c>
      <c r="H5">
        <v>14.351000000000001</v>
      </c>
      <c r="I5">
        <v>-0.63100000000000001</v>
      </c>
      <c r="J5">
        <v>0.52800000000000002</v>
      </c>
      <c r="K5">
        <f t="shared" si="0"/>
        <v>19.473582438781005</v>
      </c>
      <c r="L5">
        <f t="shared" si="1"/>
        <v>-0.35021804649658056</v>
      </c>
      <c r="M5">
        <f t="shared" si="2"/>
        <v>0.93023255813953487</v>
      </c>
      <c r="N5">
        <f t="shared" si="3"/>
        <v>-0.32578422929914469</v>
      </c>
      <c r="O5">
        <f t="shared" si="4"/>
        <v>0.51600018253509683</v>
      </c>
    </row>
    <row r="6" spans="1:15" x14ac:dyDescent="0.25">
      <c r="A6" t="s">
        <v>13</v>
      </c>
      <c r="B6">
        <v>2003</v>
      </c>
      <c r="C6">
        <v>13</v>
      </c>
      <c r="D6">
        <v>-2.27</v>
      </c>
      <c r="E6">
        <v>10.113</v>
      </c>
      <c r="F6">
        <v>102.27500000000001</v>
      </c>
      <c r="G6">
        <v>-22.091000000000001</v>
      </c>
      <c r="H6">
        <v>17.550999999999998</v>
      </c>
      <c r="I6">
        <v>-0.224</v>
      </c>
      <c r="J6">
        <v>0.82199999999999995</v>
      </c>
      <c r="K6">
        <f t="shared" si="0"/>
        <v>18.231470024383661</v>
      </c>
      <c r="L6">
        <f t="shared" si="1"/>
        <v>-0.12450998174935926</v>
      </c>
      <c r="M6">
        <f t="shared" si="2"/>
        <v>0.93023255813953487</v>
      </c>
      <c r="N6">
        <f t="shared" si="3"/>
        <v>-0.11582323883661326</v>
      </c>
      <c r="O6">
        <f t="shared" si="4"/>
        <v>0.51600018253509694</v>
      </c>
    </row>
    <row r="7" spans="1:15" x14ac:dyDescent="0.25">
      <c r="A7" t="s">
        <v>14</v>
      </c>
      <c r="B7">
        <v>2015</v>
      </c>
      <c r="C7">
        <v>19.5</v>
      </c>
      <c r="D7">
        <v>30.9</v>
      </c>
      <c r="E7">
        <v>14.087</v>
      </c>
      <c r="F7">
        <v>198.45500000000001</v>
      </c>
      <c r="G7">
        <v>3.2890000000000001</v>
      </c>
      <c r="H7">
        <v>58.511000000000003</v>
      </c>
      <c r="I7">
        <v>2.1930000000000001</v>
      </c>
      <c r="J7">
        <v>2.8000000000000001E-2</v>
      </c>
      <c r="K7">
        <f t="shared" si="0"/>
        <v>31.103253830990099</v>
      </c>
      <c r="L7">
        <f t="shared" si="1"/>
        <v>0.99346519074516937</v>
      </c>
      <c r="M7">
        <f t="shared" si="2"/>
        <v>0.95652173913043481</v>
      </c>
      <c r="N7">
        <f t="shared" si="3"/>
        <v>0.95027105201711859</v>
      </c>
      <c r="O7">
        <f t="shared" si="4"/>
        <v>0.4332190391509757</v>
      </c>
    </row>
    <row r="8" spans="1:15" x14ac:dyDescent="0.25">
      <c r="A8" t="s">
        <v>15</v>
      </c>
      <c r="B8">
        <v>2015</v>
      </c>
      <c r="C8">
        <v>19.5</v>
      </c>
      <c r="D8">
        <v>35.07</v>
      </c>
      <c r="E8">
        <v>18.756</v>
      </c>
      <c r="F8">
        <v>351.77499999999998</v>
      </c>
      <c r="G8">
        <v>-1.69</v>
      </c>
      <c r="H8">
        <v>71.83</v>
      </c>
      <c r="I8">
        <v>1.87</v>
      </c>
      <c r="J8">
        <v>6.2E-2</v>
      </c>
      <c r="K8">
        <f t="shared" si="0"/>
        <v>41.412126702211282</v>
      </c>
      <c r="L8">
        <f t="shared" si="1"/>
        <v>0.84685339277993099</v>
      </c>
      <c r="M8">
        <f t="shared" si="2"/>
        <v>0.95652173913043481</v>
      </c>
      <c r="N8">
        <f t="shared" si="3"/>
        <v>0.8100336800503688</v>
      </c>
      <c r="O8">
        <f t="shared" si="4"/>
        <v>0.4332190391509757</v>
      </c>
    </row>
    <row r="9" spans="1:15" x14ac:dyDescent="0.25">
      <c r="A9" t="s">
        <v>16</v>
      </c>
      <c r="B9">
        <v>2019</v>
      </c>
      <c r="C9">
        <v>16.5</v>
      </c>
      <c r="D9">
        <v>-6.8</v>
      </c>
      <c r="E9">
        <v>5.5330000000000004</v>
      </c>
      <c r="F9">
        <v>30.616</v>
      </c>
      <c r="G9">
        <v>-17.645</v>
      </c>
      <c r="H9">
        <v>4.0449999999999999</v>
      </c>
      <c r="I9">
        <v>-1.2290000000000001</v>
      </c>
      <c r="J9">
        <v>0.219</v>
      </c>
      <c r="K9">
        <f t="shared" si="0"/>
        <v>11.237576123212694</v>
      </c>
      <c r="L9">
        <f t="shared" si="1"/>
        <v>-0.60511269738620088</v>
      </c>
      <c r="M9">
        <f t="shared" si="2"/>
        <v>0.94736842105263164</v>
      </c>
      <c r="N9">
        <f t="shared" si="3"/>
        <v>-0.57326466068166404</v>
      </c>
      <c r="O9">
        <f t="shared" si="4"/>
        <v>0.46645196581641873</v>
      </c>
    </row>
    <row r="10" spans="1:15" x14ac:dyDescent="0.25">
      <c r="A10" t="s">
        <v>17</v>
      </c>
      <c r="B10">
        <v>2019</v>
      </c>
      <c r="C10">
        <v>16.5</v>
      </c>
      <c r="D10">
        <v>-8</v>
      </c>
      <c r="E10">
        <v>4.9610000000000003</v>
      </c>
      <c r="F10">
        <v>24.606999999999999</v>
      </c>
      <c r="G10">
        <v>-17.722999999999999</v>
      </c>
      <c r="H10">
        <v>1.7230000000000001</v>
      </c>
      <c r="I10">
        <v>-1.613</v>
      </c>
      <c r="J10">
        <v>0.107</v>
      </c>
      <c r="K10">
        <f t="shared" si="0"/>
        <v>10.07583863134975</v>
      </c>
      <c r="L10">
        <f t="shared" si="1"/>
        <v>-0.79397857515393011</v>
      </c>
      <c r="M10">
        <f t="shared" si="2"/>
        <v>0.94736842105263164</v>
      </c>
      <c r="N10">
        <f t="shared" si="3"/>
        <v>-0.75219022909319699</v>
      </c>
      <c r="O10">
        <f t="shared" si="4"/>
        <v>0.46645196581641885</v>
      </c>
    </row>
    <row r="11" spans="1:15" x14ac:dyDescent="0.25">
      <c r="A11" t="s">
        <v>3</v>
      </c>
      <c r="B11">
        <v>2001</v>
      </c>
      <c r="C11">
        <v>30</v>
      </c>
      <c r="D11">
        <v>19.579999999999998</v>
      </c>
      <c r="E11">
        <v>15.195</v>
      </c>
      <c r="F11">
        <v>230.89400000000001</v>
      </c>
      <c r="G11">
        <v>-10.202</v>
      </c>
      <c r="H11">
        <v>49.362000000000002</v>
      </c>
      <c r="I11">
        <v>1.2889999999999999</v>
      </c>
      <c r="J11">
        <v>0.19800000000000001</v>
      </c>
      <c r="K11">
        <f t="shared" si="0"/>
        <v>41.613221306454996</v>
      </c>
      <c r="L11">
        <f t="shared" si="1"/>
        <v>0.47052353519583862</v>
      </c>
      <c r="M11">
        <f t="shared" si="2"/>
        <v>0.97297297297297303</v>
      </c>
      <c r="N11">
        <f t="shared" si="3"/>
        <v>0.45780668289324838</v>
      </c>
      <c r="O11">
        <f t="shared" si="4"/>
        <v>0.35527949676010778</v>
      </c>
    </row>
    <row r="12" spans="1:15" x14ac:dyDescent="0.25">
      <c r="A12" t="s">
        <v>18</v>
      </c>
      <c r="B12">
        <v>2024</v>
      </c>
      <c r="C12">
        <v>18</v>
      </c>
      <c r="D12">
        <v>8.3000000000000007</v>
      </c>
      <c r="E12">
        <v>6.0490000000000004</v>
      </c>
      <c r="F12">
        <v>36.593000000000004</v>
      </c>
      <c r="G12">
        <v>-3.556</v>
      </c>
      <c r="H12">
        <v>20.155999999999999</v>
      </c>
      <c r="I12">
        <v>1.3720000000000001</v>
      </c>
      <c r="J12">
        <v>0.17</v>
      </c>
      <c r="K12">
        <f t="shared" si="0"/>
        <v>12.831866758192277</v>
      </c>
      <c r="L12">
        <f t="shared" si="1"/>
        <v>0.64682716524476169</v>
      </c>
      <c r="M12">
        <f t="shared" si="2"/>
        <v>0.95238095238095233</v>
      </c>
      <c r="N12">
        <f t="shared" si="3"/>
        <v>0.61602587166167777</v>
      </c>
      <c r="O12">
        <f t="shared" si="4"/>
        <v>0.4489566864676493</v>
      </c>
    </row>
    <row r="13" spans="1:15" x14ac:dyDescent="0.25">
      <c r="A13" t="s">
        <v>19</v>
      </c>
      <c r="B13">
        <v>2024</v>
      </c>
      <c r="C13">
        <v>18</v>
      </c>
      <c r="D13">
        <v>8</v>
      </c>
      <c r="E13">
        <v>5.7050000000000001</v>
      </c>
      <c r="F13">
        <v>32.552</v>
      </c>
      <c r="G13">
        <v>-3.1819999999999999</v>
      </c>
      <c r="H13">
        <v>19.181999999999999</v>
      </c>
      <c r="I13">
        <v>1.4019999999999999</v>
      </c>
      <c r="J13">
        <v>0.161</v>
      </c>
      <c r="K13">
        <f t="shared" si="0"/>
        <v>12.10213256000776</v>
      </c>
      <c r="L13">
        <f t="shared" si="1"/>
        <v>0.66104051995236701</v>
      </c>
      <c r="M13">
        <f t="shared" si="2"/>
        <v>0.95238095238095233</v>
      </c>
      <c r="N13">
        <f t="shared" si="3"/>
        <v>0.62956239995463525</v>
      </c>
      <c r="O13">
        <f t="shared" si="4"/>
        <v>0.44895668646764919</v>
      </c>
    </row>
    <row r="14" spans="1:15" x14ac:dyDescent="0.25">
      <c r="A14" t="s">
        <v>4</v>
      </c>
      <c r="B14">
        <v>2006</v>
      </c>
      <c r="C14">
        <v>26</v>
      </c>
      <c r="D14">
        <v>6.53</v>
      </c>
      <c r="E14">
        <v>21.187999999999999</v>
      </c>
      <c r="F14">
        <v>448.94400000000002</v>
      </c>
      <c r="G14">
        <v>-34.997999999999998</v>
      </c>
      <c r="H14">
        <v>48.058</v>
      </c>
      <c r="I14">
        <v>0.308</v>
      </c>
      <c r="J14">
        <v>0.75800000000000001</v>
      </c>
      <c r="K14">
        <f t="shared" si="0"/>
        <v>54.019012727001957</v>
      </c>
      <c r="L14">
        <f t="shared" si="1"/>
        <v>0.12088336439988125</v>
      </c>
      <c r="M14">
        <f t="shared" si="2"/>
        <v>0.96842105263157896</v>
      </c>
      <c r="N14">
        <f t="shared" si="3"/>
        <v>0.11706599499777974</v>
      </c>
      <c r="O14">
        <f t="shared" si="4"/>
        <v>0.37984598805711434</v>
      </c>
    </row>
    <row r="15" spans="1:15" x14ac:dyDescent="0.25">
      <c r="A15" t="s">
        <v>20</v>
      </c>
      <c r="B15">
        <v>2014</v>
      </c>
      <c r="C15">
        <v>30</v>
      </c>
      <c r="D15">
        <v>3.9</v>
      </c>
      <c r="E15">
        <v>6.4480000000000004</v>
      </c>
      <c r="F15">
        <v>41.582999999999998</v>
      </c>
      <c r="G15">
        <v>-8.7390000000000008</v>
      </c>
      <c r="H15">
        <v>16.539000000000001</v>
      </c>
      <c r="I15">
        <v>0.60499999999999998</v>
      </c>
      <c r="J15">
        <v>0.54500000000000004</v>
      </c>
      <c r="K15">
        <f t="shared" si="0"/>
        <v>17.658575253966557</v>
      </c>
      <c r="L15">
        <f t="shared" si="1"/>
        <v>0.22085586996176051</v>
      </c>
      <c r="M15">
        <f t="shared" si="2"/>
        <v>0.97297297297297303</v>
      </c>
      <c r="N15">
        <f t="shared" si="3"/>
        <v>0.21488679239522646</v>
      </c>
      <c r="O15">
        <f t="shared" si="4"/>
        <v>0.35527949676010773</v>
      </c>
    </row>
    <row r="16" spans="1:15" x14ac:dyDescent="0.25">
      <c r="A16" t="s">
        <v>21</v>
      </c>
      <c r="B16">
        <v>2014</v>
      </c>
      <c r="C16">
        <v>30</v>
      </c>
      <c r="D16">
        <v>0.6</v>
      </c>
      <c r="E16">
        <v>6.8150000000000004</v>
      </c>
      <c r="F16">
        <v>46.451000000000001</v>
      </c>
      <c r="G16">
        <v>-12.757999999999999</v>
      </c>
      <c r="H16">
        <v>13.958</v>
      </c>
      <c r="I16">
        <v>8.7999999999999995E-2</v>
      </c>
      <c r="J16">
        <v>0.93</v>
      </c>
      <c r="K16">
        <f t="shared" si="0"/>
        <v>18.663646146988537</v>
      </c>
      <c r="L16">
        <f t="shared" si="1"/>
        <v>3.2148059134565872E-2</v>
      </c>
      <c r="M16">
        <f t="shared" si="2"/>
        <v>0.97297297297297303</v>
      </c>
      <c r="N16">
        <f t="shared" si="3"/>
        <v>3.1279192671469495E-2</v>
      </c>
      <c r="O16">
        <f t="shared" si="4"/>
        <v>0.35527949676010778</v>
      </c>
    </row>
    <row r="17" spans="1:15" x14ac:dyDescent="0.25">
      <c r="A17" t="s">
        <v>22</v>
      </c>
      <c r="B17">
        <v>2009</v>
      </c>
      <c r="C17">
        <v>19.333333333333332</v>
      </c>
      <c r="D17">
        <v>21.13</v>
      </c>
      <c r="E17">
        <v>27.137</v>
      </c>
      <c r="F17">
        <v>736.41800000000001</v>
      </c>
      <c r="G17">
        <v>-32.058</v>
      </c>
      <c r="H17">
        <v>74.317999999999998</v>
      </c>
      <c r="I17">
        <v>0.77900000000000003</v>
      </c>
      <c r="J17">
        <v>0.436</v>
      </c>
      <c r="K17">
        <f t="shared" si="0"/>
        <v>59.660269164942029</v>
      </c>
      <c r="L17">
        <f t="shared" si="1"/>
        <v>0.35417205278746133</v>
      </c>
      <c r="M17">
        <f t="shared" si="2"/>
        <v>0.95609756097560972</v>
      </c>
      <c r="N17">
        <f t="shared" si="3"/>
        <v>0.33862303583581665</v>
      </c>
      <c r="O17">
        <f t="shared" si="4"/>
        <v>0.43488941426770267</v>
      </c>
    </row>
    <row r="18" spans="1:15" x14ac:dyDescent="0.25">
      <c r="A18" t="s">
        <v>23</v>
      </c>
      <c r="B18">
        <v>2009</v>
      </c>
      <c r="C18">
        <v>19.333333333333332</v>
      </c>
      <c r="D18">
        <v>22.04</v>
      </c>
      <c r="E18">
        <v>32.253999999999998</v>
      </c>
      <c r="F18">
        <v>1040.3019999999999</v>
      </c>
      <c r="G18">
        <v>-41.176000000000002</v>
      </c>
      <c r="H18">
        <v>85.256</v>
      </c>
      <c r="I18">
        <v>0.68300000000000005</v>
      </c>
      <c r="J18">
        <v>0.49399999999999999</v>
      </c>
      <c r="K18">
        <f t="shared" si="0"/>
        <v>70.909913463022448</v>
      </c>
      <c r="L18">
        <f t="shared" si="1"/>
        <v>0.31081690730723072</v>
      </c>
      <c r="M18">
        <f t="shared" si="2"/>
        <v>0.95609756097560972</v>
      </c>
      <c r="N18">
        <f t="shared" si="3"/>
        <v>0.29717128698642548</v>
      </c>
      <c r="O18">
        <f t="shared" si="4"/>
        <v>0.43488941426770261</v>
      </c>
    </row>
    <row r="19" spans="1:15" x14ac:dyDescent="0.25">
      <c r="A19" t="s">
        <v>24</v>
      </c>
      <c r="B19">
        <v>2009</v>
      </c>
      <c r="C19">
        <v>19.333333333333332</v>
      </c>
      <c r="D19">
        <v>11.63</v>
      </c>
      <c r="E19">
        <v>25.826000000000001</v>
      </c>
      <c r="F19">
        <v>667.00599999999997</v>
      </c>
      <c r="G19">
        <v>-38.988999999999997</v>
      </c>
      <c r="H19">
        <v>62.249000000000002</v>
      </c>
      <c r="I19">
        <v>0.45</v>
      </c>
      <c r="J19">
        <v>0.65200000000000002</v>
      </c>
      <c r="K19">
        <f t="shared" si="0"/>
        <v>56.778056213059394</v>
      </c>
      <c r="L19">
        <f t="shared" si="1"/>
        <v>0.2048326550024622</v>
      </c>
      <c r="M19">
        <f t="shared" si="2"/>
        <v>0.95609756097560972</v>
      </c>
      <c r="N19">
        <f t="shared" si="3"/>
        <v>0.19584000185601264</v>
      </c>
      <c r="O19">
        <f t="shared" si="4"/>
        <v>0.43488941426770272</v>
      </c>
    </row>
    <row r="20" spans="1:15" x14ac:dyDescent="0.25">
      <c r="A20" t="s">
        <v>5</v>
      </c>
      <c r="B20">
        <v>2016</v>
      </c>
      <c r="C20">
        <v>29</v>
      </c>
      <c r="D20">
        <v>-8.1</v>
      </c>
      <c r="E20">
        <v>13.743</v>
      </c>
      <c r="F20">
        <v>188.86699999999999</v>
      </c>
      <c r="G20">
        <v>-35.036000000000001</v>
      </c>
      <c r="H20">
        <v>18.835999999999999</v>
      </c>
      <c r="I20">
        <v>-0.58899999999999997</v>
      </c>
      <c r="J20">
        <v>0.55600000000000005</v>
      </c>
      <c r="K20">
        <f t="shared" si="0"/>
        <v>37.004159972224741</v>
      </c>
      <c r="L20">
        <f t="shared" si="1"/>
        <v>-0.21889430826371536</v>
      </c>
      <c r="M20">
        <f t="shared" si="2"/>
        <v>0.9719626168224299</v>
      </c>
      <c r="N20">
        <f t="shared" si="3"/>
        <v>-0.21275708466753643</v>
      </c>
      <c r="O20">
        <f t="shared" si="4"/>
        <v>0.36097785365258683</v>
      </c>
    </row>
    <row r="21" spans="1:15" x14ac:dyDescent="0.25">
      <c r="A21" t="s">
        <v>6</v>
      </c>
      <c r="B21">
        <v>2019</v>
      </c>
      <c r="C21">
        <v>18</v>
      </c>
      <c r="D21">
        <v>14</v>
      </c>
      <c r="E21">
        <v>9.3870000000000005</v>
      </c>
      <c r="F21">
        <v>88.111000000000004</v>
      </c>
      <c r="G21">
        <v>-4.3979999999999997</v>
      </c>
      <c r="H21">
        <v>32.398000000000003</v>
      </c>
      <c r="I21">
        <v>1.4910000000000001</v>
      </c>
      <c r="J21">
        <v>0.13600000000000001</v>
      </c>
      <c r="K21">
        <f t="shared" si="0"/>
        <v>19.912834064994364</v>
      </c>
      <c r="L21">
        <f t="shared" si="1"/>
        <v>0.70306416225358948</v>
      </c>
      <c r="M21">
        <f t="shared" si="2"/>
        <v>0.95238095238095233</v>
      </c>
      <c r="N21">
        <f t="shared" si="3"/>
        <v>0.66958491643198992</v>
      </c>
      <c r="O21">
        <f t="shared" si="4"/>
        <v>0.44895668646764925</v>
      </c>
    </row>
    <row r="22" spans="1:15" x14ac:dyDescent="0.25">
      <c r="A22" t="s">
        <v>7</v>
      </c>
      <c r="B22">
        <v>2020</v>
      </c>
      <c r="C22">
        <v>22</v>
      </c>
      <c r="D22">
        <v>32.799999999999997</v>
      </c>
      <c r="E22">
        <v>42.588999999999999</v>
      </c>
      <c r="F22">
        <v>1813.8320000000001</v>
      </c>
      <c r="G22">
        <v>-50.673000000000002</v>
      </c>
      <c r="H22">
        <v>116.273</v>
      </c>
      <c r="I22">
        <v>0.77</v>
      </c>
      <c r="J22">
        <v>0.441</v>
      </c>
      <c r="K22">
        <f t="shared" si="0"/>
        <v>99.88005839756002</v>
      </c>
      <c r="L22">
        <f t="shared" si="1"/>
        <v>0.32839388088304594</v>
      </c>
      <c r="M22">
        <f t="shared" si="2"/>
        <v>0.96202531645569622</v>
      </c>
      <c r="N22">
        <f t="shared" si="3"/>
        <v>0.31592322717862648</v>
      </c>
      <c r="O22">
        <f t="shared" si="4"/>
        <v>0.4102089732411745</v>
      </c>
    </row>
    <row r="23" spans="1:15" x14ac:dyDescent="0.25">
      <c r="A23" t="s">
        <v>25</v>
      </c>
      <c r="B23">
        <v>2022</v>
      </c>
      <c r="C23">
        <v>16.5</v>
      </c>
      <c r="D23">
        <v>-8</v>
      </c>
      <c r="E23">
        <v>15.632</v>
      </c>
      <c r="F23">
        <v>244.34700000000001</v>
      </c>
      <c r="G23">
        <v>-38.637</v>
      </c>
      <c r="H23">
        <v>22.637</v>
      </c>
      <c r="I23">
        <v>-0.51200000000000001</v>
      </c>
      <c r="J23">
        <v>0.60899999999999999</v>
      </c>
      <c r="K23">
        <f t="shared" si="0"/>
        <v>31.748742085317335</v>
      </c>
      <c r="L23">
        <f t="shared" si="1"/>
        <v>-0.25197848716342419</v>
      </c>
      <c r="M23">
        <f t="shared" si="2"/>
        <v>0.94736842105263164</v>
      </c>
      <c r="N23">
        <f t="shared" si="3"/>
        <v>-0.23871646152324399</v>
      </c>
      <c r="O23">
        <f t="shared" si="4"/>
        <v>0.46645196581641873</v>
      </c>
    </row>
    <row r="24" spans="1:15" x14ac:dyDescent="0.25">
      <c r="A24" t="s">
        <v>26</v>
      </c>
      <c r="B24">
        <v>2022</v>
      </c>
      <c r="C24">
        <v>16.5</v>
      </c>
      <c r="D24">
        <v>12</v>
      </c>
      <c r="E24">
        <v>15.863</v>
      </c>
      <c r="F24">
        <v>251.62100000000001</v>
      </c>
      <c r="G24">
        <v>-19.09</v>
      </c>
      <c r="H24">
        <v>43.09</v>
      </c>
      <c r="I24">
        <v>0.75600000000000001</v>
      </c>
      <c r="J24">
        <v>0.44900000000000001</v>
      </c>
      <c r="K24">
        <f t="shared" si="0"/>
        <v>32.217905303185063</v>
      </c>
      <c r="L24">
        <f t="shared" si="1"/>
        <v>0.37246369331198204</v>
      </c>
      <c r="M24">
        <f t="shared" si="2"/>
        <v>0.94736842105263164</v>
      </c>
      <c r="N24">
        <f t="shared" si="3"/>
        <v>0.35286034103240405</v>
      </c>
      <c r="O24">
        <f t="shared" si="4"/>
        <v>0.46645196581641873</v>
      </c>
    </row>
    <row r="25" spans="1:15" x14ac:dyDescent="0.25">
      <c r="A25" t="s">
        <v>27</v>
      </c>
      <c r="B25">
        <v>1999</v>
      </c>
      <c r="C25">
        <v>17.5</v>
      </c>
      <c r="D25">
        <v>7.64</v>
      </c>
      <c r="E25">
        <v>31.498999999999999</v>
      </c>
      <c r="F25">
        <v>992.20799999999997</v>
      </c>
      <c r="G25">
        <v>-54.097999999999999</v>
      </c>
      <c r="H25">
        <v>69.378</v>
      </c>
      <c r="I25">
        <v>0.24299999999999999</v>
      </c>
      <c r="J25">
        <v>0.80800000000000005</v>
      </c>
      <c r="K25">
        <f t="shared" si="0"/>
        <v>65.884885439492109</v>
      </c>
      <c r="L25">
        <f t="shared" si="1"/>
        <v>0.115959828252513</v>
      </c>
      <c r="M25">
        <f t="shared" si="2"/>
        <v>0.95081967213114749</v>
      </c>
      <c r="N25">
        <f t="shared" si="3"/>
        <v>0.11025688587943858</v>
      </c>
      <c r="O25">
        <f t="shared" si="4"/>
        <v>0.45457874977963819</v>
      </c>
    </row>
    <row r="26" spans="1:15" x14ac:dyDescent="0.25">
      <c r="A26" t="s">
        <v>28</v>
      </c>
      <c r="B26">
        <v>1999</v>
      </c>
      <c r="C26">
        <v>17.5</v>
      </c>
      <c r="D26">
        <v>2.87</v>
      </c>
      <c r="E26">
        <v>27.402000000000001</v>
      </c>
      <c r="F26">
        <v>750.86300000000006</v>
      </c>
      <c r="G26">
        <v>-50.837000000000003</v>
      </c>
      <c r="H26">
        <v>56.576999999999998</v>
      </c>
      <c r="I26">
        <v>0.105</v>
      </c>
      <c r="J26">
        <v>0.91700000000000004</v>
      </c>
      <c r="K26">
        <f t="shared" si="0"/>
        <v>57.315395117716847</v>
      </c>
      <c r="L26">
        <f t="shared" si="1"/>
        <v>5.0073806419819136E-2</v>
      </c>
      <c r="M26">
        <f t="shared" si="2"/>
        <v>0.95081967213114749</v>
      </c>
      <c r="N26">
        <f t="shared" si="3"/>
        <v>4.7611160202450979E-2</v>
      </c>
      <c r="O26">
        <f t="shared" si="4"/>
        <v>0.45457874977963819</v>
      </c>
    </row>
    <row r="27" spans="1:15" x14ac:dyDescent="0.25">
      <c r="A27" t="s">
        <v>8</v>
      </c>
      <c r="B27">
        <v>2016</v>
      </c>
      <c r="C27">
        <v>27</v>
      </c>
      <c r="D27">
        <v>-16.8</v>
      </c>
      <c r="E27">
        <v>16.486999999999998</v>
      </c>
      <c r="F27">
        <v>271.81900000000002</v>
      </c>
      <c r="G27">
        <v>-49.113999999999997</v>
      </c>
      <c r="H27">
        <v>15.513999999999999</v>
      </c>
      <c r="I27">
        <v>-1.0189999999999999</v>
      </c>
      <c r="J27">
        <v>0.308</v>
      </c>
      <c r="K27">
        <f t="shared" si="0"/>
        <v>42.834482496582119</v>
      </c>
      <c r="L27">
        <f t="shared" si="1"/>
        <v>-0.39220737641316245</v>
      </c>
      <c r="M27">
        <f t="shared" si="2"/>
        <v>0.96969696969696972</v>
      </c>
      <c r="N27">
        <f t="shared" si="3"/>
        <v>-0.38032230440064241</v>
      </c>
      <c r="O27">
        <f t="shared" si="4"/>
        <v>0.37323653765793985</v>
      </c>
    </row>
    <row r="28" spans="1:15" x14ac:dyDescent="0.25">
      <c r="A28" t="s">
        <v>9</v>
      </c>
      <c r="B28">
        <v>2022</v>
      </c>
      <c r="C28">
        <v>20</v>
      </c>
      <c r="D28">
        <v>0.4</v>
      </c>
      <c r="E28">
        <v>8.2989999999999995</v>
      </c>
      <c r="F28">
        <v>68.873000000000005</v>
      </c>
      <c r="G28">
        <v>-15.866</v>
      </c>
      <c r="H28">
        <v>16.666</v>
      </c>
      <c r="I28">
        <v>4.8000000000000001E-2</v>
      </c>
      <c r="J28">
        <v>0.96199999999999997</v>
      </c>
      <c r="K28">
        <f t="shared" si="0"/>
        <v>18.557128145270756</v>
      </c>
      <c r="L28">
        <f t="shared" si="1"/>
        <v>2.1555059428844822E-2</v>
      </c>
      <c r="M28">
        <f t="shared" si="2"/>
        <v>0.95774647887323949</v>
      </c>
      <c r="N28">
        <f t="shared" si="3"/>
        <v>2.0644282269879549E-2</v>
      </c>
      <c r="O28">
        <f t="shared" si="4"/>
        <v>0.42831724639432589</v>
      </c>
    </row>
    <row r="29" spans="1:15" x14ac:dyDescent="0.25">
      <c r="A29" t="s">
        <v>29</v>
      </c>
      <c r="B29">
        <v>2000</v>
      </c>
      <c r="C29">
        <v>10.5</v>
      </c>
      <c r="D29">
        <v>13.7</v>
      </c>
      <c r="E29">
        <v>65.637</v>
      </c>
      <c r="F29">
        <v>4308.2079999999996</v>
      </c>
      <c r="G29">
        <v>-114.946</v>
      </c>
      <c r="H29">
        <v>142.346</v>
      </c>
      <c r="I29">
        <v>0.20899999999999999</v>
      </c>
      <c r="J29">
        <v>0.83499999999999996</v>
      </c>
      <c r="K29">
        <f t="shared" si="0"/>
        <v>106.34409430534919</v>
      </c>
      <c r="L29">
        <f t="shared" si="1"/>
        <v>0.12882708804367407</v>
      </c>
      <c r="M29">
        <f t="shared" si="2"/>
        <v>0.90909090909090906</v>
      </c>
      <c r="N29">
        <f t="shared" si="3"/>
        <v>0.11711553458515825</v>
      </c>
      <c r="O29">
        <f t="shared" si="4"/>
        <v>0.56110309077124332</v>
      </c>
    </row>
    <row r="30" spans="1:15" x14ac:dyDescent="0.25">
      <c r="A30" t="s">
        <v>30</v>
      </c>
      <c r="B30">
        <v>2000</v>
      </c>
      <c r="C30">
        <v>10.5</v>
      </c>
      <c r="D30">
        <v>26.3</v>
      </c>
      <c r="E30">
        <v>51.613</v>
      </c>
      <c r="F30">
        <v>2663.85</v>
      </c>
      <c r="G30">
        <v>-74.858999999999995</v>
      </c>
      <c r="H30">
        <v>127.459</v>
      </c>
      <c r="I30">
        <v>0.51</v>
      </c>
      <c r="J30">
        <v>0.61</v>
      </c>
      <c r="K30">
        <f t="shared" si="0"/>
        <v>83.622617416731217</v>
      </c>
      <c r="L30">
        <f t="shared" si="1"/>
        <v>0.31450821335733381</v>
      </c>
      <c r="M30">
        <f t="shared" si="2"/>
        <v>0.90909090909090906</v>
      </c>
      <c r="N30">
        <f t="shared" si="3"/>
        <v>0.28591655759757617</v>
      </c>
      <c r="O30">
        <f t="shared" si="4"/>
        <v>0.56110309077124332</v>
      </c>
    </row>
    <row r="31" spans="1:15" x14ac:dyDescent="0.25">
      <c r="A31" t="s">
        <v>10</v>
      </c>
      <c r="B31">
        <v>2001</v>
      </c>
      <c r="C31">
        <v>22</v>
      </c>
      <c r="D31">
        <v>-6.4</v>
      </c>
      <c r="E31">
        <v>29.082000000000001</v>
      </c>
      <c r="F31">
        <v>845.78800000000001</v>
      </c>
      <c r="G31">
        <v>-63.401000000000003</v>
      </c>
      <c r="H31">
        <v>50.600999999999999</v>
      </c>
      <c r="I31">
        <v>-0.22</v>
      </c>
      <c r="J31">
        <v>0.82599999999999996</v>
      </c>
      <c r="K31">
        <f t="shared" si="0"/>
        <v>68.203335563592489</v>
      </c>
      <c r="L31">
        <f t="shared" si="1"/>
        <v>-9.3837052793886724E-2</v>
      </c>
      <c r="M31">
        <f t="shared" si="2"/>
        <v>0.96202531645569622</v>
      </c>
      <c r="N31">
        <f t="shared" si="3"/>
        <v>-9.0273620409308752E-2</v>
      </c>
      <c r="O31">
        <f t="shared" si="4"/>
        <v>0.41020897324117456</v>
      </c>
    </row>
    <row r="32" spans="1:15" x14ac:dyDescent="0.25">
      <c r="A32" t="s">
        <v>11</v>
      </c>
      <c r="B32">
        <v>2016</v>
      </c>
      <c r="C32">
        <v>28</v>
      </c>
      <c r="D32">
        <v>0.5</v>
      </c>
      <c r="E32">
        <v>28.366</v>
      </c>
      <c r="F32">
        <v>804.63499999999999</v>
      </c>
      <c r="G32">
        <v>-55.097000000000001</v>
      </c>
      <c r="H32">
        <v>56.097000000000001</v>
      </c>
      <c r="I32">
        <v>1.7999999999999999E-2</v>
      </c>
      <c r="J32">
        <v>0.98599999999999999</v>
      </c>
      <c r="K32">
        <f t="shared" si="0"/>
        <v>75.049381689658176</v>
      </c>
      <c r="L32">
        <f t="shared" si="1"/>
        <v>6.6622800713746601E-3</v>
      </c>
      <c r="M32">
        <f t="shared" si="2"/>
        <v>0.970873786407767</v>
      </c>
      <c r="N32">
        <f t="shared" si="3"/>
        <v>6.4682330790045246E-3</v>
      </c>
      <c r="O32">
        <f t="shared" si="4"/>
        <v>0.36695579903808473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Hester</dc:creator>
  <cp:lastModifiedBy>Matt Hester</cp:lastModifiedBy>
  <dcterms:created xsi:type="dcterms:W3CDTF">2015-06-05T18:17:20Z</dcterms:created>
  <dcterms:modified xsi:type="dcterms:W3CDTF">2026-01-02T18:33:36Z</dcterms:modified>
</cp:coreProperties>
</file>