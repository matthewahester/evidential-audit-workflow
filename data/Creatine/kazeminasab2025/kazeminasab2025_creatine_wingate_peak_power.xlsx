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kazeminasab2025\"/>
    </mc:Choice>
  </mc:AlternateContent>
  <xr:revisionPtr revIDLastSave="0" documentId="13_ncr:1_{5E652A7F-C470-4C20-A43F-5137926DEEC9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M3" i="1"/>
  <c r="K4" i="1"/>
  <c r="L4" i="1" s="1"/>
  <c r="M4" i="1"/>
  <c r="N4" i="1" s="1"/>
  <c r="O4" i="1"/>
  <c r="K5" i="1"/>
  <c r="L5" i="1"/>
  <c r="M5" i="1"/>
  <c r="N5" i="1" s="1"/>
  <c r="K6" i="1"/>
  <c r="L6" i="1" s="1"/>
  <c r="N6" i="1" s="1"/>
  <c r="M6" i="1"/>
  <c r="O6" i="1" s="1"/>
  <c r="K7" i="1"/>
  <c r="L7" i="1"/>
  <c r="M7" i="1"/>
  <c r="O7" i="1" s="1"/>
  <c r="N7" i="1"/>
  <c r="K8" i="1"/>
  <c r="L8" i="1"/>
  <c r="M8" i="1"/>
  <c r="N8" i="1" s="1"/>
  <c r="O8" i="1"/>
  <c r="K9" i="1"/>
  <c r="L9" i="1" s="1"/>
  <c r="N9" i="1" s="1"/>
  <c r="M9" i="1"/>
  <c r="O9" i="1"/>
  <c r="K10" i="1"/>
  <c r="L10" i="1" s="1"/>
  <c r="N10" i="1" s="1"/>
  <c r="M10" i="1"/>
  <c r="K11" i="1"/>
  <c r="L11" i="1"/>
  <c r="M11" i="1"/>
  <c r="N11" i="1" s="1"/>
  <c r="K12" i="1"/>
  <c r="L12" i="1"/>
  <c r="M12" i="1"/>
  <c r="N12" i="1" s="1"/>
  <c r="K13" i="1"/>
  <c r="L13" i="1" s="1"/>
  <c r="N13" i="1" s="1"/>
  <c r="M13" i="1"/>
  <c r="O13" i="1"/>
  <c r="K14" i="1"/>
  <c r="L14" i="1"/>
  <c r="M14" i="1"/>
  <c r="N14" i="1"/>
  <c r="O14" i="1"/>
  <c r="K15" i="1"/>
  <c r="L15" i="1" s="1"/>
  <c r="M15" i="1"/>
  <c r="K16" i="1"/>
  <c r="L16" i="1"/>
  <c r="M16" i="1"/>
  <c r="N16" i="1" s="1"/>
  <c r="O16" i="1"/>
  <c r="K17" i="1"/>
  <c r="L17" i="1"/>
  <c r="M17" i="1"/>
  <c r="N17" i="1" s="1"/>
  <c r="K18" i="1"/>
  <c r="L18" i="1" s="1"/>
  <c r="M18" i="1"/>
  <c r="O18" i="1"/>
  <c r="K19" i="1"/>
  <c r="L19" i="1"/>
  <c r="M19" i="1"/>
  <c r="O19" i="1" s="1"/>
  <c r="N19" i="1"/>
  <c r="K20" i="1"/>
  <c r="L20" i="1"/>
  <c r="M20" i="1"/>
  <c r="N20" i="1" s="1"/>
  <c r="O20" i="1"/>
  <c r="K21" i="1"/>
  <c r="L21" i="1" s="1"/>
  <c r="N21" i="1" s="1"/>
  <c r="M21" i="1"/>
  <c r="O21" i="1"/>
  <c r="K22" i="1"/>
  <c r="L22" i="1" s="1"/>
  <c r="N22" i="1" s="1"/>
  <c r="M22" i="1"/>
  <c r="M2" i="1"/>
  <c r="O2" i="1" s="1"/>
  <c r="K2" i="1"/>
  <c r="L2" i="1" s="1"/>
  <c r="N15" i="1" l="1"/>
  <c r="N3" i="1"/>
  <c r="N18" i="1"/>
  <c r="O11" i="1"/>
  <c r="O15" i="1"/>
  <c r="O3" i="1"/>
  <c r="O22" i="1"/>
  <c r="O10" i="1"/>
  <c r="O5" i="1"/>
  <c r="O17" i="1"/>
  <c r="O12" i="1"/>
  <c r="N2" i="1"/>
  <c r="C9" i="1"/>
  <c r="C8" i="1"/>
  <c r="C7" i="1"/>
</calcChain>
</file>

<file path=xl/sharedStrings.xml><?xml version="1.0" encoding="utf-8"?>
<sst xmlns="http://schemas.openxmlformats.org/spreadsheetml/2006/main" count="36" uniqueCount="36">
  <si>
    <t>Forbes</t>
  </si>
  <si>
    <t>Green</t>
  </si>
  <si>
    <t>Okudan</t>
  </si>
  <si>
    <t>Tayebi</t>
  </si>
  <si>
    <t>Theodorou</t>
  </si>
  <si>
    <t>Zuniga</t>
  </si>
  <si>
    <t>Havenetidisa</t>
  </si>
  <si>
    <t>Havenetidisb</t>
  </si>
  <si>
    <t>Havenetidisc</t>
  </si>
  <si>
    <t>Herdaa</t>
  </si>
  <si>
    <t>Herdab</t>
  </si>
  <si>
    <t>Herdac</t>
  </si>
  <si>
    <t>Krestaa</t>
  </si>
  <si>
    <t>Krestab</t>
  </si>
  <si>
    <t>Lawa</t>
  </si>
  <si>
    <t>Lawb</t>
  </si>
  <si>
    <t>Mabreya</t>
  </si>
  <si>
    <t>Mabreyb</t>
  </si>
  <si>
    <t>Tayebia</t>
  </si>
  <si>
    <t>Tayebib</t>
  </si>
  <si>
    <t>Tayebic</t>
  </si>
  <si>
    <t>Author</t>
  </si>
  <si>
    <t>Year</t>
  </si>
  <si>
    <t>n</t>
  </si>
  <si>
    <t>md</t>
  </si>
  <si>
    <t>se_md</t>
  </si>
  <si>
    <t>var_md</t>
  </si>
  <si>
    <t>lCI</t>
  </si>
  <si>
    <t>uCI</t>
  </si>
  <si>
    <t>z</t>
  </si>
  <si>
    <t>p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</si>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</sst>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H9" sqref="H9"/>
    </sheetView>
  </sheetViews>
  <sheetFormatPr defaultRowHeight="15" x14ac:dyDescent="0.25"/>
  <cols>
    <col min="1" max="1" width="12.7109375" bestFit="1" customWidth="1"/>
    <col min="2" max="2" width="5" bestFit="1" customWidth="1"/>
    <col min="3" max="3" width="12" bestFit="1" customWidth="1"/>
    <col min="4" max="4" width="7" bestFit="1" customWidth="1"/>
    <col min="5" max="5" width="8" bestFit="1" customWidth="1"/>
    <col min="6" max="6" width="10" bestFit="1" customWidth="1"/>
    <col min="7" max="7" width="8.7109375" bestFit="1" customWidth="1"/>
    <col min="8" max="8" width="8" bestFit="1" customWidth="1"/>
    <col min="9" max="9" width="6.7109375" bestFit="1" customWidth="1"/>
    <col min="10" max="10" width="6" bestFit="1" customWidth="1"/>
    <col min="11" max="11" width="11" bestFit="1" customWidth="1"/>
    <col min="12" max="12" width="12.7109375" bestFit="1" customWidth="1"/>
    <col min="13" max="13" width="12" bestFit="1" customWidth="1"/>
    <col min="14" max="14" width="12.7109375" bestFit="1" customWidth="1"/>
    <col min="15" max="15" width="11" bestFit="1" customWidth="1"/>
  </cols>
  <sheetData>
    <row r="1" spans="1:1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25">
      <c r="A2" t="s">
        <v>0</v>
      </c>
      <c r="B2">
        <v>2017</v>
      </c>
      <c r="C2">
        <v>17</v>
      </c>
      <c r="D2">
        <v>-3</v>
      </c>
      <c r="E2">
        <v>15.411</v>
      </c>
      <c r="F2">
        <v>237.512</v>
      </c>
      <c r="G2">
        <v>-33.206000000000003</v>
      </c>
      <c r="H2">
        <v>27.206</v>
      </c>
      <c r="I2">
        <v>-0.19500000000000001</v>
      </c>
      <c r="J2">
        <v>0.84599999999999997</v>
      </c>
      <c r="K2">
        <f>E2*SQRT(C2/4)</f>
        <v>31.770590398196884</v>
      </c>
      <c r="L2">
        <f>D2/K2</f>
        <v>-9.4426951542274859E-2</v>
      </c>
      <c r="M2">
        <f>1-3/(4*(C2-2)-1)</f>
        <v>0.94915254237288138</v>
      </c>
      <c r="N2">
        <f>M2*L2</f>
        <v>-8.9625581124871054E-2</v>
      </c>
      <c r="O2">
        <f>M2*E2/K2</f>
        <v>0.46040661023846263</v>
      </c>
    </row>
    <row r="3" spans="1:15" x14ac:dyDescent="0.25">
      <c r="A3" t="s">
        <v>1</v>
      </c>
      <c r="B3">
        <v>2001</v>
      </c>
      <c r="C3">
        <v>19</v>
      </c>
      <c r="D3">
        <v>-11.71</v>
      </c>
      <c r="E3">
        <v>89.185000000000002</v>
      </c>
      <c r="F3">
        <v>7953.8879999999999</v>
      </c>
      <c r="G3">
        <v>-186.50899999999999</v>
      </c>
      <c r="H3">
        <v>163.089</v>
      </c>
      <c r="I3">
        <v>-0.13100000000000001</v>
      </c>
      <c r="J3">
        <v>0.89600000000000002</v>
      </c>
      <c r="K3">
        <f t="shared" ref="K3:K22" si="0">E3*SQRT(C3/4)</f>
        <v>194.37420113983751</v>
      </c>
      <c r="L3">
        <f t="shared" ref="L3:L22" si="1">D3/K3</f>
        <v>-6.0244620589208459E-2</v>
      </c>
      <c r="M3">
        <f t="shared" ref="M3:M22" si="2">1-3/(4*(C3-2)-1)</f>
        <v>0.95522388059701491</v>
      </c>
      <c r="N3">
        <f t="shared" ref="N3:N22" si="3">M3*L3</f>
        <v>-5.7547100264318529E-2</v>
      </c>
      <c r="O3">
        <f t="shared" ref="O3:O22" si="4">M3*E3/K3</f>
        <v>0.43828677515570003</v>
      </c>
    </row>
    <row r="4" spans="1:15" x14ac:dyDescent="0.25">
      <c r="A4" t="s">
        <v>6</v>
      </c>
      <c r="B4">
        <v>2003</v>
      </c>
      <c r="C4">
        <v>7</v>
      </c>
      <c r="D4">
        <v>48</v>
      </c>
      <c r="E4">
        <v>56.774999999999999</v>
      </c>
      <c r="F4">
        <v>3223.4290000000001</v>
      </c>
      <c r="G4">
        <v>-63.277000000000001</v>
      </c>
      <c r="H4">
        <v>159.27699999999999</v>
      </c>
      <c r="I4">
        <v>0.84499999999999997</v>
      </c>
      <c r="J4">
        <v>0.39800000000000002</v>
      </c>
      <c r="K4">
        <f t="shared" si="0"/>
        <v>75.106265342846072</v>
      </c>
      <c r="L4">
        <f t="shared" si="1"/>
        <v>0.63909448540529834</v>
      </c>
      <c r="M4">
        <f t="shared" si="2"/>
        <v>0.84210526315789469</v>
      </c>
      <c r="N4">
        <f t="shared" si="3"/>
        <v>0.53818482981498805</v>
      </c>
      <c r="O4">
        <f t="shared" si="4"/>
        <v>0.6365717440155404</v>
      </c>
    </row>
    <row r="5" spans="1:15" x14ac:dyDescent="0.25">
      <c r="A5" t="s">
        <v>7</v>
      </c>
      <c r="B5">
        <v>2003</v>
      </c>
      <c r="C5">
        <v>7</v>
      </c>
      <c r="D5">
        <v>222</v>
      </c>
      <c r="E5">
        <v>69.834000000000003</v>
      </c>
      <c r="F5">
        <v>4876.857</v>
      </c>
      <c r="G5">
        <v>85.126999999999995</v>
      </c>
      <c r="H5">
        <v>358.87299999999999</v>
      </c>
      <c r="I5">
        <v>3.1789999999999998</v>
      </c>
      <c r="J5">
        <v>1E-3</v>
      </c>
      <c r="K5">
        <f t="shared" si="0"/>
        <v>92.381698528442314</v>
      </c>
      <c r="L5">
        <f t="shared" si="1"/>
        <v>2.4030733742317048</v>
      </c>
      <c r="M5">
        <f t="shared" si="2"/>
        <v>0.84210526315789469</v>
      </c>
      <c r="N5">
        <f t="shared" si="3"/>
        <v>2.0236407361951199</v>
      </c>
      <c r="O5">
        <f t="shared" si="4"/>
        <v>0.63657174401554051</v>
      </c>
    </row>
    <row r="6" spans="1:15" x14ac:dyDescent="0.25">
      <c r="A6" t="s">
        <v>8</v>
      </c>
      <c r="B6">
        <v>2003</v>
      </c>
      <c r="C6">
        <v>7</v>
      </c>
      <c r="D6">
        <v>236</v>
      </c>
      <c r="E6">
        <v>100.121</v>
      </c>
      <c r="F6">
        <v>10024.286</v>
      </c>
      <c r="G6">
        <v>39.765999999999998</v>
      </c>
      <c r="H6">
        <v>432.23399999999998</v>
      </c>
      <c r="I6">
        <v>2.3570000000000002</v>
      </c>
      <c r="J6">
        <v>1.7999999999999999E-2</v>
      </c>
      <c r="K6">
        <f t="shared" si="0"/>
        <v>132.44763350754894</v>
      </c>
      <c r="L6">
        <f t="shared" si="1"/>
        <v>1.7818362906918153</v>
      </c>
      <c r="M6">
        <f t="shared" si="2"/>
        <v>0.84210526315789469</v>
      </c>
      <c r="N6">
        <f t="shared" si="3"/>
        <v>1.5004937184773179</v>
      </c>
      <c r="O6">
        <f t="shared" si="4"/>
        <v>0.6365717440155404</v>
      </c>
    </row>
    <row r="7" spans="1:15" x14ac:dyDescent="0.25">
      <c r="A7" t="s">
        <v>9</v>
      </c>
      <c r="B7">
        <v>2009</v>
      </c>
      <c r="C7">
        <f>58/3</f>
        <v>19.333333333333332</v>
      </c>
      <c r="D7">
        <v>43.5</v>
      </c>
      <c r="E7">
        <v>43.241999999999997</v>
      </c>
      <c r="F7">
        <v>1869.8710000000001</v>
      </c>
      <c r="G7">
        <v>-41.253</v>
      </c>
      <c r="H7">
        <v>128.25299999999999</v>
      </c>
      <c r="I7">
        <v>1.006</v>
      </c>
      <c r="J7">
        <v>0.314</v>
      </c>
      <c r="K7">
        <f t="shared" si="0"/>
        <v>95.066859241272908</v>
      </c>
      <c r="L7">
        <f t="shared" si="1"/>
        <v>0.45757270564287922</v>
      </c>
      <c r="M7">
        <f t="shared" si="2"/>
        <v>0.95609756097560972</v>
      </c>
      <c r="N7">
        <f t="shared" si="3"/>
        <v>0.43748414783416745</v>
      </c>
      <c r="O7">
        <f t="shared" si="4"/>
        <v>0.43488941426770267</v>
      </c>
    </row>
    <row r="8" spans="1:15" x14ac:dyDescent="0.25">
      <c r="A8" t="s">
        <v>10</v>
      </c>
      <c r="B8">
        <v>2009</v>
      </c>
      <c r="C8">
        <f t="shared" ref="C8:C9" si="5">58/3</f>
        <v>19.333333333333332</v>
      </c>
      <c r="D8">
        <v>12.4</v>
      </c>
      <c r="E8">
        <v>54.012999999999998</v>
      </c>
      <c r="F8">
        <v>2917.3710000000001</v>
      </c>
      <c r="G8">
        <v>-93.462999999999994</v>
      </c>
      <c r="H8">
        <v>118.26300000000001</v>
      </c>
      <c r="I8">
        <v>0.23</v>
      </c>
      <c r="J8">
        <v>0.81799999999999995</v>
      </c>
      <c r="K8">
        <f t="shared" si="0"/>
        <v>118.74673392069919</v>
      </c>
      <c r="L8">
        <f t="shared" si="1"/>
        <v>0.10442392468900158</v>
      </c>
      <c r="M8">
        <f t="shared" si="2"/>
        <v>0.95609756097560972</v>
      </c>
      <c r="N8">
        <f t="shared" si="3"/>
        <v>9.9839459702655162E-2</v>
      </c>
      <c r="O8">
        <f t="shared" si="4"/>
        <v>0.43488941426770267</v>
      </c>
    </row>
    <row r="9" spans="1:15" x14ac:dyDescent="0.25">
      <c r="A9" t="s">
        <v>11</v>
      </c>
      <c r="B9">
        <v>2009</v>
      </c>
      <c r="C9">
        <f t="shared" si="5"/>
        <v>19.333333333333332</v>
      </c>
      <c r="D9">
        <v>23.2</v>
      </c>
      <c r="E9">
        <v>42.93</v>
      </c>
      <c r="F9">
        <v>1842.9880000000001</v>
      </c>
      <c r="G9">
        <v>-60.941000000000003</v>
      </c>
      <c r="H9">
        <v>107.34099999999999</v>
      </c>
      <c r="I9">
        <v>0.54</v>
      </c>
      <c r="J9">
        <v>0.58899999999999997</v>
      </c>
      <c r="K9">
        <f t="shared" si="0"/>
        <v>94.380932131442719</v>
      </c>
      <c r="L9">
        <f t="shared" si="1"/>
        <v>0.24581236353641595</v>
      </c>
      <c r="M9">
        <f t="shared" si="2"/>
        <v>0.95609756097560972</v>
      </c>
      <c r="N9">
        <f t="shared" si="3"/>
        <v>0.23502060123481719</v>
      </c>
      <c r="O9">
        <f t="shared" si="4"/>
        <v>0.43488941426770272</v>
      </c>
    </row>
    <row r="10" spans="1:15" x14ac:dyDescent="0.25">
      <c r="A10" t="s">
        <v>12</v>
      </c>
      <c r="B10">
        <v>2014</v>
      </c>
      <c r="C10">
        <v>7.5</v>
      </c>
      <c r="D10">
        <v>-274</v>
      </c>
      <c r="E10">
        <v>115.82599999999999</v>
      </c>
      <c r="F10">
        <v>13415.625</v>
      </c>
      <c r="G10">
        <v>-501.01400000000001</v>
      </c>
      <c r="H10">
        <v>-46.985999999999997</v>
      </c>
      <c r="I10">
        <v>-2.3660000000000001</v>
      </c>
      <c r="J10">
        <v>1.7999999999999999E-2</v>
      </c>
      <c r="K10">
        <f t="shared" si="0"/>
        <v>158.60128236398342</v>
      </c>
      <c r="L10">
        <f t="shared" si="1"/>
        <v>-1.7276026770778643</v>
      </c>
      <c r="M10">
        <f t="shared" si="2"/>
        <v>0.85714285714285721</v>
      </c>
      <c r="N10">
        <f t="shared" si="3"/>
        <v>-1.4808022946381696</v>
      </c>
      <c r="O10">
        <f t="shared" si="4"/>
        <v>0.62596863714876128</v>
      </c>
    </row>
    <row r="11" spans="1:15" x14ac:dyDescent="0.25">
      <c r="A11" t="s">
        <v>13</v>
      </c>
      <c r="B11">
        <v>2014</v>
      </c>
      <c r="C11">
        <v>7.5</v>
      </c>
      <c r="D11">
        <v>237</v>
      </c>
      <c r="E11">
        <v>113.31399999999999</v>
      </c>
      <c r="F11">
        <v>12840.102999999999</v>
      </c>
      <c r="G11">
        <v>14.907999999999999</v>
      </c>
      <c r="H11">
        <v>459.09199999999998</v>
      </c>
      <c r="I11">
        <v>2.0920000000000001</v>
      </c>
      <c r="J11">
        <v>3.5999999999999997E-2</v>
      </c>
      <c r="K11">
        <f t="shared" si="0"/>
        <v>155.16158470285097</v>
      </c>
      <c r="L11">
        <f t="shared" si="1"/>
        <v>1.5274399295023784</v>
      </c>
      <c r="M11">
        <f t="shared" si="2"/>
        <v>0.85714285714285721</v>
      </c>
      <c r="N11">
        <f t="shared" si="3"/>
        <v>1.3092342252877529</v>
      </c>
      <c r="O11">
        <f t="shared" si="4"/>
        <v>0.62596863714876128</v>
      </c>
    </row>
    <row r="12" spans="1:15" x14ac:dyDescent="0.25">
      <c r="A12" t="s">
        <v>14</v>
      </c>
      <c r="B12">
        <v>2009</v>
      </c>
      <c r="C12">
        <v>8.5</v>
      </c>
      <c r="D12">
        <v>160</v>
      </c>
      <c r="E12">
        <v>130.28100000000001</v>
      </c>
      <c r="F12">
        <v>16973.118999999999</v>
      </c>
      <c r="G12">
        <v>-95.346000000000004</v>
      </c>
      <c r="H12">
        <v>415.346</v>
      </c>
      <c r="I12">
        <v>1.228</v>
      </c>
      <c r="J12">
        <v>0.219</v>
      </c>
      <c r="K12">
        <f t="shared" si="0"/>
        <v>189.91556095308516</v>
      </c>
      <c r="L12">
        <f t="shared" si="1"/>
        <v>0.84247967463563866</v>
      </c>
      <c r="M12">
        <f t="shared" si="2"/>
        <v>0.88</v>
      </c>
      <c r="N12">
        <f t="shared" si="3"/>
        <v>0.74138211367936202</v>
      </c>
      <c r="O12">
        <f t="shared" si="4"/>
        <v>0.60367501970163107</v>
      </c>
    </row>
    <row r="13" spans="1:15" x14ac:dyDescent="0.25">
      <c r="A13" t="s">
        <v>15</v>
      </c>
      <c r="B13">
        <v>2009</v>
      </c>
      <c r="C13">
        <v>8.5</v>
      </c>
      <c r="D13">
        <v>258.5</v>
      </c>
      <c r="E13">
        <v>175.41499999999999</v>
      </c>
      <c r="F13">
        <v>30770.311000000002</v>
      </c>
      <c r="G13">
        <v>-85.305999999999997</v>
      </c>
      <c r="H13">
        <v>602.30600000000004</v>
      </c>
      <c r="I13">
        <v>1.474</v>
      </c>
      <c r="J13">
        <v>0.14099999999999999</v>
      </c>
      <c r="K13">
        <f t="shared" si="0"/>
        <v>255.7091066585721</v>
      </c>
      <c r="L13">
        <f t="shared" si="1"/>
        <v>1.0109143290901812</v>
      </c>
      <c r="M13">
        <f t="shared" si="2"/>
        <v>0.88</v>
      </c>
      <c r="N13">
        <f t="shared" si="3"/>
        <v>0.8896046095993595</v>
      </c>
      <c r="O13">
        <f t="shared" si="4"/>
        <v>0.60367501970163107</v>
      </c>
    </row>
    <row r="14" spans="1:15" x14ac:dyDescent="0.25">
      <c r="A14" t="s">
        <v>16</v>
      </c>
      <c r="B14">
        <v>2024</v>
      </c>
      <c r="C14">
        <v>6</v>
      </c>
      <c r="D14">
        <v>62.8</v>
      </c>
      <c r="E14">
        <v>70.728999999999999</v>
      </c>
      <c r="F14">
        <v>5002.6450000000004</v>
      </c>
      <c r="G14">
        <v>-75.826999999999998</v>
      </c>
      <c r="H14">
        <v>201.42699999999999</v>
      </c>
      <c r="I14">
        <v>0.88800000000000001</v>
      </c>
      <c r="J14">
        <v>0.375</v>
      </c>
      <c r="K14">
        <f t="shared" si="0"/>
        <v>86.624980008655697</v>
      </c>
      <c r="L14">
        <f t="shared" si="1"/>
        <v>0.72496409227136249</v>
      </c>
      <c r="M14">
        <f t="shared" si="2"/>
        <v>0.8</v>
      </c>
      <c r="N14">
        <f t="shared" si="3"/>
        <v>0.57997127381709002</v>
      </c>
      <c r="O14">
        <f t="shared" si="4"/>
        <v>0.65319726474218087</v>
      </c>
    </row>
    <row r="15" spans="1:15" x14ac:dyDescent="0.25">
      <c r="A15" t="s">
        <v>17</v>
      </c>
      <c r="B15">
        <v>2024</v>
      </c>
      <c r="C15">
        <v>6</v>
      </c>
      <c r="D15">
        <v>10.9</v>
      </c>
      <c r="E15">
        <v>72.954999999999998</v>
      </c>
      <c r="F15">
        <v>5322.4390000000003</v>
      </c>
      <c r="G15">
        <v>-132.089</v>
      </c>
      <c r="H15">
        <v>153.88900000000001</v>
      </c>
      <c r="I15">
        <v>0.14899999999999999</v>
      </c>
      <c r="J15">
        <v>0.88100000000000001</v>
      </c>
      <c r="K15">
        <f t="shared" si="0"/>
        <v>89.351262092373375</v>
      </c>
      <c r="L15">
        <f t="shared" si="1"/>
        <v>0.12199044249348523</v>
      </c>
      <c r="M15">
        <f t="shared" si="2"/>
        <v>0.8</v>
      </c>
      <c r="N15">
        <f t="shared" si="3"/>
        <v>9.7592353994788189E-2</v>
      </c>
      <c r="O15">
        <f t="shared" si="4"/>
        <v>0.65319726474218087</v>
      </c>
    </row>
    <row r="16" spans="1:15" x14ac:dyDescent="0.25">
      <c r="A16" t="s">
        <v>2</v>
      </c>
      <c r="B16">
        <v>2014</v>
      </c>
      <c r="C16">
        <v>22</v>
      </c>
      <c r="D16">
        <v>59.63</v>
      </c>
      <c r="E16">
        <v>27.596</v>
      </c>
      <c r="F16">
        <v>761.56100000000004</v>
      </c>
      <c r="G16">
        <v>5.5419999999999998</v>
      </c>
      <c r="H16">
        <v>113.718</v>
      </c>
      <c r="I16">
        <v>2.161</v>
      </c>
      <c r="J16">
        <v>3.1E-2</v>
      </c>
      <c r="K16">
        <f t="shared" si="0"/>
        <v>64.718356654043689</v>
      </c>
      <c r="L16">
        <f t="shared" si="1"/>
        <v>0.92137691812473177</v>
      </c>
      <c r="M16">
        <f t="shared" si="2"/>
        <v>0.96202531645569622</v>
      </c>
      <c r="N16">
        <f t="shared" si="3"/>
        <v>0.88638792123391918</v>
      </c>
      <c r="O16">
        <f t="shared" si="4"/>
        <v>0.4102089732411745</v>
      </c>
    </row>
    <row r="17" spans="1:15" x14ac:dyDescent="0.25">
      <c r="A17" t="s">
        <v>18</v>
      </c>
      <c r="B17">
        <v>2020</v>
      </c>
      <c r="C17">
        <v>12</v>
      </c>
      <c r="D17">
        <v>-30.59</v>
      </c>
      <c r="E17">
        <v>65.628</v>
      </c>
      <c r="F17">
        <v>4307.0209999999997</v>
      </c>
      <c r="G17">
        <v>-159.21799999999999</v>
      </c>
      <c r="H17">
        <v>98.037999999999997</v>
      </c>
      <c r="I17">
        <v>-0.46600000000000003</v>
      </c>
      <c r="J17">
        <v>0.64100000000000001</v>
      </c>
      <c r="K17">
        <f t="shared" si="0"/>
        <v>113.67103039913027</v>
      </c>
      <c r="L17">
        <f t="shared" si="1"/>
        <v>-0.26910990331124907</v>
      </c>
      <c r="M17">
        <f t="shared" si="2"/>
        <v>0.92307692307692313</v>
      </c>
      <c r="N17">
        <f t="shared" si="3"/>
        <v>-0.24840914151807608</v>
      </c>
      <c r="O17">
        <f t="shared" si="4"/>
        <v>0.53293871002119308</v>
      </c>
    </row>
    <row r="18" spans="1:15" x14ac:dyDescent="0.25">
      <c r="A18" t="s">
        <v>19</v>
      </c>
      <c r="B18">
        <v>2020</v>
      </c>
      <c r="C18">
        <v>12</v>
      </c>
      <c r="D18">
        <v>-0.03</v>
      </c>
      <c r="E18">
        <v>51.65</v>
      </c>
      <c r="F18">
        <v>2667.7280000000001</v>
      </c>
      <c r="G18">
        <v>-101.262</v>
      </c>
      <c r="H18">
        <v>101.202</v>
      </c>
      <c r="I18">
        <v>-1E-3</v>
      </c>
      <c r="J18">
        <v>1</v>
      </c>
      <c r="K18">
        <f t="shared" si="0"/>
        <v>89.460424210932501</v>
      </c>
      <c r="L18">
        <f t="shared" si="1"/>
        <v>-3.3534381559900824E-4</v>
      </c>
      <c r="M18">
        <f t="shared" si="2"/>
        <v>0.92307692307692313</v>
      </c>
      <c r="N18">
        <f t="shared" si="3"/>
        <v>-3.0954813747600761E-4</v>
      </c>
      <c r="O18">
        <f t="shared" si="4"/>
        <v>0.53293871002119308</v>
      </c>
    </row>
    <row r="19" spans="1:15" x14ac:dyDescent="0.25">
      <c r="A19" t="s">
        <v>20</v>
      </c>
      <c r="B19">
        <v>2020</v>
      </c>
      <c r="C19">
        <v>12</v>
      </c>
      <c r="D19">
        <v>101.19</v>
      </c>
      <c r="E19">
        <v>43.241</v>
      </c>
      <c r="F19">
        <v>1869.798</v>
      </c>
      <c r="G19">
        <v>16.439</v>
      </c>
      <c r="H19">
        <v>185.941</v>
      </c>
      <c r="I19">
        <v>2.34</v>
      </c>
      <c r="J19">
        <v>1.9E-2</v>
      </c>
      <c r="K19">
        <f t="shared" si="0"/>
        <v>74.895608970085817</v>
      </c>
      <c r="L19">
        <f t="shared" si="1"/>
        <v>1.3510805425244152</v>
      </c>
      <c r="M19">
        <f t="shared" si="2"/>
        <v>0.92307692307692313</v>
      </c>
      <c r="N19">
        <f t="shared" si="3"/>
        <v>1.2471512700225371</v>
      </c>
      <c r="O19">
        <f t="shared" si="4"/>
        <v>0.53293871002119308</v>
      </c>
    </row>
    <row r="20" spans="1:15" x14ac:dyDescent="0.25">
      <c r="A20" t="s">
        <v>3</v>
      </c>
      <c r="B20">
        <v>2021</v>
      </c>
      <c r="C20">
        <v>18</v>
      </c>
      <c r="D20">
        <v>101.2</v>
      </c>
      <c r="E20">
        <v>43.218000000000004</v>
      </c>
      <c r="F20">
        <v>1867.809</v>
      </c>
      <c r="G20">
        <v>16.494</v>
      </c>
      <c r="H20">
        <v>185.90600000000001</v>
      </c>
      <c r="I20">
        <v>2.3420000000000001</v>
      </c>
      <c r="J20">
        <v>1.9E-2</v>
      </c>
      <c r="K20">
        <f t="shared" si="0"/>
        <v>91.679222607960625</v>
      </c>
      <c r="L20">
        <f t="shared" si="1"/>
        <v>1.1038488015190988</v>
      </c>
      <c r="M20">
        <f t="shared" si="2"/>
        <v>0.95238095238095233</v>
      </c>
      <c r="N20">
        <f t="shared" si="3"/>
        <v>1.0512845728753322</v>
      </c>
      <c r="O20">
        <f t="shared" si="4"/>
        <v>0.4489566864676493</v>
      </c>
    </row>
    <row r="21" spans="1:15" x14ac:dyDescent="0.25">
      <c r="A21" t="s">
        <v>4</v>
      </c>
      <c r="B21">
        <v>2017</v>
      </c>
      <c r="C21">
        <v>14</v>
      </c>
      <c r="D21">
        <v>63</v>
      </c>
      <c r="E21">
        <v>108.867</v>
      </c>
      <c r="F21">
        <v>11852</v>
      </c>
      <c r="G21">
        <v>-150.375</v>
      </c>
      <c r="H21">
        <v>276.375</v>
      </c>
      <c r="I21">
        <v>0.57899999999999996</v>
      </c>
      <c r="J21">
        <v>0.56299999999999994</v>
      </c>
      <c r="K21">
        <f t="shared" si="0"/>
        <v>203.67150736295935</v>
      </c>
      <c r="L21">
        <f t="shared" si="1"/>
        <v>0.3093216170277997</v>
      </c>
      <c r="M21">
        <f t="shared" si="2"/>
        <v>0.93617021276595747</v>
      </c>
      <c r="N21">
        <f t="shared" si="3"/>
        <v>0.28957768402602524</v>
      </c>
      <c r="O21">
        <f t="shared" si="4"/>
        <v>0.50040402741049672</v>
      </c>
    </row>
    <row r="22" spans="1:15" x14ac:dyDescent="0.25">
      <c r="A22" t="s">
        <v>5</v>
      </c>
      <c r="B22">
        <v>2012</v>
      </c>
      <c r="C22">
        <v>22</v>
      </c>
      <c r="D22">
        <v>11.4</v>
      </c>
      <c r="E22">
        <v>40.802</v>
      </c>
      <c r="F22">
        <v>1664.819</v>
      </c>
      <c r="G22">
        <v>-68.570999999999998</v>
      </c>
      <c r="H22">
        <v>91.370999999999995</v>
      </c>
      <c r="I22">
        <v>0.27900000000000003</v>
      </c>
      <c r="J22">
        <v>0.78</v>
      </c>
      <c r="K22">
        <f t="shared" si="0"/>
        <v>95.68917191615779</v>
      </c>
      <c r="L22">
        <f t="shared" si="1"/>
        <v>0.11913573679986074</v>
      </c>
      <c r="M22">
        <f t="shared" si="2"/>
        <v>0.96202531645569622</v>
      </c>
      <c r="N22">
        <f t="shared" si="3"/>
        <v>0.11461159489606856</v>
      </c>
      <c r="O22">
        <f t="shared" si="4"/>
        <v>0.4102089732411745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2026-01-03T17:10:18Z</dcterms:modified>
</cp:coreProperties>
</file>