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kazeminasab2025\"/>
    </mc:Choice>
  </mc:AlternateContent>
  <xr:revisionPtr revIDLastSave="0" documentId="13_ncr:1_{09DF02E9-E8A9-4ED6-AA48-8AA1688AE57E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M3" i="1"/>
  <c r="N3" i="1" s="1"/>
  <c r="K4" i="1"/>
  <c r="L4" i="1" s="1"/>
  <c r="N4" i="1" s="1"/>
  <c r="M4" i="1"/>
  <c r="O4" i="1"/>
  <c r="K5" i="1"/>
  <c r="O5" i="1" s="1"/>
  <c r="M5" i="1"/>
  <c r="K6" i="1"/>
  <c r="L6" i="1" s="1"/>
  <c r="M6" i="1"/>
  <c r="N6" i="1" s="1"/>
  <c r="K7" i="1"/>
  <c r="L7" i="1" s="1"/>
  <c r="M7" i="1"/>
  <c r="O7" i="1" s="1"/>
  <c r="K8" i="1"/>
  <c r="L8" i="1"/>
  <c r="M8" i="1"/>
  <c r="N8" i="1" s="1"/>
  <c r="K9" i="1"/>
  <c r="L9" i="1"/>
  <c r="M9" i="1"/>
  <c r="N9" i="1" s="1"/>
  <c r="O9" i="1"/>
  <c r="K10" i="1"/>
  <c r="L10" i="1" s="1"/>
  <c r="N10" i="1" s="1"/>
  <c r="M10" i="1"/>
  <c r="K11" i="1"/>
  <c r="L11" i="1"/>
  <c r="M11" i="1"/>
  <c r="N11" i="1"/>
  <c r="O11" i="1"/>
  <c r="K12" i="1"/>
  <c r="L12" i="1"/>
  <c r="M12" i="1"/>
  <c r="N12" i="1" s="1"/>
  <c r="K13" i="1"/>
  <c r="L13" i="1" s="1"/>
  <c r="N13" i="1" s="1"/>
  <c r="M13" i="1"/>
  <c r="K14" i="1"/>
  <c r="L14" i="1"/>
  <c r="M14" i="1"/>
  <c r="N14" i="1"/>
  <c r="O14" i="1"/>
  <c r="K15" i="1"/>
  <c r="L15" i="1" s="1"/>
  <c r="M15" i="1"/>
  <c r="K16" i="1"/>
  <c r="L16" i="1"/>
  <c r="M16" i="1"/>
  <c r="N16" i="1"/>
  <c r="O16" i="1"/>
  <c r="K17" i="1"/>
  <c r="O17" i="1" s="1"/>
  <c r="M17" i="1"/>
  <c r="K18" i="1"/>
  <c r="L18" i="1" s="1"/>
  <c r="N18" i="1" s="1"/>
  <c r="M18" i="1"/>
  <c r="O18" i="1"/>
  <c r="K19" i="1"/>
  <c r="L19" i="1" s="1"/>
  <c r="M19" i="1"/>
  <c r="O19" i="1" s="1"/>
  <c r="K20" i="1"/>
  <c r="L20" i="1"/>
  <c r="M20" i="1"/>
  <c r="N20" i="1" s="1"/>
  <c r="K21" i="1"/>
  <c r="L21" i="1"/>
  <c r="M21" i="1"/>
  <c r="N21" i="1" s="1"/>
  <c r="O21" i="1"/>
  <c r="K22" i="1"/>
  <c r="L22" i="1" s="1"/>
  <c r="N22" i="1" s="1"/>
  <c r="M22" i="1"/>
  <c r="K23" i="1"/>
  <c r="L23" i="1"/>
  <c r="M23" i="1"/>
  <c r="N23" i="1"/>
  <c r="O23" i="1"/>
  <c r="K24" i="1"/>
  <c r="L24" i="1"/>
  <c r="M24" i="1"/>
  <c r="N24" i="1" s="1"/>
  <c r="K25" i="1"/>
  <c r="L25" i="1" s="1"/>
  <c r="N25" i="1" s="1"/>
  <c r="M25" i="1"/>
  <c r="K26" i="1"/>
  <c r="L26" i="1"/>
  <c r="M26" i="1"/>
  <c r="N26" i="1"/>
  <c r="O26" i="1"/>
  <c r="K27" i="1"/>
  <c r="L27" i="1" s="1"/>
  <c r="N27" i="1" s="1"/>
  <c r="M27" i="1"/>
  <c r="O27" i="1" s="1"/>
  <c r="K28" i="1"/>
  <c r="L28" i="1"/>
  <c r="M28" i="1"/>
  <c r="N28" i="1"/>
  <c r="O28" i="1"/>
  <c r="K29" i="1"/>
  <c r="O29" i="1" s="1"/>
  <c r="M29" i="1"/>
  <c r="K30" i="1"/>
  <c r="L30" i="1" s="1"/>
  <c r="N30" i="1" s="1"/>
  <c r="M30" i="1"/>
  <c r="K31" i="1"/>
  <c r="L31" i="1"/>
  <c r="M31" i="1"/>
  <c r="O31" i="1" s="1"/>
  <c r="K32" i="1"/>
  <c r="L32" i="1"/>
  <c r="M32" i="1"/>
  <c r="N32" i="1" s="1"/>
  <c r="K33" i="1"/>
  <c r="L33" i="1"/>
  <c r="M33" i="1"/>
  <c r="N33" i="1"/>
  <c r="O33" i="1"/>
  <c r="K34" i="1"/>
  <c r="L34" i="1" s="1"/>
  <c r="N34" i="1" s="1"/>
  <c r="M34" i="1"/>
  <c r="K35" i="1"/>
  <c r="L35" i="1"/>
  <c r="M35" i="1"/>
  <c r="N35" i="1"/>
  <c r="O35" i="1"/>
  <c r="K36" i="1"/>
  <c r="L36" i="1"/>
  <c r="M36" i="1"/>
  <c r="N36" i="1" s="1"/>
  <c r="N2" i="1"/>
  <c r="M2" i="1"/>
  <c r="L2" i="1"/>
  <c r="K2" i="1"/>
  <c r="O2" i="1"/>
  <c r="C15" i="1"/>
  <c r="C14" i="1"/>
  <c r="C13" i="1"/>
  <c r="N15" i="1" l="1"/>
  <c r="N31" i="1"/>
  <c r="L29" i="1"/>
  <c r="N29" i="1" s="1"/>
  <c r="N19" i="1"/>
  <c r="L17" i="1"/>
  <c r="N17" i="1" s="1"/>
  <c r="N7" i="1"/>
  <c r="L5" i="1"/>
  <c r="N5" i="1" s="1"/>
  <c r="O30" i="1"/>
  <c r="O6" i="1"/>
  <c r="O25" i="1"/>
  <c r="O13" i="1"/>
  <c r="O32" i="1"/>
  <c r="O20" i="1"/>
  <c r="O8" i="1"/>
  <c r="O15" i="1"/>
  <c r="O3" i="1"/>
  <c r="O34" i="1"/>
  <c r="O22" i="1"/>
  <c r="O10" i="1"/>
  <c r="O36" i="1"/>
  <c r="O24" i="1"/>
  <c r="O12" i="1"/>
</calcChain>
</file>

<file path=xl/sharedStrings.xml><?xml version="1.0" encoding="utf-8"?>
<sst xmlns="http://schemas.openxmlformats.org/spreadsheetml/2006/main" count="50" uniqueCount="49">
  <si>
    <t>Ayoama</t>
  </si>
  <si>
    <t>Azizi</t>
  </si>
  <si>
    <t>Bonilla</t>
  </si>
  <si>
    <t>Brooks</t>
  </si>
  <si>
    <t>Claudino</t>
  </si>
  <si>
    <t>Mujika</t>
  </si>
  <si>
    <t>Samadi</t>
  </si>
  <si>
    <t>Stout</t>
  </si>
  <si>
    <t>Tayebi</t>
  </si>
  <si>
    <t>Wang</t>
  </si>
  <si>
    <t>Williams</t>
  </si>
  <si>
    <t>Camica</t>
  </si>
  <si>
    <t>Camicb</t>
  </si>
  <si>
    <t>Eghbalia</t>
  </si>
  <si>
    <t>Eghbalib</t>
  </si>
  <si>
    <t>Haffa</t>
  </si>
  <si>
    <t>Haffb</t>
  </si>
  <si>
    <t>Herdaa</t>
  </si>
  <si>
    <t>Herdab</t>
  </si>
  <si>
    <t>Herdac</t>
  </si>
  <si>
    <t>Javierrea</t>
  </si>
  <si>
    <t>Javierreb</t>
  </si>
  <si>
    <t>Kirkseya</t>
  </si>
  <si>
    <t>Kirkseyb</t>
  </si>
  <si>
    <t>Noonana</t>
  </si>
  <si>
    <t>Noonanb</t>
  </si>
  <si>
    <t>Stonea</t>
  </si>
  <si>
    <t>Stoneb</t>
  </si>
  <si>
    <t>Tayebia</t>
  </si>
  <si>
    <t>Tayebib</t>
  </si>
  <si>
    <t>Tayebic</t>
  </si>
  <si>
    <t>Zahabia</t>
  </si>
  <si>
    <t>Zahabib</t>
  </si>
  <si>
    <t>Author</t>
  </si>
  <si>
    <t>Year</t>
  </si>
  <si>
    <t>n</t>
  </si>
  <si>
    <t>md</t>
  </si>
  <si>
    <t>se_md</t>
  </si>
  <si>
    <t>var_md</t>
  </si>
  <si>
    <t>lCI</t>
  </si>
  <si>
    <t>uCI</t>
  </si>
  <si>
    <t>z</t>
  </si>
  <si>
    <t>p</t>
  </si>
  <si>
    <t>pooled_sd</t>
  </si>
  <si>
    <t>d</t>
  </si>
  <si>
    <t>J</t>
  </si>
  <si>
    <t>g</t>
  </si>
  <si>
    <t>se_g</t>
  </si>
  <si>
    <t>larsonmeyer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</si>
</sst>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topLeftCell="D1" workbookViewId="0">
      <selection activeCell="J9" sqref="J9"/>
    </sheetView>
  </sheetViews>
  <sheetFormatPr defaultRowHeight="15" x14ac:dyDescent="0.25"/>
  <cols>
    <col min="1" max="1" width="22.5703125" bestFit="1" customWidth="1"/>
    <col min="4" max="5" width="6" bestFit="1" customWidth="1"/>
    <col min="6" max="6" width="19.5703125" bestFit="1" customWidth="1"/>
    <col min="7" max="7" width="12.28515625" bestFit="1" customWidth="1"/>
    <col min="8" max="8" width="12.28515625" customWidth="1"/>
    <col min="9" max="9" width="6.7109375" bestFit="1" customWidth="1"/>
    <col min="10" max="10" width="6" bestFit="1" customWidth="1"/>
  </cols>
  <sheetData>
    <row r="1" spans="1:15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</row>
    <row r="2" spans="1:15" x14ac:dyDescent="0.25">
      <c r="A2" t="s">
        <v>0</v>
      </c>
      <c r="B2">
        <v>2003</v>
      </c>
      <c r="C2">
        <v>21</v>
      </c>
      <c r="D2">
        <v>1.6619999999999999</v>
      </c>
      <c r="E2">
        <v>1.5409999999999999</v>
      </c>
      <c r="F2">
        <v>2.3730000000000002</v>
      </c>
      <c r="G2">
        <v>-1.357</v>
      </c>
      <c r="H2">
        <v>4.681</v>
      </c>
      <c r="I2">
        <v>1.079</v>
      </c>
      <c r="J2">
        <v>0.28100000000000003</v>
      </c>
      <c r="K2">
        <f>E2*SQRT(C2/4)</f>
        <v>3.5308745729634743</v>
      </c>
      <c r="L2">
        <f>D2/K2</f>
        <v>0.47070491054149172</v>
      </c>
      <c r="M2">
        <f>1-3/(4*(C2-2)-1)</f>
        <v>0.96</v>
      </c>
      <c r="N2">
        <f>M2*L2</f>
        <v>0.45187671411983205</v>
      </c>
      <c r="O2">
        <f>M2*E2/K2</f>
        <v>0.41897834925310534</v>
      </c>
    </row>
    <row r="3" spans="1:15" x14ac:dyDescent="0.25">
      <c r="A3" t="s">
        <v>1</v>
      </c>
      <c r="B3">
        <v>2011</v>
      </c>
      <c r="C3">
        <v>20</v>
      </c>
      <c r="D3">
        <v>1.1499999999999999</v>
      </c>
      <c r="E3">
        <v>6.48</v>
      </c>
      <c r="F3">
        <v>41.993000000000002</v>
      </c>
      <c r="G3">
        <v>-11.551</v>
      </c>
      <c r="H3">
        <v>13.851000000000001</v>
      </c>
      <c r="I3">
        <v>0.17699999999999999</v>
      </c>
      <c r="J3">
        <v>0.85899999999999999</v>
      </c>
      <c r="K3">
        <f t="shared" ref="K3:K36" si="0">E3*SQRT(C3/4)</f>
        <v>14.489720494198639</v>
      </c>
      <c r="L3">
        <f t="shared" ref="L3:L36" si="1">D3/K3</f>
        <v>7.9366610312492522E-2</v>
      </c>
      <c r="M3">
        <f t="shared" ref="M3:M36" si="2">1-3/(4*(C3-2)-1)</f>
        <v>0.95774647887323949</v>
      </c>
      <c r="N3">
        <f t="shared" ref="N3:N36" si="3">M3*L3</f>
        <v>7.6013091566894245E-2</v>
      </c>
      <c r="O3">
        <f t="shared" ref="O3:O36" si="4">M3*E3/K3</f>
        <v>0.42831724639432595</v>
      </c>
    </row>
    <row r="4" spans="1:15" x14ac:dyDescent="0.25">
      <c r="A4" t="s">
        <v>2</v>
      </c>
      <c r="B4">
        <v>2021</v>
      </c>
      <c r="C4">
        <v>16</v>
      </c>
      <c r="D4">
        <v>1.35</v>
      </c>
      <c r="E4">
        <v>2.7120000000000002</v>
      </c>
      <c r="F4">
        <v>7.3550000000000004</v>
      </c>
      <c r="G4">
        <v>-3.9649999999999999</v>
      </c>
      <c r="H4">
        <v>6.665</v>
      </c>
      <c r="I4">
        <v>0.498</v>
      </c>
      <c r="J4">
        <v>0.61899999999999999</v>
      </c>
      <c r="K4">
        <f t="shared" si="0"/>
        <v>5.4240000000000004</v>
      </c>
      <c r="L4">
        <f t="shared" si="1"/>
        <v>0.24889380530973451</v>
      </c>
      <c r="M4">
        <f t="shared" si="2"/>
        <v>0.94545454545454544</v>
      </c>
      <c r="N4">
        <f t="shared" si="3"/>
        <v>0.23531777956556718</v>
      </c>
      <c r="O4">
        <f t="shared" si="4"/>
        <v>0.47272727272727272</v>
      </c>
    </row>
    <row r="5" spans="1:15" x14ac:dyDescent="0.25">
      <c r="A5" t="s">
        <v>3</v>
      </c>
      <c r="B5">
        <v>2023</v>
      </c>
      <c r="C5">
        <v>13</v>
      </c>
      <c r="D5">
        <v>-0.9</v>
      </c>
      <c r="E5">
        <v>3.1930000000000001</v>
      </c>
      <c r="F5">
        <v>10.194000000000001</v>
      </c>
      <c r="G5">
        <v>-7.1580000000000004</v>
      </c>
      <c r="H5">
        <v>5.3579999999999997</v>
      </c>
      <c r="I5">
        <v>-0.28199999999999997</v>
      </c>
      <c r="J5">
        <v>0.77800000000000002</v>
      </c>
      <c r="K5">
        <f t="shared" si="0"/>
        <v>5.7562626112782587</v>
      </c>
      <c r="L5">
        <f t="shared" si="1"/>
        <v>-0.15635144898299599</v>
      </c>
      <c r="M5">
        <f t="shared" si="2"/>
        <v>0.93023255813953487</v>
      </c>
      <c r="N5">
        <f t="shared" si="3"/>
        <v>-0.14544320835627533</v>
      </c>
      <c r="O5">
        <f t="shared" si="4"/>
        <v>0.51600018253509683</v>
      </c>
    </row>
    <row r="6" spans="1:15" x14ac:dyDescent="0.25">
      <c r="A6" t="s">
        <v>11</v>
      </c>
      <c r="B6">
        <v>2014</v>
      </c>
      <c r="C6">
        <v>38.5</v>
      </c>
      <c r="D6">
        <v>1</v>
      </c>
      <c r="E6">
        <v>2.5499999999999998</v>
      </c>
      <c r="F6">
        <v>6.5030000000000001</v>
      </c>
      <c r="G6">
        <v>-3.9980000000000002</v>
      </c>
      <c r="H6">
        <v>5.9980000000000002</v>
      </c>
      <c r="I6">
        <v>0.39200000000000002</v>
      </c>
      <c r="J6">
        <v>0.69499999999999995</v>
      </c>
      <c r="K6">
        <f t="shared" si="0"/>
        <v>7.9111669493191705</v>
      </c>
      <c r="L6">
        <f t="shared" si="1"/>
        <v>0.12640360220005967</v>
      </c>
      <c r="M6">
        <f t="shared" si="2"/>
        <v>0.97931034482758617</v>
      </c>
      <c r="N6">
        <f t="shared" si="3"/>
        <v>0.12378835525798947</v>
      </c>
      <c r="O6">
        <f t="shared" si="4"/>
        <v>0.31566030590787314</v>
      </c>
    </row>
    <row r="7" spans="1:15" x14ac:dyDescent="0.25">
      <c r="A7" t="s">
        <v>12</v>
      </c>
      <c r="B7">
        <v>2014</v>
      </c>
      <c r="C7">
        <v>38.5</v>
      </c>
      <c r="D7">
        <v>0.5</v>
      </c>
      <c r="E7">
        <v>3.1110000000000002</v>
      </c>
      <c r="F7">
        <v>9.6760000000000002</v>
      </c>
      <c r="G7">
        <v>-5.5970000000000004</v>
      </c>
      <c r="H7">
        <v>6.5970000000000004</v>
      </c>
      <c r="I7">
        <v>0.161</v>
      </c>
      <c r="J7">
        <v>0.872</v>
      </c>
      <c r="K7">
        <f t="shared" si="0"/>
        <v>9.6516236781693898</v>
      </c>
      <c r="L7">
        <f t="shared" si="1"/>
        <v>5.180475500002444E-2</v>
      </c>
      <c r="M7">
        <f t="shared" si="2"/>
        <v>0.97931034482758617</v>
      </c>
      <c r="N7">
        <f t="shared" si="3"/>
        <v>5.0732932482782551E-2</v>
      </c>
      <c r="O7">
        <f t="shared" si="4"/>
        <v>0.31566030590787308</v>
      </c>
    </row>
    <row r="8" spans="1:15" x14ac:dyDescent="0.25">
      <c r="A8" t="s">
        <v>4</v>
      </c>
      <c r="B8">
        <v>2014</v>
      </c>
      <c r="C8">
        <v>14</v>
      </c>
      <c r="D8">
        <v>0.99</v>
      </c>
      <c r="E8">
        <v>2.1589999999999998</v>
      </c>
      <c r="F8">
        <v>4.6630000000000003</v>
      </c>
      <c r="G8">
        <v>-3.242</v>
      </c>
      <c r="H8">
        <v>5.2220000000000004</v>
      </c>
      <c r="I8">
        <v>0.45800000000000002</v>
      </c>
      <c r="J8">
        <v>0.64700000000000002</v>
      </c>
      <c r="K8">
        <f t="shared" si="0"/>
        <v>4.0391191490224694</v>
      </c>
      <c r="L8">
        <f t="shared" si="1"/>
        <v>0.24510294533886073</v>
      </c>
      <c r="M8">
        <f t="shared" si="2"/>
        <v>0.93617021276595747</v>
      </c>
      <c r="N8">
        <f t="shared" si="3"/>
        <v>0.2294580764874441</v>
      </c>
      <c r="O8">
        <f t="shared" si="4"/>
        <v>0.50040402741049672</v>
      </c>
    </row>
    <row r="9" spans="1:15" x14ac:dyDescent="0.25">
      <c r="A9" t="s">
        <v>13</v>
      </c>
      <c r="B9">
        <v>2024</v>
      </c>
      <c r="C9">
        <v>18</v>
      </c>
      <c r="D9">
        <v>2.5</v>
      </c>
      <c r="E9">
        <v>1.696</v>
      </c>
      <c r="F9">
        <v>2.8780000000000001</v>
      </c>
      <c r="G9">
        <v>-0.82499999999999996</v>
      </c>
      <c r="H9">
        <v>5.8250000000000002</v>
      </c>
      <c r="I9">
        <v>1.474</v>
      </c>
      <c r="J9">
        <v>0.14099999999999999</v>
      </c>
      <c r="K9">
        <f t="shared" si="0"/>
        <v>3.5977593026771535</v>
      </c>
      <c r="L9">
        <f t="shared" si="1"/>
        <v>0.69487694692074253</v>
      </c>
      <c r="M9">
        <f t="shared" si="2"/>
        <v>0.95238095238095233</v>
      </c>
      <c r="N9">
        <f t="shared" si="3"/>
        <v>0.66178756849594522</v>
      </c>
      <c r="O9">
        <f t="shared" si="4"/>
        <v>0.44895668646764925</v>
      </c>
    </row>
    <row r="10" spans="1:15" x14ac:dyDescent="0.25">
      <c r="A10" t="s">
        <v>14</v>
      </c>
      <c r="B10">
        <v>2024</v>
      </c>
      <c r="C10">
        <v>18</v>
      </c>
      <c r="D10">
        <v>0</v>
      </c>
      <c r="E10">
        <v>1.6</v>
      </c>
      <c r="F10">
        <v>2.56</v>
      </c>
      <c r="G10">
        <v>-3.1360000000000001</v>
      </c>
      <c r="H10">
        <v>3.1360000000000001</v>
      </c>
      <c r="I10">
        <v>0</v>
      </c>
      <c r="J10">
        <v>1</v>
      </c>
      <c r="K10">
        <f t="shared" si="0"/>
        <v>3.3941125496954281</v>
      </c>
      <c r="L10">
        <f t="shared" si="1"/>
        <v>0</v>
      </c>
      <c r="M10">
        <f t="shared" si="2"/>
        <v>0.95238095238095233</v>
      </c>
      <c r="N10">
        <f t="shared" si="3"/>
        <v>0</v>
      </c>
      <c r="O10">
        <f t="shared" si="4"/>
        <v>0.44895668646764919</v>
      </c>
    </row>
    <row r="11" spans="1:15" x14ac:dyDescent="0.25">
      <c r="A11" t="s">
        <v>15</v>
      </c>
      <c r="B11">
        <v>2000</v>
      </c>
      <c r="C11">
        <v>18</v>
      </c>
      <c r="D11">
        <v>0.32</v>
      </c>
      <c r="E11">
        <v>4.4960000000000004</v>
      </c>
      <c r="F11">
        <v>20.215</v>
      </c>
      <c r="G11">
        <v>-8.4920000000000009</v>
      </c>
      <c r="H11">
        <v>9.1319999999999997</v>
      </c>
      <c r="I11">
        <v>7.0999999999999994E-2</v>
      </c>
      <c r="J11">
        <v>0.94299999999999995</v>
      </c>
      <c r="K11">
        <f t="shared" si="0"/>
        <v>9.5374562646441525</v>
      </c>
      <c r="L11">
        <f t="shared" si="1"/>
        <v>3.3551923187973787E-2</v>
      </c>
      <c r="M11">
        <f t="shared" si="2"/>
        <v>0.95238095238095233</v>
      </c>
      <c r="N11">
        <f t="shared" si="3"/>
        <v>3.1954212559975034E-2</v>
      </c>
      <c r="O11">
        <f t="shared" si="4"/>
        <v>0.4489566864676493</v>
      </c>
    </row>
    <row r="12" spans="1:15" x14ac:dyDescent="0.25">
      <c r="A12" t="s">
        <v>16</v>
      </c>
      <c r="B12">
        <v>2000</v>
      </c>
      <c r="C12">
        <v>18</v>
      </c>
      <c r="D12">
        <v>2.41</v>
      </c>
      <c r="E12">
        <v>4.5540000000000003</v>
      </c>
      <c r="F12">
        <v>20.742000000000001</v>
      </c>
      <c r="G12">
        <v>-6.516</v>
      </c>
      <c r="H12">
        <v>11.336</v>
      </c>
      <c r="I12">
        <v>0.52900000000000003</v>
      </c>
      <c r="J12">
        <v>0.59699999999999998</v>
      </c>
      <c r="K12">
        <f t="shared" si="0"/>
        <v>9.6604928445706122</v>
      </c>
      <c r="L12">
        <f t="shared" si="1"/>
        <v>0.24946967393640457</v>
      </c>
      <c r="M12">
        <f t="shared" si="2"/>
        <v>0.95238095238095233</v>
      </c>
      <c r="N12">
        <f t="shared" si="3"/>
        <v>0.23759016565371863</v>
      </c>
      <c r="O12">
        <f t="shared" si="4"/>
        <v>0.44895668646764925</v>
      </c>
    </row>
    <row r="13" spans="1:15" x14ac:dyDescent="0.25">
      <c r="A13" t="s">
        <v>17</v>
      </c>
      <c r="B13">
        <v>2009</v>
      </c>
      <c r="C13">
        <f>58/3</f>
        <v>19.333333333333332</v>
      </c>
      <c r="D13">
        <v>0.6</v>
      </c>
      <c r="E13">
        <v>3.6509999999999998</v>
      </c>
      <c r="F13">
        <v>13.327999999999999</v>
      </c>
      <c r="G13">
        <v>-6.5549999999999997</v>
      </c>
      <c r="H13">
        <v>7.7549999999999999</v>
      </c>
      <c r="I13">
        <v>0.16400000000000001</v>
      </c>
      <c r="J13">
        <v>0.86899999999999999</v>
      </c>
      <c r="K13">
        <f t="shared" si="0"/>
        <v>8.0266662756090703</v>
      </c>
      <c r="L13">
        <f t="shared" si="1"/>
        <v>7.4750834206629757E-2</v>
      </c>
      <c r="M13">
        <f t="shared" si="2"/>
        <v>0.95609756097560972</v>
      </c>
      <c r="N13">
        <f t="shared" si="3"/>
        <v>7.1469090265850882E-2</v>
      </c>
      <c r="O13">
        <f t="shared" si="4"/>
        <v>0.43488941426770267</v>
      </c>
    </row>
    <row r="14" spans="1:15" x14ac:dyDescent="0.25">
      <c r="A14" t="s">
        <v>18</v>
      </c>
      <c r="B14">
        <v>2009</v>
      </c>
      <c r="C14">
        <f t="shared" ref="C14:C15" si="5">58/3</f>
        <v>19.333333333333332</v>
      </c>
      <c r="D14">
        <v>0.3</v>
      </c>
      <c r="E14">
        <v>2.5979999999999999</v>
      </c>
      <c r="F14">
        <v>6.7519999999999998</v>
      </c>
      <c r="G14">
        <v>-4.7930000000000001</v>
      </c>
      <c r="H14">
        <v>5.3929999999999998</v>
      </c>
      <c r="I14">
        <v>0.115</v>
      </c>
      <c r="J14">
        <v>0.90800000000000003</v>
      </c>
      <c r="K14">
        <f t="shared" si="0"/>
        <v>5.711662279932173</v>
      </c>
      <c r="L14">
        <f t="shared" si="1"/>
        <v>5.2524113873827036E-2</v>
      </c>
      <c r="M14">
        <f t="shared" si="2"/>
        <v>0.95609756097560972</v>
      </c>
      <c r="N14">
        <f t="shared" si="3"/>
        <v>5.021817716717121E-2</v>
      </c>
      <c r="O14">
        <f t="shared" si="4"/>
        <v>0.43488941426770267</v>
      </c>
    </row>
    <row r="15" spans="1:15" x14ac:dyDescent="0.25">
      <c r="A15" t="s">
        <v>19</v>
      </c>
      <c r="B15">
        <v>2009</v>
      </c>
      <c r="C15">
        <f t="shared" si="5"/>
        <v>19.333333333333332</v>
      </c>
      <c r="D15">
        <v>-0.4</v>
      </c>
      <c r="E15">
        <v>3.56</v>
      </c>
      <c r="F15">
        <v>12.670999999999999</v>
      </c>
      <c r="G15">
        <v>-7.3769999999999998</v>
      </c>
      <c r="H15">
        <v>6.577</v>
      </c>
      <c r="I15">
        <v>-0.112</v>
      </c>
      <c r="J15">
        <v>0.91100000000000003</v>
      </c>
      <c r="K15">
        <f t="shared" si="0"/>
        <v>7.826604201908598</v>
      </c>
      <c r="L15">
        <f t="shared" si="1"/>
        <v>-5.1107733274982262E-2</v>
      </c>
      <c r="M15">
        <f t="shared" si="2"/>
        <v>0.95609756097560972</v>
      </c>
      <c r="N15">
        <f t="shared" si="3"/>
        <v>-4.8863979131202551E-2</v>
      </c>
      <c r="O15">
        <f t="shared" si="4"/>
        <v>0.43488941426770267</v>
      </c>
    </row>
    <row r="16" spans="1:15" x14ac:dyDescent="0.25">
      <c r="A16" t="s">
        <v>20</v>
      </c>
      <c r="B16">
        <v>2004</v>
      </c>
      <c r="C16">
        <v>9.5</v>
      </c>
      <c r="D16">
        <v>2.7</v>
      </c>
      <c r="E16">
        <v>2.206</v>
      </c>
      <c r="F16">
        <v>4.8680000000000003</v>
      </c>
      <c r="G16">
        <v>-1.6240000000000001</v>
      </c>
      <c r="H16">
        <v>7.024</v>
      </c>
      <c r="I16">
        <v>1.224</v>
      </c>
      <c r="J16">
        <v>0.221</v>
      </c>
      <c r="K16">
        <f t="shared" si="0"/>
        <v>3.3996743226373902</v>
      </c>
      <c r="L16">
        <f t="shared" si="1"/>
        <v>0.79419372085776774</v>
      </c>
      <c r="M16">
        <f t="shared" si="2"/>
        <v>0.89655172413793105</v>
      </c>
      <c r="N16">
        <f t="shared" si="3"/>
        <v>0.71203574973455042</v>
      </c>
      <c r="O16">
        <f t="shared" si="4"/>
        <v>0.58175957922756227</v>
      </c>
    </row>
    <row r="17" spans="1:15" x14ac:dyDescent="0.25">
      <c r="A17" t="s">
        <v>21</v>
      </c>
      <c r="B17">
        <v>2004</v>
      </c>
      <c r="C17">
        <v>9.5</v>
      </c>
      <c r="D17">
        <v>2.8</v>
      </c>
      <c r="E17">
        <v>1.679</v>
      </c>
      <c r="F17">
        <v>2.819</v>
      </c>
      <c r="G17">
        <v>-0.49099999999999999</v>
      </c>
      <c r="H17">
        <v>6.0910000000000002</v>
      </c>
      <c r="I17">
        <v>1.6679999999999999</v>
      </c>
      <c r="J17">
        <v>9.5000000000000001E-2</v>
      </c>
      <c r="K17">
        <f t="shared" si="0"/>
        <v>2.5875127777462277</v>
      </c>
      <c r="L17">
        <f t="shared" si="1"/>
        <v>1.0821202600741753</v>
      </c>
      <c r="M17">
        <f t="shared" si="2"/>
        <v>0.89655172413793105</v>
      </c>
      <c r="N17">
        <f t="shared" si="3"/>
        <v>0.97017678489408821</v>
      </c>
      <c r="O17">
        <f t="shared" si="4"/>
        <v>0.58175957922756227</v>
      </c>
    </row>
    <row r="18" spans="1:15" x14ac:dyDescent="0.25">
      <c r="A18" t="s">
        <v>22</v>
      </c>
      <c r="B18">
        <v>1999</v>
      </c>
      <c r="C18">
        <v>18</v>
      </c>
      <c r="D18">
        <v>2.37</v>
      </c>
      <c r="E18">
        <v>1.1100000000000001</v>
      </c>
      <c r="F18">
        <v>1.232</v>
      </c>
      <c r="G18">
        <v>0.19400000000000001</v>
      </c>
      <c r="H18">
        <v>4.5460000000000003</v>
      </c>
      <c r="I18">
        <v>2.1349999999999998</v>
      </c>
      <c r="J18">
        <v>3.3000000000000002E-2</v>
      </c>
      <c r="K18">
        <f t="shared" si="0"/>
        <v>2.3546655813512034</v>
      </c>
      <c r="L18">
        <f t="shared" si="1"/>
        <v>1.0065123552024731</v>
      </c>
      <c r="M18">
        <f t="shared" si="2"/>
        <v>0.95238095238095233</v>
      </c>
      <c r="N18">
        <f t="shared" si="3"/>
        <v>0.95858319543092663</v>
      </c>
      <c r="O18">
        <f t="shared" si="4"/>
        <v>0.44895668646764919</v>
      </c>
    </row>
    <row r="19" spans="1:15" x14ac:dyDescent="0.25">
      <c r="A19" t="s">
        <v>23</v>
      </c>
      <c r="B19">
        <v>1999</v>
      </c>
      <c r="C19">
        <v>18</v>
      </c>
      <c r="D19">
        <v>0.93</v>
      </c>
      <c r="E19">
        <v>1.0409999999999999</v>
      </c>
      <c r="F19">
        <v>1.0840000000000001</v>
      </c>
      <c r="G19">
        <v>-1.1100000000000001</v>
      </c>
      <c r="H19">
        <v>2.97</v>
      </c>
      <c r="I19">
        <v>0.89300000000000002</v>
      </c>
      <c r="J19">
        <v>0.372</v>
      </c>
      <c r="K19">
        <f t="shared" si="0"/>
        <v>2.2082944776455875</v>
      </c>
      <c r="L19">
        <f t="shared" si="1"/>
        <v>0.42113948543291024</v>
      </c>
      <c r="M19">
        <f t="shared" si="2"/>
        <v>0.95238095238095233</v>
      </c>
      <c r="N19">
        <f t="shared" si="3"/>
        <v>0.40108522422181925</v>
      </c>
      <c r="O19">
        <f t="shared" si="4"/>
        <v>0.44895668646764925</v>
      </c>
    </row>
    <row r="20" spans="1:15" x14ac:dyDescent="0.25">
      <c r="A20" t="s">
        <v>48</v>
      </c>
      <c r="B20">
        <v>2000</v>
      </c>
      <c r="C20">
        <v>14</v>
      </c>
      <c r="D20">
        <v>-0.2</v>
      </c>
      <c r="E20">
        <v>1.6359999999999999</v>
      </c>
      <c r="F20">
        <v>2.6779999999999999</v>
      </c>
      <c r="G20">
        <v>-3.407</v>
      </c>
      <c r="H20">
        <v>3.0070000000000001</v>
      </c>
      <c r="I20">
        <v>-0.122</v>
      </c>
      <c r="J20">
        <v>0.90300000000000002</v>
      </c>
      <c r="K20">
        <f t="shared" si="0"/>
        <v>3.060675742381084</v>
      </c>
      <c r="L20">
        <f t="shared" si="1"/>
        <v>-6.5345046922353156E-2</v>
      </c>
      <c r="M20">
        <f t="shared" si="2"/>
        <v>0.93617021276595747</v>
      </c>
      <c r="N20">
        <f t="shared" si="3"/>
        <v>-6.1174086480500829E-2</v>
      </c>
      <c r="O20">
        <f t="shared" si="4"/>
        <v>0.50040402741049672</v>
      </c>
    </row>
    <row r="21" spans="1:15" x14ac:dyDescent="0.25">
      <c r="A21" t="s">
        <v>5</v>
      </c>
      <c r="B21">
        <v>2000</v>
      </c>
      <c r="C21">
        <v>17</v>
      </c>
      <c r="D21">
        <v>-0.6</v>
      </c>
      <c r="E21">
        <v>2.5880000000000001</v>
      </c>
      <c r="F21">
        <v>6.6980000000000004</v>
      </c>
      <c r="G21">
        <v>-5.6719999999999997</v>
      </c>
      <c r="H21">
        <v>4.4720000000000004</v>
      </c>
      <c r="I21">
        <v>-0.23200000000000001</v>
      </c>
      <c r="J21">
        <v>0.81699999999999995</v>
      </c>
      <c r="K21">
        <f t="shared" si="0"/>
        <v>5.3352986795492532</v>
      </c>
      <c r="L21">
        <f t="shared" si="1"/>
        <v>-0.11245855874945886</v>
      </c>
      <c r="M21">
        <f t="shared" si="2"/>
        <v>0.94915254237288138</v>
      </c>
      <c r="N21">
        <f t="shared" si="3"/>
        <v>-0.10674032694863891</v>
      </c>
      <c r="O21">
        <f t="shared" si="4"/>
        <v>0.46040661023846258</v>
      </c>
    </row>
    <row r="22" spans="1:15" x14ac:dyDescent="0.25">
      <c r="A22" t="s">
        <v>24</v>
      </c>
      <c r="B22">
        <v>1998</v>
      </c>
      <c r="C22">
        <v>19.5</v>
      </c>
      <c r="D22">
        <v>4</v>
      </c>
      <c r="E22">
        <v>5.7430000000000003</v>
      </c>
      <c r="F22">
        <v>32.981999999999999</v>
      </c>
      <c r="G22">
        <v>-7.2560000000000002</v>
      </c>
      <c r="H22">
        <v>15.256</v>
      </c>
      <c r="I22">
        <v>0.69599999999999995</v>
      </c>
      <c r="J22">
        <v>0.48599999999999999</v>
      </c>
      <c r="K22">
        <f t="shared" si="0"/>
        <v>12.680200663830208</v>
      </c>
      <c r="L22">
        <f t="shared" si="1"/>
        <v>0.31545242114423699</v>
      </c>
      <c r="M22">
        <f t="shared" si="2"/>
        <v>0.95652173913043481</v>
      </c>
      <c r="N22">
        <f t="shared" si="3"/>
        <v>0.30173709848579194</v>
      </c>
      <c r="O22">
        <f t="shared" si="4"/>
        <v>0.4332190391509757</v>
      </c>
    </row>
    <row r="23" spans="1:15" x14ac:dyDescent="0.25">
      <c r="A23" t="s">
        <v>25</v>
      </c>
      <c r="B23">
        <v>1998</v>
      </c>
      <c r="C23">
        <v>19.5</v>
      </c>
      <c r="D23">
        <v>3</v>
      </c>
      <c r="E23">
        <v>3.9380000000000002</v>
      </c>
      <c r="F23">
        <v>15.505000000000001</v>
      </c>
      <c r="G23">
        <v>-4.718</v>
      </c>
      <c r="H23">
        <v>10.718</v>
      </c>
      <c r="I23">
        <v>0.76200000000000001</v>
      </c>
      <c r="J23">
        <v>0.44600000000000001</v>
      </c>
      <c r="K23">
        <f t="shared" si="0"/>
        <v>8.6948685728997663</v>
      </c>
      <c r="L23">
        <f t="shared" si="1"/>
        <v>0.34503109217204536</v>
      </c>
      <c r="M23">
        <f t="shared" si="2"/>
        <v>0.95652173913043481</v>
      </c>
      <c r="N23">
        <f t="shared" si="3"/>
        <v>0.33002974033847821</v>
      </c>
      <c r="O23">
        <f t="shared" si="4"/>
        <v>0.43321903915097576</v>
      </c>
    </row>
    <row r="24" spans="1:15" x14ac:dyDescent="0.25">
      <c r="A24" t="s">
        <v>6</v>
      </c>
      <c r="B24">
        <v>2022</v>
      </c>
      <c r="C24">
        <v>20</v>
      </c>
      <c r="D24">
        <v>2.1</v>
      </c>
      <c r="E24">
        <v>2.9780000000000002</v>
      </c>
      <c r="F24">
        <v>8.8680000000000003</v>
      </c>
      <c r="G24">
        <v>-3.7370000000000001</v>
      </c>
      <c r="H24">
        <v>7.9370000000000003</v>
      </c>
      <c r="I24">
        <v>0.70499999999999996</v>
      </c>
      <c r="J24">
        <v>0.48099999999999998</v>
      </c>
      <c r="K24">
        <f t="shared" si="0"/>
        <v>6.6590104369943743</v>
      </c>
      <c r="L24">
        <f t="shared" si="1"/>
        <v>0.31536217278371781</v>
      </c>
      <c r="M24">
        <f t="shared" si="2"/>
        <v>0.95774647887323949</v>
      </c>
      <c r="N24">
        <f t="shared" si="3"/>
        <v>0.30203701055341992</v>
      </c>
      <c r="O24">
        <f t="shared" si="4"/>
        <v>0.42831724639432589</v>
      </c>
    </row>
    <row r="25" spans="1:15" x14ac:dyDescent="0.25">
      <c r="A25" t="s">
        <v>26</v>
      </c>
      <c r="B25">
        <v>1999</v>
      </c>
      <c r="C25">
        <v>21</v>
      </c>
      <c r="D25">
        <v>-0.3</v>
      </c>
      <c r="E25">
        <v>3.8439999999999999</v>
      </c>
      <c r="F25">
        <v>14.778</v>
      </c>
      <c r="G25">
        <v>-7.835</v>
      </c>
      <c r="H25">
        <v>7.2350000000000003</v>
      </c>
      <c r="I25">
        <v>-7.8E-2</v>
      </c>
      <c r="J25">
        <v>0.93799999999999994</v>
      </c>
      <c r="K25">
        <f t="shared" si="0"/>
        <v>8.8077104857051243</v>
      </c>
      <c r="L25">
        <f t="shared" si="1"/>
        <v>-3.4061065073255833E-2</v>
      </c>
      <c r="M25">
        <f t="shared" si="2"/>
        <v>0.96</v>
      </c>
      <c r="N25">
        <f t="shared" si="3"/>
        <v>-3.2698622470325601E-2</v>
      </c>
      <c r="O25">
        <f t="shared" si="4"/>
        <v>0.41897834925310534</v>
      </c>
    </row>
    <row r="26" spans="1:15" x14ac:dyDescent="0.25">
      <c r="A26" t="s">
        <v>27</v>
      </c>
      <c r="B26">
        <v>1999</v>
      </c>
      <c r="C26">
        <v>21</v>
      </c>
      <c r="D26">
        <v>0.3</v>
      </c>
      <c r="E26">
        <v>3.6619999999999999</v>
      </c>
      <c r="F26">
        <v>13.411</v>
      </c>
      <c r="G26">
        <v>-6.8780000000000001</v>
      </c>
      <c r="H26">
        <v>7.4779999999999998</v>
      </c>
      <c r="I26">
        <v>8.2000000000000003E-2</v>
      </c>
      <c r="J26">
        <v>0.93500000000000005</v>
      </c>
      <c r="K26">
        <f t="shared" si="0"/>
        <v>8.3906960974641418</v>
      </c>
      <c r="L26">
        <f t="shared" si="1"/>
        <v>3.5753886985689633E-2</v>
      </c>
      <c r="M26">
        <f t="shared" si="2"/>
        <v>0.96</v>
      </c>
      <c r="N26">
        <f t="shared" si="3"/>
        <v>3.4323731506262049E-2</v>
      </c>
      <c r="O26">
        <f t="shared" si="4"/>
        <v>0.41897834925310545</v>
      </c>
    </row>
    <row r="27" spans="1:15" x14ac:dyDescent="0.25">
      <c r="A27" t="s">
        <v>7</v>
      </c>
      <c r="B27">
        <v>1999</v>
      </c>
      <c r="C27">
        <v>15</v>
      </c>
      <c r="D27">
        <v>13.3</v>
      </c>
      <c r="E27">
        <v>1.3959999999999999</v>
      </c>
      <c r="F27">
        <v>1.948</v>
      </c>
      <c r="G27">
        <v>10.565</v>
      </c>
      <c r="H27">
        <v>16.035</v>
      </c>
      <c r="I27">
        <v>9.5299999999999994</v>
      </c>
      <c r="J27">
        <v>0</v>
      </c>
      <c r="K27">
        <f t="shared" si="0"/>
        <v>2.703342375652777</v>
      </c>
      <c r="L27">
        <f t="shared" si="1"/>
        <v>4.919835578276853</v>
      </c>
      <c r="M27">
        <f t="shared" si="2"/>
        <v>0.94117647058823528</v>
      </c>
      <c r="N27">
        <f t="shared" si="3"/>
        <v>4.6304334854370381</v>
      </c>
      <c r="O27">
        <f t="shared" si="4"/>
        <v>0.4860214395240679</v>
      </c>
    </row>
    <row r="28" spans="1:15" x14ac:dyDescent="0.25">
      <c r="A28" t="s">
        <v>28</v>
      </c>
      <c r="B28">
        <v>2020</v>
      </c>
      <c r="C28">
        <v>12</v>
      </c>
      <c r="D28">
        <v>-2.4</v>
      </c>
      <c r="E28">
        <v>0.67500000000000004</v>
      </c>
      <c r="F28">
        <v>0.45500000000000002</v>
      </c>
      <c r="G28">
        <v>-3.722</v>
      </c>
      <c r="H28">
        <v>-1.0780000000000001</v>
      </c>
      <c r="I28">
        <v>-3.5579999999999998</v>
      </c>
      <c r="J28">
        <v>0</v>
      </c>
      <c r="K28">
        <f t="shared" si="0"/>
        <v>1.1691342951089922</v>
      </c>
      <c r="L28">
        <f t="shared" si="1"/>
        <v>-2.0528009571186692</v>
      </c>
      <c r="M28">
        <f t="shared" si="2"/>
        <v>0.92307692307692313</v>
      </c>
      <c r="N28">
        <f t="shared" si="3"/>
        <v>-1.8948931911864639</v>
      </c>
      <c r="O28">
        <f t="shared" si="4"/>
        <v>0.53293871002119308</v>
      </c>
    </row>
    <row r="29" spans="1:15" x14ac:dyDescent="0.25">
      <c r="A29" t="s">
        <v>29</v>
      </c>
      <c r="B29">
        <v>2020</v>
      </c>
      <c r="C29">
        <v>12</v>
      </c>
      <c r="D29">
        <v>-0.1</v>
      </c>
      <c r="E29">
        <v>0.64200000000000002</v>
      </c>
      <c r="F29">
        <v>0.41199999999999998</v>
      </c>
      <c r="G29">
        <v>-1.359</v>
      </c>
      <c r="H29">
        <v>1.159</v>
      </c>
      <c r="I29">
        <v>-0.156</v>
      </c>
      <c r="J29">
        <v>0.876</v>
      </c>
      <c r="K29">
        <f t="shared" si="0"/>
        <v>1.1119766184592192</v>
      </c>
      <c r="L29">
        <f t="shared" si="1"/>
        <v>-8.9929948471904331E-2</v>
      </c>
      <c r="M29">
        <f t="shared" si="2"/>
        <v>0.92307692307692313</v>
      </c>
      <c r="N29">
        <f t="shared" si="3"/>
        <v>-8.30122601279117E-2</v>
      </c>
      <c r="O29">
        <f t="shared" si="4"/>
        <v>0.53293871002119308</v>
      </c>
    </row>
    <row r="30" spans="1:15" x14ac:dyDescent="0.25">
      <c r="A30" t="s">
        <v>30</v>
      </c>
      <c r="B30">
        <v>2020</v>
      </c>
      <c r="C30">
        <v>12</v>
      </c>
      <c r="D30">
        <v>1.8</v>
      </c>
      <c r="E30">
        <v>0.67500000000000004</v>
      </c>
      <c r="F30">
        <v>0.45500000000000002</v>
      </c>
      <c r="G30">
        <v>0.47799999999999998</v>
      </c>
      <c r="H30">
        <v>3.1219999999999999</v>
      </c>
      <c r="I30">
        <v>2.6680000000000001</v>
      </c>
      <c r="J30">
        <v>8.0000000000000002E-3</v>
      </c>
      <c r="K30">
        <f t="shared" si="0"/>
        <v>1.1691342951089922</v>
      </c>
      <c r="L30">
        <f t="shared" si="1"/>
        <v>1.5396007178390019</v>
      </c>
      <c r="M30">
        <f t="shared" si="2"/>
        <v>0.92307692307692313</v>
      </c>
      <c r="N30">
        <f t="shared" si="3"/>
        <v>1.421169893389848</v>
      </c>
      <c r="O30">
        <f t="shared" si="4"/>
        <v>0.53293871002119308</v>
      </c>
    </row>
    <row r="31" spans="1:15" x14ac:dyDescent="0.25">
      <c r="A31" t="s">
        <v>8</v>
      </c>
      <c r="B31">
        <v>2021</v>
      </c>
      <c r="C31">
        <v>18</v>
      </c>
      <c r="D31">
        <v>-1.9</v>
      </c>
      <c r="E31">
        <v>4.6909999999999998</v>
      </c>
      <c r="F31">
        <v>22.009</v>
      </c>
      <c r="G31">
        <v>-11.095000000000001</v>
      </c>
      <c r="H31">
        <v>7.2949999999999999</v>
      </c>
      <c r="I31">
        <v>-0.40500000000000003</v>
      </c>
      <c r="J31">
        <v>0.68500000000000005</v>
      </c>
      <c r="K31">
        <f t="shared" si="0"/>
        <v>9.9511137316382818</v>
      </c>
      <c r="L31">
        <f t="shared" si="1"/>
        <v>-0.19093340215369012</v>
      </c>
      <c r="M31">
        <f t="shared" si="2"/>
        <v>0.95238095238095233</v>
      </c>
      <c r="N31">
        <f t="shared" si="3"/>
        <v>-0.18184133538446676</v>
      </c>
      <c r="O31">
        <f t="shared" si="4"/>
        <v>0.44895668646764925</v>
      </c>
    </row>
    <row r="32" spans="1:15" x14ac:dyDescent="0.25">
      <c r="A32" t="s">
        <v>9</v>
      </c>
      <c r="B32">
        <v>2016</v>
      </c>
      <c r="C32">
        <v>30</v>
      </c>
      <c r="D32">
        <v>0.4</v>
      </c>
      <c r="E32">
        <v>2.238</v>
      </c>
      <c r="F32">
        <v>5.0090000000000003</v>
      </c>
      <c r="G32">
        <v>-3.9860000000000002</v>
      </c>
      <c r="H32">
        <v>4.7859999999999996</v>
      </c>
      <c r="I32">
        <v>0.17899999999999999</v>
      </c>
      <c r="J32">
        <v>0.85799999999999998</v>
      </c>
      <c r="K32">
        <f t="shared" si="0"/>
        <v>6.1290154184828092</v>
      </c>
      <c r="L32">
        <f t="shared" si="1"/>
        <v>6.5263337206454108E-2</v>
      </c>
      <c r="M32">
        <f t="shared" si="2"/>
        <v>0.97297297297297303</v>
      </c>
      <c r="N32">
        <f t="shared" si="3"/>
        <v>6.3499463227901301E-2</v>
      </c>
      <c r="O32">
        <f t="shared" si="4"/>
        <v>0.35527949676010778</v>
      </c>
    </row>
    <row r="33" spans="1:15" x14ac:dyDescent="0.25">
      <c r="A33" t="s">
        <v>9</v>
      </c>
      <c r="B33">
        <v>2018</v>
      </c>
      <c r="C33">
        <v>30</v>
      </c>
      <c r="D33">
        <v>2.06</v>
      </c>
      <c r="E33">
        <v>2.0640000000000001</v>
      </c>
      <c r="F33">
        <v>4.2619999999999996</v>
      </c>
      <c r="G33">
        <v>-1.986</v>
      </c>
      <c r="H33">
        <v>6.1059999999999999</v>
      </c>
      <c r="I33">
        <v>0.998</v>
      </c>
      <c r="J33">
        <v>0.318</v>
      </c>
      <c r="K33">
        <f t="shared" si="0"/>
        <v>5.6524967934533148</v>
      </c>
      <c r="L33">
        <f t="shared" si="1"/>
        <v>0.36444071978702913</v>
      </c>
      <c r="M33">
        <f t="shared" si="2"/>
        <v>0.97297297297297303</v>
      </c>
      <c r="N33">
        <f t="shared" si="3"/>
        <v>0.35459097060359596</v>
      </c>
      <c r="O33">
        <f t="shared" si="4"/>
        <v>0.35527949676010778</v>
      </c>
    </row>
    <row r="34" spans="1:15" x14ac:dyDescent="0.25">
      <c r="A34" t="s">
        <v>10</v>
      </c>
      <c r="B34">
        <v>2014</v>
      </c>
      <c r="C34">
        <v>16</v>
      </c>
      <c r="D34">
        <v>0.7</v>
      </c>
      <c r="E34">
        <v>2.4089999999999998</v>
      </c>
      <c r="F34">
        <v>5.8040000000000003</v>
      </c>
      <c r="G34">
        <v>-4.0220000000000002</v>
      </c>
      <c r="H34">
        <v>5.4219999999999997</v>
      </c>
      <c r="I34">
        <v>0.29099999999999998</v>
      </c>
      <c r="J34">
        <v>0.77100000000000002</v>
      </c>
      <c r="K34">
        <f t="shared" si="0"/>
        <v>4.8179999999999996</v>
      </c>
      <c r="L34">
        <f t="shared" si="1"/>
        <v>0.14528850145288502</v>
      </c>
      <c r="M34">
        <f t="shared" si="2"/>
        <v>0.94545454545454544</v>
      </c>
      <c r="N34">
        <f t="shared" si="3"/>
        <v>0.13736367410090947</v>
      </c>
      <c r="O34">
        <f t="shared" si="4"/>
        <v>0.47272727272727266</v>
      </c>
    </row>
    <row r="35" spans="1:15" x14ac:dyDescent="0.25">
      <c r="A35" t="s">
        <v>31</v>
      </c>
      <c r="B35">
        <v>2024</v>
      </c>
      <c r="C35">
        <v>12</v>
      </c>
      <c r="D35">
        <v>1.1000000000000001</v>
      </c>
      <c r="E35">
        <v>3.0059999999999998</v>
      </c>
      <c r="F35">
        <v>9.0380000000000003</v>
      </c>
      <c r="G35">
        <v>-4.7919999999999998</v>
      </c>
      <c r="H35">
        <v>6.992</v>
      </c>
      <c r="I35">
        <v>0.36599999999999999</v>
      </c>
      <c r="J35">
        <v>0.71399999999999997</v>
      </c>
      <c r="K35">
        <f t="shared" si="0"/>
        <v>5.2065447275520444</v>
      </c>
      <c r="L35">
        <f t="shared" si="1"/>
        <v>0.21127255359567149</v>
      </c>
      <c r="M35">
        <f t="shared" si="2"/>
        <v>0.92307692307692313</v>
      </c>
      <c r="N35">
        <f t="shared" si="3"/>
        <v>0.19502081870369678</v>
      </c>
      <c r="O35">
        <f t="shared" si="4"/>
        <v>0.53293871002119308</v>
      </c>
    </row>
    <row r="36" spans="1:15" x14ac:dyDescent="0.25">
      <c r="A36" t="s">
        <v>32</v>
      </c>
      <c r="B36">
        <v>2024</v>
      </c>
      <c r="C36">
        <v>22</v>
      </c>
      <c r="D36">
        <v>4.8</v>
      </c>
      <c r="E36">
        <v>3.2810000000000001</v>
      </c>
      <c r="F36">
        <v>10.766999999999999</v>
      </c>
      <c r="G36">
        <v>-1.631</v>
      </c>
      <c r="H36">
        <v>11.231</v>
      </c>
      <c r="I36">
        <v>1.4630000000000001</v>
      </c>
      <c r="J36">
        <v>0.14399999999999999</v>
      </c>
      <c r="K36">
        <f t="shared" si="0"/>
        <v>7.6946270539903372</v>
      </c>
      <c r="L36">
        <f t="shared" si="1"/>
        <v>0.62381191009261194</v>
      </c>
      <c r="M36">
        <f t="shared" si="2"/>
        <v>0.96202531645569622</v>
      </c>
      <c r="N36">
        <f t="shared" si="3"/>
        <v>0.60012285021567735</v>
      </c>
      <c r="O36">
        <f t="shared" si="4"/>
        <v>0.41020897324117445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2026-01-03T17:04:58Z</dcterms:modified>
</cp:coreProperties>
</file>