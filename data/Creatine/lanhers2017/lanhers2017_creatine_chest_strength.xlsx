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lanhers2017\"/>
    </mc:Choice>
  </mc:AlternateContent>
  <xr:revisionPtr revIDLastSave="0" documentId="13_ncr:1_{71C66C68-6811-414B-9E8B-4A3DDFE43587}" xr6:coauthVersionLast="47" xr6:coauthVersionMax="47" xr10:uidLastSave="{00000000-0000-0000-0000-000000000000}"/>
  <bookViews>
    <workbookView xWindow="-120" yWindow="-120" windowWidth="38640" windowHeight="21240" xr2:uid="{89494685-0C9C-438A-97E8-F8B3112E0F3B}"/>
  </bookViews>
  <sheets>
    <sheet name="lanhers2017_chest_streng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M4" i="1"/>
  <c r="M5" i="1"/>
  <c r="N5" i="1"/>
  <c r="M6" i="1"/>
  <c r="M7" i="1"/>
  <c r="M8" i="1"/>
  <c r="N8" i="1"/>
  <c r="M9" i="1"/>
  <c r="M10" i="1"/>
  <c r="M11" i="1"/>
  <c r="M12" i="1"/>
  <c r="M13" i="1"/>
  <c r="M14" i="1"/>
  <c r="M15" i="1"/>
  <c r="M16" i="1"/>
  <c r="M17" i="1"/>
  <c r="N17" i="1"/>
  <c r="M18" i="1"/>
  <c r="M19" i="1"/>
  <c r="M20" i="1"/>
  <c r="M21" i="1"/>
  <c r="N21" i="1"/>
  <c r="M22" i="1"/>
  <c r="M23" i="1"/>
  <c r="M24" i="1"/>
  <c r="M25" i="1"/>
  <c r="M26" i="1"/>
  <c r="M27" i="1"/>
  <c r="M28" i="1"/>
  <c r="M29" i="1"/>
  <c r="N29" i="1"/>
  <c r="M30" i="1"/>
  <c r="M31" i="1"/>
  <c r="M32" i="1"/>
  <c r="M33" i="1"/>
  <c r="N33" i="1"/>
  <c r="M34" i="1"/>
  <c r="M35" i="1"/>
  <c r="M36" i="1"/>
  <c r="M37" i="1"/>
  <c r="M38" i="1"/>
  <c r="M39" i="1"/>
  <c r="M40" i="1"/>
  <c r="M41" i="1"/>
  <c r="N41" i="1"/>
  <c r="M42" i="1"/>
  <c r="M43" i="1"/>
  <c r="M44" i="1"/>
  <c r="M45" i="1"/>
  <c r="N45" i="1"/>
  <c r="M46" i="1"/>
  <c r="M47" i="1"/>
  <c r="K3" i="1"/>
  <c r="K4" i="1"/>
  <c r="N4" i="1" s="1"/>
  <c r="K5" i="1"/>
  <c r="K6" i="1"/>
  <c r="N6" i="1" s="1"/>
  <c r="K7" i="1"/>
  <c r="N7" i="1" s="1"/>
  <c r="K8" i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K18" i="1"/>
  <c r="N18" i="1" s="1"/>
  <c r="K19" i="1"/>
  <c r="N19" i="1" s="1"/>
  <c r="K20" i="1"/>
  <c r="N20" i="1" s="1"/>
  <c r="K21" i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K30" i="1"/>
  <c r="N30" i="1" s="1"/>
  <c r="K31" i="1"/>
  <c r="N31" i="1" s="1"/>
  <c r="K32" i="1"/>
  <c r="N32" i="1" s="1"/>
  <c r="K33" i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K42" i="1"/>
  <c r="N42" i="1" s="1"/>
  <c r="K43" i="1"/>
  <c r="N43" i="1" s="1"/>
  <c r="K44" i="1"/>
  <c r="N44" i="1" s="1"/>
  <c r="K45" i="1"/>
  <c r="K46" i="1"/>
  <c r="N46" i="1" s="1"/>
  <c r="K47" i="1"/>
  <c r="N47" i="1" s="1"/>
  <c r="M2" i="1"/>
  <c r="K2" i="1"/>
  <c r="N2" i="1" s="1"/>
</calcChain>
</file>

<file path=xl/sharedStrings.xml><?xml version="1.0" encoding="utf-8"?>
<sst xmlns="http://schemas.openxmlformats.org/spreadsheetml/2006/main" count="156" uniqueCount="67">
  <si>
    <t>Author</t>
  </si>
  <si>
    <t>loading_dose</t>
  </si>
  <si>
    <t>total_dose</t>
  </si>
  <si>
    <t>duration</t>
  </si>
  <si>
    <t>training</t>
  </si>
  <si>
    <t>t0-t1</t>
  </si>
  <si>
    <t>d</t>
  </si>
  <si>
    <t>lCI</t>
  </si>
  <si>
    <t>uCI</t>
  </si>
  <si>
    <t>se_d</t>
  </si>
  <si>
    <t>J</t>
  </si>
  <si>
    <t>g</t>
  </si>
  <si>
    <t>se_g</t>
  </si>
  <si>
    <t>notes</t>
  </si>
  <si>
    <t>Azizi</t>
  </si>
  <si>
    <t>Recreation</t>
  </si>
  <si>
    <t>Strength</t>
  </si>
  <si>
    <t>n not available, smd used</t>
  </si>
  <si>
    <t>Bemben</t>
  </si>
  <si>
    <t>Competition</t>
  </si>
  <si>
    <t>Brenner</t>
  </si>
  <si>
    <t>Brosea</t>
  </si>
  <si>
    <t>-</t>
  </si>
  <si>
    <t>Broseb</t>
  </si>
  <si>
    <t>Burkea</t>
  </si>
  <si>
    <t>Mixed</t>
  </si>
  <si>
    <t>Burkeb</t>
  </si>
  <si>
    <t>Camica</t>
  </si>
  <si>
    <t>Sedentary</t>
  </si>
  <si>
    <t>Camicb</t>
  </si>
  <si>
    <t>Chilibeck</t>
  </si>
  <si>
    <t>Chrusch</t>
  </si>
  <si>
    <t>DaSilveira</t>
  </si>
  <si>
    <t>DelFavero</t>
  </si>
  <si>
    <t>None</t>
  </si>
  <si>
    <t>Earnest</t>
  </si>
  <si>
    <t>FergusonSyrotuik</t>
  </si>
  <si>
    <t>Gotshalk</t>
  </si>
  <si>
    <t>Gualanoa</t>
  </si>
  <si>
    <t>Gualanob</t>
  </si>
  <si>
    <t>Herda</t>
  </si>
  <si>
    <t>Izquierdo</t>
  </si>
  <si>
    <t>Aerobic</t>
  </si>
  <si>
    <t>Kelly</t>
  </si>
  <si>
    <t>LarsonMeyer</t>
  </si>
  <si>
    <t>Law</t>
  </si>
  <si>
    <t>Noonana</t>
  </si>
  <si>
    <t>Noonanb</t>
  </si>
  <si>
    <t>Painelli</t>
  </si>
  <si>
    <t>Pearson</t>
  </si>
  <si>
    <t>Peetersa</t>
  </si>
  <si>
    <t>Peetersb</t>
  </si>
  <si>
    <t>Pluim</t>
  </si>
  <si>
    <t>Selsby</t>
  </si>
  <si>
    <t>Stone</t>
  </si>
  <si>
    <t>Stout</t>
  </si>
  <si>
    <t>Syrotuika</t>
  </si>
  <si>
    <t>Syrotuikb</t>
  </si>
  <si>
    <t>Vanderberghe</t>
  </si>
  <si>
    <t>Villanueva</t>
  </si>
  <si>
    <t>Voleka</t>
  </si>
  <si>
    <t>Volekb</t>
  </si>
  <si>
    <t>Volekc</t>
  </si>
  <si>
    <t>Warber</t>
  </si>
  <si>
    <t>Zuniga</t>
  </si>
  <si>
    <t>Bermona</t>
  </si>
  <si>
    <t>Bermonb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</si>
</sst>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6B8-A9D8-4693-B5A9-839F38748595}">
  <dimension ref="A1:O47"/>
  <sheetViews>
    <sheetView tabSelected="1" workbookViewId="0">
      <selection activeCell="M8" sqref="M8"/>
    </sheetView>
  </sheetViews>
  <sheetFormatPr defaultRowHeight="15" x14ac:dyDescent="0.25"/>
  <sheetData>
    <row r="1" spans="1:15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>
        <v>20</v>
      </c>
      <c r="D2">
        <v>120</v>
      </c>
      <c r="E2">
        <v>6</v>
      </c>
      <c r="F2" t="s">
        <v>16</v>
      </c>
      <c r="G2">
        <v>7</v>
      </c>
      <c r="H2">
        <v>0.21</v>
      </c>
      <c r="I2">
        <v>-0.67</v>
      </c>
      <c r="J2">
        <v>1.0900000000000001</v>
      </c>
      <c r="K2">
        <f>(J2-I2)/2/1.96</f>
        <v>0.44897959183673475</v>
      </c>
      <c r="L2">
        <v>1</v>
      </c>
      <c r="M2">
        <f>L2*H2</f>
        <v>0.21</v>
      </c>
      <c r="N2">
        <f>K2*L2</f>
        <v>0.44897959183673475</v>
      </c>
      <c r="O2" t="s">
        <v>17</v>
      </c>
    </row>
    <row r="3" spans="1:15" x14ac:dyDescent="0.25">
      <c r="A3" t="s">
        <v>18</v>
      </c>
      <c r="B3" t="s">
        <v>19</v>
      </c>
      <c r="C3">
        <v>20</v>
      </c>
      <c r="D3">
        <v>390</v>
      </c>
      <c r="E3">
        <v>63</v>
      </c>
      <c r="F3" t="s">
        <v>16</v>
      </c>
      <c r="G3">
        <v>63</v>
      </c>
      <c r="H3">
        <v>0.22</v>
      </c>
      <c r="I3">
        <v>-0.74</v>
      </c>
      <c r="J3">
        <v>1.17</v>
      </c>
      <c r="K3">
        <f t="shared" ref="K3:K47" si="0">(J3-I3)/2/1.96</f>
        <v>0.48724489795918369</v>
      </c>
      <c r="L3">
        <v>1</v>
      </c>
      <c r="M3">
        <f t="shared" ref="M3:M47" si="1">L3*H3</f>
        <v>0.22</v>
      </c>
      <c r="N3">
        <f t="shared" ref="N3:N47" si="2">K3*L3</f>
        <v>0.48724489795918369</v>
      </c>
    </row>
    <row r="4" spans="1:15" x14ac:dyDescent="0.25">
      <c r="A4" t="s">
        <v>20</v>
      </c>
      <c r="B4" t="s">
        <v>19</v>
      </c>
      <c r="C4">
        <v>20</v>
      </c>
      <c r="D4">
        <v>188</v>
      </c>
      <c r="E4">
        <v>31</v>
      </c>
      <c r="F4" t="s">
        <v>16</v>
      </c>
      <c r="G4">
        <v>31</v>
      </c>
      <c r="H4">
        <v>7.0000000000000007E-2</v>
      </c>
      <c r="I4">
        <v>-0.92</v>
      </c>
      <c r="J4">
        <v>1.06</v>
      </c>
      <c r="K4">
        <f t="shared" si="0"/>
        <v>0.50510204081632648</v>
      </c>
      <c r="L4">
        <v>1</v>
      </c>
      <c r="M4">
        <f t="shared" si="1"/>
        <v>7.0000000000000007E-2</v>
      </c>
      <c r="N4">
        <f t="shared" si="2"/>
        <v>0.50510204081632648</v>
      </c>
    </row>
    <row r="5" spans="1:15" x14ac:dyDescent="0.25">
      <c r="A5" t="s">
        <v>21</v>
      </c>
      <c r="B5" t="s">
        <v>22</v>
      </c>
      <c r="C5">
        <v>0</v>
      </c>
      <c r="D5">
        <v>490</v>
      </c>
      <c r="E5">
        <v>98</v>
      </c>
      <c r="F5" t="s">
        <v>16</v>
      </c>
      <c r="G5">
        <v>98</v>
      </c>
      <c r="H5">
        <v>-0.08</v>
      </c>
      <c r="I5">
        <v>-1.1200000000000001</v>
      </c>
      <c r="J5">
        <v>1.02</v>
      </c>
      <c r="K5">
        <f t="shared" si="0"/>
        <v>0.54591836734693877</v>
      </c>
      <c r="L5">
        <v>1</v>
      </c>
      <c r="M5">
        <f t="shared" si="1"/>
        <v>-0.08</v>
      </c>
      <c r="N5">
        <f t="shared" si="2"/>
        <v>0.54591836734693877</v>
      </c>
    </row>
    <row r="6" spans="1:15" x14ac:dyDescent="0.25">
      <c r="A6" t="s">
        <v>23</v>
      </c>
      <c r="B6" t="s">
        <v>22</v>
      </c>
      <c r="C6">
        <v>0</v>
      </c>
      <c r="D6">
        <v>490</v>
      </c>
      <c r="E6">
        <v>98</v>
      </c>
      <c r="F6" t="s">
        <v>16</v>
      </c>
      <c r="G6">
        <v>98</v>
      </c>
      <c r="H6">
        <v>0.39</v>
      </c>
      <c r="I6">
        <v>-0.63</v>
      </c>
      <c r="J6">
        <v>1.42</v>
      </c>
      <c r="K6">
        <f t="shared" si="0"/>
        <v>0.52295918367346939</v>
      </c>
      <c r="L6">
        <v>1</v>
      </c>
      <c r="M6">
        <f t="shared" si="1"/>
        <v>0.39</v>
      </c>
      <c r="N6">
        <f t="shared" si="2"/>
        <v>0.52295918367346939</v>
      </c>
    </row>
    <row r="7" spans="1:15" x14ac:dyDescent="0.25">
      <c r="A7" t="s">
        <v>24</v>
      </c>
      <c r="B7" t="s">
        <v>15</v>
      </c>
      <c r="C7">
        <v>16.8</v>
      </c>
      <c r="D7">
        <v>323</v>
      </c>
      <c r="E7">
        <v>56</v>
      </c>
      <c r="F7" t="s">
        <v>25</v>
      </c>
      <c r="G7">
        <v>32</v>
      </c>
      <c r="H7">
        <v>0.47</v>
      </c>
      <c r="I7">
        <v>-0.34</v>
      </c>
      <c r="J7">
        <v>1.28</v>
      </c>
      <c r="K7">
        <f t="shared" si="0"/>
        <v>0.41326530612244899</v>
      </c>
      <c r="L7">
        <v>1</v>
      </c>
      <c r="M7">
        <f t="shared" si="1"/>
        <v>0.47</v>
      </c>
      <c r="N7">
        <f t="shared" si="2"/>
        <v>0.41326530612244899</v>
      </c>
    </row>
    <row r="8" spans="1:15" x14ac:dyDescent="0.25">
      <c r="A8" t="s">
        <v>26</v>
      </c>
      <c r="B8" t="s">
        <v>15</v>
      </c>
      <c r="C8">
        <v>16.8</v>
      </c>
      <c r="D8">
        <v>323</v>
      </c>
      <c r="E8">
        <v>56</v>
      </c>
      <c r="F8" t="s">
        <v>25</v>
      </c>
      <c r="G8">
        <v>32</v>
      </c>
      <c r="H8">
        <v>0.47</v>
      </c>
      <c r="I8">
        <v>-0.47</v>
      </c>
      <c r="J8">
        <v>1.41</v>
      </c>
      <c r="K8">
        <f t="shared" si="0"/>
        <v>0.47959183673469385</v>
      </c>
      <c r="L8">
        <v>1</v>
      </c>
      <c r="M8">
        <f t="shared" si="1"/>
        <v>0.47</v>
      </c>
      <c r="N8">
        <f t="shared" si="2"/>
        <v>0.47959183673469385</v>
      </c>
    </row>
    <row r="9" spans="1:15" x14ac:dyDescent="0.25">
      <c r="A9" t="s">
        <v>27</v>
      </c>
      <c r="B9" t="s">
        <v>28</v>
      </c>
      <c r="C9">
        <v>0</v>
      </c>
      <c r="D9">
        <v>70</v>
      </c>
      <c r="E9">
        <v>28</v>
      </c>
      <c r="F9" t="s">
        <v>22</v>
      </c>
      <c r="G9">
        <v>28</v>
      </c>
      <c r="H9">
        <v>0.24</v>
      </c>
      <c r="I9">
        <v>-0.28999999999999998</v>
      </c>
      <c r="J9">
        <v>0.78</v>
      </c>
      <c r="K9">
        <f t="shared" si="0"/>
        <v>0.27295918367346939</v>
      </c>
      <c r="L9">
        <v>1</v>
      </c>
      <c r="M9">
        <f t="shared" si="1"/>
        <v>0.24</v>
      </c>
      <c r="N9">
        <f t="shared" si="2"/>
        <v>0.27295918367346939</v>
      </c>
    </row>
    <row r="10" spans="1:15" x14ac:dyDescent="0.25">
      <c r="A10" t="s">
        <v>29</v>
      </c>
      <c r="B10" t="s">
        <v>28</v>
      </c>
      <c r="C10">
        <v>0</v>
      </c>
      <c r="D10">
        <v>35</v>
      </c>
      <c r="E10">
        <v>28</v>
      </c>
      <c r="F10" t="s">
        <v>22</v>
      </c>
      <c r="G10">
        <v>28</v>
      </c>
      <c r="H10">
        <v>0.19</v>
      </c>
      <c r="I10">
        <v>-0.34</v>
      </c>
      <c r="J10">
        <v>0.73</v>
      </c>
      <c r="K10">
        <f t="shared" si="0"/>
        <v>0.27295918367346939</v>
      </c>
      <c r="L10">
        <v>1</v>
      </c>
      <c r="M10">
        <f t="shared" si="1"/>
        <v>0.19</v>
      </c>
      <c r="N10">
        <f t="shared" si="2"/>
        <v>0.27295918367346939</v>
      </c>
    </row>
    <row r="11" spans="1:15" x14ac:dyDescent="0.25">
      <c r="A11" t="s">
        <v>30</v>
      </c>
      <c r="B11" t="s">
        <v>19</v>
      </c>
      <c r="C11">
        <v>0</v>
      </c>
      <c r="D11">
        <v>532</v>
      </c>
      <c r="E11">
        <v>56</v>
      </c>
      <c r="F11" t="s">
        <v>25</v>
      </c>
      <c r="G11">
        <v>57</v>
      </c>
      <c r="H11">
        <v>0.49</v>
      </c>
      <c r="I11">
        <v>-0.45</v>
      </c>
      <c r="J11">
        <v>1.43</v>
      </c>
      <c r="K11">
        <f t="shared" si="0"/>
        <v>0.47959183673469385</v>
      </c>
      <c r="L11">
        <v>1</v>
      </c>
      <c r="M11">
        <f t="shared" si="1"/>
        <v>0.49</v>
      </c>
      <c r="N11">
        <f t="shared" si="2"/>
        <v>0.47959183673469385</v>
      </c>
    </row>
    <row r="12" spans="1:15" x14ac:dyDescent="0.25">
      <c r="A12" t="s">
        <v>31</v>
      </c>
      <c r="B12" t="s">
        <v>28</v>
      </c>
      <c r="C12">
        <v>26</v>
      </c>
      <c r="D12">
        <v>578</v>
      </c>
      <c r="E12">
        <v>72</v>
      </c>
      <c r="F12" t="s">
        <v>16</v>
      </c>
      <c r="G12">
        <v>70</v>
      </c>
      <c r="H12">
        <v>0.76</v>
      </c>
      <c r="I12">
        <v>0.02</v>
      </c>
      <c r="J12">
        <v>1.51</v>
      </c>
      <c r="K12">
        <f t="shared" si="0"/>
        <v>0.38010204081632654</v>
      </c>
      <c r="L12">
        <v>1</v>
      </c>
      <c r="M12">
        <f t="shared" si="1"/>
        <v>0.76</v>
      </c>
      <c r="N12">
        <f t="shared" si="2"/>
        <v>0.38010204081632654</v>
      </c>
    </row>
    <row r="13" spans="1:15" x14ac:dyDescent="0.25">
      <c r="A13" t="s">
        <v>32</v>
      </c>
      <c r="B13" t="s">
        <v>19</v>
      </c>
      <c r="C13">
        <v>25</v>
      </c>
      <c r="D13">
        <v>385</v>
      </c>
      <c r="E13">
        <v>91</v>
      </c>
      <c r="F13" t="s">
        <v>25</v>
      </c>
      <c r="G13">
        <v>91</v>
      </c>
      <c r="H13">
        <v>-0.87</v>
      </c>
      <c r="I13">
        <v>-1.75</v>
      </c>
      <c r="J13">
        <v>0.01</v>
      </c>
      <c r="K13">
        <f t="shared" si="0"/>
        <v>0.44897959183673469</v>
      </c>
      <c r="L13">
        <v>1</v>
      </c>
      <c r="M13">
        <f t="shared" si="1"/>
        <v>-0.87</v>
      </c>
      <c r="N13">
        <f t="shared" si="2"/>
        <v>0.44897959183673469</v>
      </c>
    </row>
    <row r="14" spans="1:15" x14ac:dyDescent="0.25">
      <c r="A14" t="s">
        <v>33</v>
      </c>
      <c r="B14" t="s">
        <v>15</v>
      </c>
      <c r="C14">
        <v>20</v>
      </c>
      <c r="D14">
        <v>200</v>
      </c>
      <c r="E14">
        <v>10</v>
      </c>
      <c r="F14" t="s">
        <v>34</v>
      </c>
      <c r="G14">
        <v>25</v>
      </c>
      <c r="H14">
        <v>0.95</v>
      </c>
      <c r="I14">
        <v>-0.06</v>
      </c>
      <c r="J14">
        <v>1.96</v>
      </c>
      <c r="K14">
        <f t="shared" si="0"/>
        <v>0.51530612244897955</v>
      </c>
      <c r="L14">
        <v>1</v>
      </c>
      <c r="M14">
        <f t="shared" si="1"/>
        <v>0.95</v>
      </c>
      <c r="N14">
        <f t="shared" si="2"/>
        <v>0.51530612244897955</v>
      </c>
    </row>
    <row r="15" spans="1:15" x14ac:dyDescent="0.25">
      <c r="A15" t="s">
        <v>35</v>
      </c>
      <c r="B15" t="s">
        <v>15</v>
      </c>
      <c r="C15">
        <v>20</v>
      </c>
      <c r="D15">
        <v>560</v>
      </c>
      <c r="E15">
        <v>28</v>
      </c>
      <c r="F15" t="s">
        <v>34</v>
      </c>
      <c r="H15">
        <v>3.64</v>
      </c>
      <c r="I15">
        <v>1.1599999999999999</v>
      </c>
      <c r="J15">
        <v>6.13</v>
      </c>
      <c r="K15">
        <f t="shared" si="0"/>
        <v>1.2678571428571428</v>
      </c>
      <c r="L15">
        <v>1</v>
      </c>
      <c r="M15">
        <f t="shared" si="1"/>
        <v>3.64</v>
      </c>
      <c r="N15">
        <f t="shared" si="2"/>
        <v>1.2678571428571428</v>
      </c>
    </row>
    <row r="16" spans="1:15" x14ac:dyDescent="0.25">
      <c r="A16" t="s">
        <v>36</v>
      </c>
      <c r="B16" t="s">
        <v>15</v>
      </c>
      <c r="C16">
        <v>0</v>
      </c>
      <c r="D16">
        <v>266</v>
      </c>
      <c r="E16">
        <v>70</v>
      </c>
      <c r="F16" t="s">
        <v>16</v>
      </c>
      <c r="G16">
        <v>70</v>
      </c>
      <c r="H16">
        <v>-0.08</v>
      </c>
      <c r="I16">
        <v>-0.85</v>
      </c>
      <c r="J16">
        <v>0.69</v>
      </c>
      <c r="K16">
        <f t="shared" si="0"/>
        <v>0.39285714285714285</v>
      </c>
      <c r="L16">
        <v>1</v>
      </c>
      <c r="M16">
        <f t="shared" si="1"/>
        <v>-0.08</v>
      </c>
      <c r="N16">
        <f t="shared" si="2"/>
        <v>0.39285714285714285</v>
      </c>
    </row>
    <row r="17" spans="1:14" x14ac:dyDescent="0.25">
      <c r="A17" t="s">
        <v>37</v>
      </c>
      <c r="B17" t="s">
        <v>22</v>
      </c>
      <c r="C17">
        <v>25</v>
      </c>
      <c r="D17">
        <v>178</v>
      </c>
      <c r="E17">
        <v>7</v>
      </c>
      <c r="F17" t="s">
        <v>34</v>
      </c>
      <c r="G17">
        <v>7</v>
      </c>
      <c r="H17">
        <v>0.28000000000000003</v>
      </c>
      <c r="I17">
        <v>-0.65</v>
      </c>
      <c r="J17">
        <v>1.22</v>
      </c>
      <c r="K17">
        <f t="shared" si="0"/>
        <v>0.47704081632653067</v>
      </c>
      <c r="L17">
        <v>1</v>
      </c>
      <c r="M17">
        <f t="shared" si="1"/>
        <v>0.28000000000000003</v>
      </c>
      <c r="N17">
        <f t="shared" si="2"/>
        <v>0.47704081632653067</v>
      </c>
    </row>
    <row r="18" spans="1:14" x14ac:dyDescent="0.25">
      <c r="A18" t="s">
        <v>38</v>
      </c>
      <c r="B18" t="s">
        <v>28</v>
      </c>
      <c r="C18">
        <v>20</v>
      </c>
      <c r="D18">
        <v>905</v>
      </c>
      <c r="E18">
        <v>166</v>
      </c>
      <c r="F18" t="s">
        <v>25</v>
      </c>
      <c r="G18">
        <v>166</v>
      </c>
      <c r="H18">
        <v>0.5</v>
      </c>
      <c r="I18">
        <v>-0.23</v>
      </c>
      <c r="J18">
        <v>1.22</v>
      </c>
      <c r="K18">
        <f t="shared" si="0"/>
        <v>0.36989795918367346</v>
      </c>
      <c r="L18">
        <v>1</v>
      </c>
      <c r="M18">
        <f t="shared" si="1"/>
        <v>0.5</v>
      </c>
      <c r="N18">
        <f t="shared" si="2"/>
        <v>0.36989795918367346</v>
      </c>
    </row>
    <row r="19" spans="1:14" x14ac:dyDescent="0.25">
      <c r="A19" t="s">
        <v>39</v>
      </c>
      <c r="B19" t="s">
        <v>28</v>
      </c>
      <c r="C19">
        <v>20</v>
      </c>
      <c r="D19">
        <v>905</v>
      </c>
      <c r="E19">
        <v>166</v>
      </c>
      <c r="F19" t="s">
        <v>34</v>
      </c>
      <c r="G19">
        <v>166</v>
      </c>
      <c r="H19">
        <v>0.56999999999999995</v>
      </c>
      <c r="I19">
        <v>-0.16</v>
      </c>
      <c r="J19">
        <v>1.31</v>
      </c>
      <c r="K19">
        <f t="shared" si="0"/>
        <v>0.375</v>
      </c>
      <c r="L19">
        <v>1</v>
      </c>
      <c r="M19">
        <f t="shared" si="1"/>
        <v>0.56999999999999995</v>
      </c>
      <c r="N19">
        <f t="shared" si="2"/>
        <v>0.375</v>
      </c>
    </row>
    <row r="20" spans="1:14" x14ac:dyDescent="0.25">
      <c r="A20" t="s">
        <v>40</v>
      </c>
      <c r="B20" t="s">
        <v>15</v>
      </c>
      <c r="C20">
        <v>0</v>
      </c>
      <c r="D20">
        <v>150</v>
      </c>
      <c r="E20">
        <v>30</v>
      </c>
      <c r="F20" t="s">
        <v>25</v>
      </c>
      <c r="G20">
        <v>30</v>
      </c>
      <c r="H20">
        <v>-0.28999999999999998</v>
      </c>
      <c r="I20">
        <v>-1.04</v>
      </c>
      <c r="J20">
        <v>0.46</v>
      </c>
      <c r="K20">
        <f t="shared" si="0"/>
        <v>0.38265306122448978</v>
      </c>
      <c r="L20">
        <v>1</v>
      </c>
      <c r="M20">
        <f t="shared" si="1"/>
        <v>-0.28999999999999998</v>
      </c>
      <c r="N20">
        <f t="shared" si="2"/>
        <v>0.38265306122448978</v>
      </c>
    </row>
    <row r="21" spans="1:14" x14ac:dyDescent="0.25">
      <c r="A21" t="s">
        <v>41</v>
      </c>
      <c r="B21" t="s">
        <v>19</v>
      </c>
      <c r="C21">
        <v>20</v>
      </c>
      <c r="D21">
        <v>100</v>
      </c>
      <c r="E21">
        <v>5</v>
      </c>
      <c r="F21" t="s">
        <v>42</v>
      </c>
      <c r="G21">
        <v>7</v>
      </c>
      <c r="H21">
        <v>0.34</v>
      </c>
      <c r="I21">
        <v>-0.56999999999999995</v>
      </c>
      <c r="J21">
        <v>1.24</v>
      </c>
      <c r="K21">
        <f t="shared" si="0"/>
        <v>0.46173469387755106</v>
      </c>
      <c r="L21">
        <v>1</v>
      </c>
      <c r="M21">
        <f t="shared" si="1"/>
        <v>0.34</v>
      </c>
      <c r="N21">
        <f t="shared" si="2"/>
        <v>0.46173469387755106</v>
      </c>
    </row>
    <row r="22" spans="1:14" x14ac:dyDescent="0.25">
      <c r="A22" t="s">
        <v>43</v>
      </c>
      <c r="B22" t="s">
        <v>19</v>
      </c>
      <c r="C22">
        <v>20</v>
      </c>
      <c r="D22">
        <v>205</v>
      </c>
      <c r="E22">
        <v>20</v>
      </c>
      <c r="F22" t="s">
        <v>16</v>
      </c>
      <c r="G22">
        <v>27</v>
      </c>
      <c r="H22">
        <v>0.5</v>
      </c>
      <c r="I22">
        <v>-0.44</v>
      </c>
      <c r="J22">
        <v>1.44</v>
      </c>
      <c r="K22">
        <f t="shared" si="0"/>
        <v>0.47959183673469385</v>
      </c>
      <c r="L22">
        <v>1</v>
      </c>
      <c r="M22">
        <f t="shared" si="1"/>
        <v>0.5</v>
      </c>
      <c r="N22">
        <f t="shared" si="2"/>
        <v>0.47959183673469385</v>
      </c>
    </row>
    <row r="23" spans="1:14" x14ac:dyDescent="0.25">
      <c r="A23" t="s">
        <v>44</v>
      </c>
      <c r="B23" t="s">
        <v>19</v>
      </c>
      <c r="C23">
        <v>15</v>
      </c>
      <c r="D23">
        <v>350</v>
      </c>
      <c r="E23">
        <v>15</v>
      </c>
      <c r="F23" t="s">
        <v>25</v>
      </c>
      <c r="G23">
        <v>60</v>
      </c>
      <c r="H23">
        <v>0.56000000000000005</v>
      </c>
      <c r="I23">
        <v>-0.62</v>
      </c>
      <c r="J23">
        <v>1.73</v>
      </c>
      <c r="K23">
        <f t="shared" si="0"/>
        <v>0.59948979591836737</v>
      </c>
      <c r="L23">
        <v>1</v>
      </c>
      <c r="M23">
        <f t="shared" si="1"/>
        <v>0.56000000000000005</v>
      </c>
      <c r="N23">
        <f t="shared" si="2"/>
        <v>0.59948979591836737</v>
      </c>
    </row>
    <row r="24" spans="1:14" x14ac:dyDescent="0.25">
      <c r="A24" t="s">
        <v>45</v>
      </c>
      <c r="B24" t="s">
        <v>15</v>
      </c>
      <c r="C24">
        <v>20</v>
      </c>
      <c r="D24">
        <v>100</v>
      </c>
      <c r="E24">
        <v>5</v>
      </c>
      <c r="F24" t="s">
        <v>16</v>
      </c>
      <c r="G24">
        <v>6</v>
      </c>
      <c r="H24">
        <v>0.19</v>
      </c>
      <c r="I24">
        <v>-0.76</v>
      </c>
      <c r="J24">
        <v>1.1499999999999999</v>
      </c>
      <c r="K24">
        <f t="shared" si="0"/>
        <v>0.48724489795918369</v>
      </c>
      <c r="L24">
        <v>1</v>
      </c>
      <c r="M24">
        <f t="shared" si="1"/>
        <v>0.19</v>
      </c>
      <c r="N24">
        <f t="shared" si="2"/>
        <v>0.48724489795918369</v>
      </c>
    </row>
    <row r="25" spans="1:14" x14ac:dyDescent="0.25">
      <c r="A25" t="s">
        <v>46</v>
      </c>
      <c r="B25" t="s">
        <v>19</v>
      </c>
      <c r="C25">
        <v>20</v>
      </c>
      <c r="D25">
        <v>1477</v>
      </c>
      <c r="E25">
        <v>56</v>
      </c>
      <c r="F25" t="s">
        <v>25</v>
      </c>
      <c r="G25">
        <v>56</v>
      </c>
      <c r="H25">
        <v>-0.02</v>
      </c>
      <c r="I25">
        <v>-0.79</v>
      </c>
      <c r="J25">
        <v>0.75</v>
      </c>
      <c r="K25">
        <f t="shared" si="0"/>
        <v>0.39285714285714285</v>
      </c>
      <c r="L25">
        <v>1</v>
      </c>
      <c r="M25">
        <f t="shared" si="1"/>
        <v>-0.02</v>
      </c>
      <c r="N25">
        <f t="shared" si="2"/>
        <v>0.39285714285714285</v>
      </c>
    </row>
    <row r="26" spans="1:14" x14ac:dyDescent="0.25">
      <c r="A26" t="s">
        <v>47</v>
      </c>
      <c r="B26" t="s">
        <v>19</v>
      </c>
      <c r="C26">
        <v>20</v>
      </c>
      <c r="D26">
        <v>559</v>
      </c>
      <c r="E26">
        <v>56</v>
      </c>
      <c r="F26" t="s">
        <v>25</v>
      </c>
      <c r="G26">
        <v>56</v>
      </c>
      <c r="H26">
        <v>1.07</v>
      </c>
      <c r="I26">
        <v>0.24</v>
      </c>
      <c r="J26">
        <v>1.89</v>
      </c>
      <c r="K26">
        <f t="shared" si="0"/>
        <v>0.42091836734693877</v>
      </c>
      <c r="L26">
        <v>1</v>
      </c>
      <c r="M26">
        <f t="shared" si="1"/>
        <v>1.07</v>
      </c>
      <c r="N26">
        <f t="shared" si="2"/>
        <v>0.42091836734693877</v>
      </c>
    </row>
    <row r="27" spans="1:14" x14ac:dyDescent="0.25">
      <c r="A27" t="s">
        <v>48</v>
      </c>
      <c r="B27" t="s">
        <v>15</v>
      </c>
      <c r="C27">
        <v>20</v>
      </c>
      <c r="D27" t="s">
        <v>22</v>
      </c>
      <c r="E27" t="s">
        <v>22</v>
      </c>
      <c r="F27" t="s">
        <v>25</v>
      </c>
      <c r="G27" t="s">
        <v>22</v>
      </c>
      <c r="H27">
        <v>0.59</v>
      </c>
      <c r="I27">
        <v>-0.13</v>
      </c>
      <c r="J27">
        <v>1.31</v>
      </c>
      <c r="K27">
        <f t="shared" si="0"/>
        <v>0.36734693877551022</v>
      </c>
      <c r="L27">
        <v>1</v>
      </c>
      <c r="M27">
        <f t="shared" si="1"/>
        <v>0.59</v>
      </c>
      <c r="N27">
        <f t="shared" si="2"/>
        <v>0.36734693877551022</v>
      </c>
    </row>
    <row r="28" spans="1:14" x14ac:dyDescent="0.25">
      <c r="A28" t="s">
        <v>49</v>
      </c>
      <c r="B28" t="s">
        <v>15</v>
      </c>
      <c r="C28">
        <v>0</v>
      </c>
      <c r="D28">
        <v>350</v>
      </c>
      <c r="E28">
        <v>70</v>
      </c>
      <c r="F28" t="s">
        <v>16</v>
      </c>
      <c r="G28">
        <v>16</v>
      </c>
      <c r="H28">
        <v>1.42</v>
      </c>
      <c r="I28">
        <v>0.31</v>
      </c>
      <c r="J28">
        <v>2.54</v>
      </c>
      <c r="K28">
        <f t="shared" si="0"/>
        <v>0.56887755102040816</v>
      </c>
      <c r="L28">
        <v>1</v>
      </c>
      <c r="M28">
        <f t="shared" si="1"/>
        <v>1.42</v>
      </c>
      <c r="N28">
        <f t="shared" si="2"/>
        <v>0.56887755102040816</v>
      </c>
    </row>
    <row r="29" spans="1:14" x14ac:dyDescent="0.25">
      <c r="A29" t="s">
        <v>50</v>
      </c>
      <c r="B29" t="s">
        <v>15</v>
      </c>
      <c r="C29">
        <v>20</v>
      </c>
      <c r="D29">
        <v>393</v>
      </c>
      <c r="E29">
        <v>42</v>
      </c>
      <c r="F29" t="s">
        <v>16</v>
      </c>
      <c r="G29">
        <v>42</v>
      </c>
      <c r="H29">
        <v>0.25</v>
      </c>
      <c r="I29">
        <v>-0.54</v>
      </c>
      <c r="J29">
        <v>1.04</v>
      </c>
      <c r="K29">
        <f t="shared" si="0"/>
        <v>0.40306122448979592</v>
      </c>
      <c r="L29">
        <v>1</v>
      </c>
      <c r="M29">
        <f t="shared" si="1"/>
        <v>0.25</v>
      </c>
      <c r="N29">
        <f t="shared" si="2"/>
        <v>0.40306122448979592</v>
      </c>
    </row>
    <row r="30" spans="1:14" x14ac:dyDescent="0.25">
      <c r="A30" t="s">
        <v>51</v>
      </c>
      <c r="B30" t="s">
        <v>15</v>
      </c>
      <c r="C30">
        <v>20</v>
      </c>
      <c r="D30">
        <v>393</v>
      </c>
      <c r="E30">
        <v>42</v>
      </c>
      <c r="F30" t="s">
        <v>16</v>
      </c>
      <c r="G30">
        <v>42</v>
      </c>
      <c r="H30">
        <v>-0.21</v>
      </c>
      <c r="I30">
        <v>-1.05</v>
      </c>
      <c r="J30">
        <v>0.63</v>
      </c>
      <c r="K30">
        <f t="shared" si="0"/>
        <v>0.4285714285714286</v>
      </c>
      <c r="L30">
        <v>1</v>
      </c>
      <c r="M30">
        <f t="shared" si="1"/>
        <v>-0.21</v>
      </c>
      <c r="N30">
        <f t="shared" si="2"/>
        <v>0.4285714285714286</v>
      </c>
    </row>
    <row r="31" spans="1:14" x14ac:dyDescent="0.25">
      <c r="A31" t="s">
        <v>52</v>
      </c>
      <c r="B31" t="s">
        <v>19</v>
      </c>
      <c r="C31">
        <v>22</v>
      </c>
      <c r="D31">
        <v>194</v>
      </c>
      <c r="E31">
        <v>34</v>
      </c>
      <c r="F31" t="s">
        <v>25</v>
      </c>
      <c r="G31">
        <v>34</v>
      </c>
      <c r="H31">
        <v>0.01</v>
      </c>
      <c r="I31">
        <v>-0.8</v>
      </c>
      <c r="J31">
        <v>0.82</v>
      </c>
      <c r="K31">
        <f t="shared" si="0"/>
        <v>0.41326530612244899</v>
      </c>
      <c r="L31">
        <v>1</v>
      </c>
      <c r="M31">
        <f t="shared" si="1"/>
        <v>0.01</v>
      </c>
      <c r="N31">
        <f t="shared" si="2"/>
        <v>0.41326530612244899</v>
      </c>
    </row>
    <row r="32" spans="1:14" x14ac:dyDescent="0.25">
      <c r="A32" t="s">
        <v>53</v>
      </c>
      <c r="B32" t="s">
        <v>15</v>
      </c>
      <c r="C32">
        <v>2.5</v>
      </c>
      <c r="D32">
        <v>25</v>
      </c>
      <c r="E32">
        <v>10</v>
      </c>
      <c r="F32" t="s">
        <v>16</v>
      </c>
      <c r="G32">
        <v>11</v>
      </c>
      <c r="H32">
        <v>2.5000000000000001E-2</v>
      </c>
      <c r="I32">
        <v>-0.69</v>
      </c>
      <c r="J32">
        <v>0.74</v>
      </c>
      <c r="K32">
        <f t="shared" si="0"/>
        <v>0.36479591836734693</v>
      </c>
      <c r="L32">
        <v>1</v>
      </c>
      <c r="M32">
        <f t="shared" si="1"/>
        <v>2.5000000000000001E-2</v>
      </c>
      <c r="N32">
        <f t="shared" si="2"/>
        <v>0.36479591836734693</v>
      </c>
    </row>
    <row r="33" spans="1:14" x14ac:dyDescent="0.25">
      <c r="A33" t="s">
        <v>54</v>
      </c>
      <c r="B33" t="s">
        <v>19</v>
      </c>
      <c r="C33">
        <v>0</v>
      </c>
      <c r="D33">
        <v>700</v>
      </c>
      <c r="E33">
        <v>35</v>
      </c>
      <c r="F33" t="s">
        <v>25</v>
      </c>
      <c r="G33">
        <v>35</v>
      </c>
      <c r="H33">
        <v>0.14000000000000001</v>
      </c>
      <c r="I33">
        <v>-0.74</v>
      </c>
      <c r="J33">
        <v>1.03</v>
      </c>
      <c r="K33">
        <f t="shared" si="0"/>
        <v>0.45153061224489799</v>
      </c>
      <c r="L33">
        <v>1</v>
      </c>
      <c r="M33">
        <f t="shared" si="1"/>
        <v>0.14000000000000001</v>
      </c>
      <c r="N33">
        <f t="shared" si="2"/>
        <v>0.45153061224489799</v>
      </c>
    </row>
    <row r="34" spans="1:14" x14ac:dyDescent="0.25">
      <c r="A34" t="s">
        <v>55</v>
      </c>
      <c r="B34" t="s">
        <v>19</v>
      </c>
      <c r="C34">
        <v>21</v>
      </c>
      <c r="D34">
        <v>641</v>
      </c>
      <c r="E34">
        <v>56</v>
      </c>
      <c r="F34" t="s">
        <v>16</v>
      </c>
      <c r="G34">
        <v>56</v>
      </c>
      <c r="H34">
        <v>-0.52</v>
      </c>
      <c r="I34">
        <v>-1.52</v>
      </c>
      <c r="J34">
        <v>-0.48</v>
      </c>
      <c r="K34">
        <f t="shared" si="0"/>
        <v>0.26530612244897961</v>
      </c>
      <c r="L34">
        <v>1</v>
      </c>
      <c r="M34">
        <f t="shared" si="1"/>
        <v>-0.52</v>
      </c>
      <c r="N34">
        <f t="shared" si="2"/>
        <v>0.26530612244897961</v>
      </c>
    </row>
    <row r="35" spans="1:14" x14ac:dyDescent="0.25">
      <c r="A35" t="s">
        <v>56</v>
      </c>
      <c r="B35" t="s">
        <v>15</v>
      </c>
      <c r="C35">
        <v>23</v>
      </c>
      <c r="D35">
        <v>115</v>
      </c>
      <c r="E35">
        <v>5</v>
      </c>
      <c r="F35" t="s">
        <v>16</v>
      </c>
      <c r="G35">
        <v>39</v>
      </c>
      <c r="H35">
        <v>0.27</v>
      </c>
      <c r="I35">
        <v>-0.78</v>
      </c>
      <c r="J35">
        <v>1.32</v>
      </c>
      <c r="K35">
        <f t="shared" si="0"/>
        <v>0.5357142857142857</v>
      </c>
      <c r="L35">
        <v>1</v>
      </c>
      <c r="M35">
        <f t="shared" si="1"/>
        <v>0.27</v>
      </c>
      <c r="N35">
        <f t="shared" si="2"/>
        <v>0.5357142857142857</v>
      </c>
    </row>
    <row r="36" spans="1:14" x14ac:dyDescent="0.25">
      <c r="A36" t="s">
        <v>57</v>
      </c>
      <c r="B36" t="s">
        <v>15</v>
      </c>
      <c r="C36">
        <v>23</v>
      </c>
      <c r="D36">
        <v>191</v>
      </c>
      <c r="E36">
        <v>37</v>
      </c>
      <c r="F36" t="s">
        <v>16</v>
      </c>
      <c r="G36">
        <v>39</v>
      </c>
      <c r="H36">
        <v>0.33</v>
      </c>
      <c r="I36">
        <v>-1.39</v>
      </c>
      <c r="J36">
        <v>0.72</v>
      </c>
      <c r="K36">
        <f t="shared" si="0"/>
        <v>0.53826530612244894</v>
      </c>
      <c r="L36">
        <v>1</v>
      </c>
      <c r="M36">
        <f t="shared" si="1"/>
        <v>0.33</v>
      </c>
      <c r="N36">
        <f t="shared" si="2"/>
        <v>0.53826530612244894</v>
      </c>
    </row>
    <row r="37" spans="1:14" x14ac:dyDescent="0.25">
      <c r="A37" t="s">
        <v>58</v>
      </c>
      <c r="B37" t="s">
        <v>28</v>
      </c>
      <c r="C37">
        <v>20</v>
      </c>
      <c r="D37">
        <v>430</v>
      </c>
      <c r="E37">
        <v>74</v>
      </c>
      <c r="F37" t="s">
        <v>16</v>
      </c>
      <c r="G37">
        <v>70</v>
      </c>
      <c r="H37">
        <v>0.17</v>
      </c>
      <c r="I37">
        <v>-0.74</v>
      </c>
      <c r="J37">
        <v>1.07</v>
      </c>
      <c r="K37">
        <f t="shared" si="0"/>
        <v>0.46173469387755106</v>
      </c>
      <c r="L37">
        <v>1</v>
      </c>
      <c r="M37">
        <f t="shared" si="1"/>
        <v>0.17</v>
      </c>
      <c r="N37">
        <f t="shared" si="2"/>
        <v>0.46173469387755106</v>
      </c>
    </row>
    <row r="38" spans="1:14" x14ac:dyDescent="0.25">
      <c r="A38" t="s">
        <v>59</v>
      </c>
      <c r="B38" t="s">
        <v>15</v>
      </c>
      <c r="C38">
        <v>24.8</v>
      </c>
      <c r="D38">
        <v>570</v>
      </c>
      <c r="E38">
        <v>82</v>
      </c>
      <c r="F38" t="s">
        <v>16</v>
      </c>
      <c r="G38">
        <v>82</v>
      </c>
      <c r="H38">
        <v>0.03</v>
      </c>
      <c r="I38">
        <v>-1.02</v>
      </c>
      <c r="J38">
        <v>1.08</v>
      </c>
      <c r="K38">
        <f t="shared" si="0"/>
        <v>0.5357142857142857</v>
      </c>
      <c r="L38">
        <v>1</v>
      </c>
      <c r="M38">
        <f t="shared" si="1"/>
        <v>0.03</v>
      </c>
      <c r="N38">
        <f t="shared" si="2"/>
        <v>0.5357142857142857</v>
      </c>
    </row>
    <row r="39" spans="1:14" x14ac:dyDescent="0.25">
      <c r="A39" t="s">
        <v>60</v>
      </c>
      <c r="B39" t="s">
        <v>15</v>
      </c>
      <c r="C39">
        <v>25</v>
      </c>
      <c r="D39">
        <v>150</v>
      </c>
      <c r="E39">
        <v>6</v>
      </c>
      <c r="F39" t="s">
        <v>16</v>
      </c>
      <c r="G39">
        <v>14</v>
      </c>
      <c r="H39">
        <v>0</v>
      </c>
      <c r="I39">
        <v>-1.05</v>
      </c>
      <c r="J39">
        <v>1.05</v>
      </c>
      <c r="K39">
        <f t="shared" si="0"/>
        <v>0.5357142857142857</v>
      </c>
      <c r="L39">
        <v>1</v>
      </c>
      <c r="M39">
        <f t="shared" si="1"/>
        <v>0</v>
      </c>
      <c r="N39">
        <f t="shared" si="2"/>
        <v>0.5357142857142857</v>
      </c>
    </row>
    <row r="40" spans="1:14" x14ac:dyDescent="0.25">
      <c r="A40" t="s">
        <v>61</v>
      </c>
      <c r="B40" t="s">
        <v>15</v>
      </c>
      <c r="C40">
        <v>25</v>
      </c>
      <c r="D40">
        <v>560</v>
      </c>
      <c r="E40">
        <v>84</v>
      </c>
      <c r="F40" t="s">
        <v>16</v>
      </c>
      <c r="G40">
        <v>84</v>
      </c>
      <c r="H40">
        <v>0.22</v>
      </c>
      <c r="I40">
        <v>-0.68</v>
      </c>
      <c r="J40">
        <v>1.1200000000000001</v>
      </c>
      <c r="K40">
        <f t="shared" si="0"/>
        <v>0.45918367346938782</v>
      </c>
      <c r="L40">
        <v>1</v>
      </c>
      <c r="M40">
        <f t="shared" si="1"/>
        <v>0.22</v>
      </c>
      <c r="N40">
        <f t="shared" si="2"/>
        <v>0.45918367346938782</v>
      </c>
    </row>
    <row r="41" spans="1:14" x14ac:dyDescent="0.25">
      <c r="A41" t="s">
        <v>62</v>
      </c>
      <c r="B41" t="s">
        <v>15</v>
      </c>
      <c r="C41">
        <v>26</v>
      </c>
      <c r="D41">
        <v>275</v>
      </c>
      <c r="E41">
        <v>28</v>
      </c>
      <c r="F41" t="s">
        <v>16</v>
      </c>
      <c r="G41">
        <v>28</v>
      </c>
      <c r="H41">
        <v>0.42</v>
      </c>
      <c r="I41">
        <v>-0.54</v>
      </c>
      <c r="J41">
        <v>1.39</v>
      </c>
      <c r="K41">
        <f t="shared" si="0"/>
        <v>0.49234693877551022</v>
      </c>
      <c r="L41">
        <v>1</v>
      </c>
      <c r="M41">
        <f t="shared" si="1"/>
        <v>0.42</v>
      </c>
      <c r="N41">
        <f t="shared" si="2"/>
        <v>0.49234693877551022</v>
      </c>
    </row>
    <row r="42" spans="1:14" x14ac:dyDescent="0.25">
      <c r="A42" t="s">
        <v>63</v>
      </c>
      <c r="B42" t="s">
        <v>19</v>
      </c>
      <c r="C42">
        <v>24</v>
      </c>
      <c r="D42">
        <v>120</v>
      </c>
      <c r="E42">
        <v>5</v>
      </c>
      <c r="F42" t="s">
        <v>25</v>
      </c>
      <c r="G42">
        <v>5</v>
      </c>
      <c r="H42">
        <v>1</v>
      </c>
      <c r="I42">
        <v>0.18</v>
      </c>
      <c r="J42">
        <v>1.82</v>
      </c>
      <c r="K42">
        <f t="shared" si="0"/>
        <v>0.41836734693877553</v>
      </c>
      <c r="L42">
        <v>1</v>
      </c>
      <c r="M42">
        <f t="shared" si="1"/>
        <v>1</v>
      </c>
      <c r="N42">
        <f t="shared" si="2"/>
        <v>0.41836734693877553</v>
      </c>
    </row>
    <row r="43" spans="1:14" x14ac:dyDescent="0.25">
      <c r="A43" t="s">
        <v>64</v>
      </c>
      <c r="B43" t="s">
        <v>15</v>
      </c>
      <c r="C43">
        <v>20</v>
      </c>
      <c r="D43">
        <v>140</v>
      </c>
      <c r="E43">
        <v>7</v>
      </c>
      <c r="F43" t="s">
        <v>42</v>
      </c>
      <c r="G43">
        <v>7</v>
      </c>
      <c r="H43">
        <v>-0.02</v>
      </c>
      <c r="I43">
        <v>-0.86</v>
      </c>
      <c r="J43">
        <v>0.82</v>
      </c>
      <c r="K43">
        <f t="shared" si="0"/>
        <v>0.42857142857142855</v>
      </c>
      <c r="L43">
        <v>1</v>
      </c>
      <c r="M43">
        <f t="shared" si="1"/>
        <v>-0.02</v>
      </c>
      <c r="N43">
        <f t="shared" si="2"/>
        <v>0.42857142857142855</v>
      </c>
    </row>
    <row r="44" spans="1:14" x14ac:dyDescent="0.25">
      <c r="A44" t="s">
        <v>65</v>
      </c>
      <c r="B44" t="s">
        <v>28</v>
      </c>
      <c r="C44">
        <v>20</v>
      </c>
      <c r="D44">
        <v>241</v>
      </c>
      <c r="E44">
        <v>52</v>
      </c>
      <c r="F44" t="s">
        <v>16</v>
      </c>
      <c r="G44">
        <v>52</v>
      </c>
      <c r="H44">
        <v>1.25</v>
      </c>
      <c r="I44">
        <v>0.17</v>
      </c>
      <c r="J44">
        <v>233</v>
      </c>
      <c r="K44">
        <f t="shared" si="0"/>
        <v>59.395408163265309</v>
      </c>
      <c r="L44">
        <v>1</v>
      </c>
      <c r="M44">
        <f t="shared" si="1"/>
        <v>1.25</v>
      </c>
      <c r="N44">
        <f t="shared" si="2"/>
        <v>59.395408163265309</v>
      </c>
    </row>
    <row r="45" spans="1:14" x14ac:dyDescent="0.25">
      <c r="A45" t="s">
        <v>66</v>
      </c>
      <c r="B45" t="s">
        <v>28</v>
      </c>
      <c r="C45">
        <v>20</v>
      </c>
      <c r="D45">
        <v>241</v>
      </c>
      <c r="E45">
        <v>52</v>
      </c>
      <c r="F45" t="s">
        <v>34</v>
      </c>
      <c r="G45">
        <v>52</v>
      </c>
      <c r="H45">
        <v>0.35</v>
      </c>
      <c r="I45">
        <v>-0.64</v>
      </c>
      <c r="J45">
        <v>1.34</v>
      </c>
      <c r="K45">
        <f t="shared" si="0"/>
        <v>0.50510204081632648</v>
      </c>
      <c r="L45">
        <v>1</v>
      </c>
      <c r="M45">
        <f t="shared" si="1"/>
        <v>0.35</v>
      </c>
      <c r="N45">
        <f t="shared" si="2"/>
        <v>0.50510204081632648</v>
      </c>
    </row>
    <row r="46" spans="1:14" x14ac:dyDescent="0.25">
      <c r="A46" t="s">
        <v>21</v>
      </c>
      <c r="B46" t="s">
        <v>22</v>
      </c>
      <c r="C46">
        <v>0</v>
      </c>
      <c r="D46">
        <v>490</v>
      </c>
      <c r="E46">
        <v>98</v>
      </c>
      <c r="F46" t="s">
        <v>16</v>
      </c>
      <c r="G46">
        <v>98</v>
      </c>
      <c r="H46">
        <v>0.25</v>
      </c>
      <c r="I46">
        <v>-0.85</v>
      </c>
      <c r="J46">
        <v>1.34</v>
      </c>
      <c r="K46">
        <f t="shared" si="0"/>
        <v>0.55867346938775508</v>
      </c>
      <c r="L46">
        <v>1</v>
      </c>
      <c r="M46">
        <f t="shared" si="1"/>
        <v>0.25</v>
      </c>
      <c r="N46">
        <f t="shared" si="2"/>
        <v>0.55867346938775508</v>
      </c>
    </row>
    <row r="47" spans="1:14" x14ac:dyDescent="0.25">
      <c r="A47" t="s">
        <v>23</v>
      </c>
      <c r="B47" t="s">
        <v>22</v>
      </c>
      <c r="C47">
        <v>0</v>
      </c>
      <c r="D47">
        <v>490</v>
      </c>
      <c r="E47">
        <v>98</v>
      </c>
      <c r="F47" t="s">
        <v>16</v>
      </c>
      <c r="G47">
        <v>98</v>
      </c>
      <c r="H47">
        <v>0.92</v>
      </c>
      <c r="I47">
        <v>-0.16</v>
      </c>
      <c r="J47">
        <v>1.99</v>
      </c>
      <c r="K47">
        <f t="shared" si="0"/>
        <v>0.54846938775510201</v>
      </c>
      <c r="L47">
        <v>1</v>
      </c>
      <c r="M47">
        <f t="shared" si="1"/>
        <v>0.92</v>
      </c>
      <c r="N47">
        <f t="shared" si="2"/>
        <v>0.54846938775510201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lanhers2017_chest_strength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2026-01-07T13:40:38Z</dcterms:created>
  <dcterms:modified xsi:type="dcterms:W3CDTF">2026-01-07T13:52:21Z</dcterms:modified>
</cp:coreProperties>
</file>