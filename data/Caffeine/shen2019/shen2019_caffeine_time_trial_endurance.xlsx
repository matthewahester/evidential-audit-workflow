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shen2019\"/>
    </mc:Choice>
  </mc:AlternateContent>
  <xr:revisionPtr revIDLastSave="0" documentId="13_ncr:1_{453B88D9-E032-4641-B43B-B827EFCD76E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/>
</calcChain>
</file>

<file path=xl/sharedStrings.xml><?xml version="1.0" encoding="utf-8"?>
<sst xmlns="http://schemas.openxmlformats.org/spreadsheetml/2006/main" count="94" uniqueCount="65">
  <si>
    <t>Author</t>
  </si>
  <si>
    <t>Year</t>
  </si>
  <si>
    <t>Group</t>
  </si>
  <si>
    <t>lCI_d</t>
  </si>
  <si>
    <t>uCI_d</t>
  </si>
  <si>
    <t>Acker-Hewitt</t>
  </si>
  <si>
    <t>Caf v Pla</t>
  </si>
  <si>
    <t>CHO v CHO + Caf</t>
  </si>
  <si>
    <t>Astorino</t>
  </si>
  <si>
    <t>Trained pts</t>
  </si>
  <si>
    <t>Untrained pts</t>
  </si>
  <si>
    <t>Bell</t>
  </si>
  <si>
    <t>Black</t>
  </si>
  <si>
    <t>Leg cycling</t>
  </si>
  <si>
    <t>Arm cycling</t>
  </si>
  <si>
    <t>Carr</t>
  </si>
  <si>
    <t>Cheuvront</t>
  </si>
  <si>
    <t>Collomp</t>
  </si>
  <si>
    <t>Conway</t>
  </si>
  <si>
    <t>Cox</t>
  </si>
  <si>
    <t>Dean</t>
  </si>
  <si>
    <t>Desbrow</t>
  </si>
  <si>
    <t>1.5mg Caf v Pla</t>
  </si>
  <si>
    <t>3mg Caf v Pla</t>
  </si>
  <si>
    <t>6mg Caf v Pla</t>
  </si>
  <si>
    <t>Ganio</t>
  </si>
  <si>
    <t>at 12 Cels ambient temp</t>
  </si>
  <si>
    <t>at 33 Cels ambient temp</t>
  </si>
  <si>
    <t>Hodgson</t>
  </si>
  <si>
    <t>Hulston</t>
  </si>
  <si>
    <t>Hunter</t>
  </si>
  <si>
    <t>Irwin</t>
  </si>
  <si>
    <t>Ivy</t>
  </si>
  <si>
    <t>Jacobson</t>
  </si>
  <si>
    <t>Caf + CHO v Pla + CHO</t>
  </si>
  <si>
    <t>Caf + FAT v Pla + FAT</t>
  </si>
  <si>
    <t>Jenkins</t>
  </si>
  <si>
    <t>1mg Caf v Pla</t>
  </si>
  <si>
    <t>2mg Caf v Pla</t>
  </si>
  <si>
    <t>Kovacs</t>
  </si>
  <si>
    <t>150mg/l v Pla</t>
  </si>
  <si>
    <t>225mg/l v Pla</t>
  </si>
  <si>
    <t>320mg/l v Pla</t>
  </si>
  <si>
    <t>Laurence</t>
  </si>
  <si>
    <t>MacIntosh</t>
  </si>
  <si>
    <t>McNaughton</t>
  </si>
  <si>
    <t>Miller</t>
  </si>
  <si>
    <t>O'Rourke</t>
  </si>
  <si>
    <t>Pitchford</t>
  </si>
  <si>
    <t>Roelands</t>
  </si>
  <si>
    <t>Santos</t>
  </si>
  <si>
    <t>Scott</t>
  </si>
  <si>
    <t>Silva-Cavalcante</t>
  </si>
  <si>
    <t>Skinner</t>
  </si>
  <si>
    <t>4mg Caf v Pla</t>
  </si>
  <si>
    <t>dose timing 1hr pre-event</t>
  </si>
  <si>
    <t>dose timing tailored</t>
  </si>
  <si>
    <t>Slivka</t>
  </si>
  <si>
    <t>Stadheim</t>
  </si>
  <si>
    <t>4.5mg Caf v Pla</t>
  </si>
  <si>
    <t>Wemple</t>
  </si>
  <si>
    <t>g</t>
  </si>
  <si>
    <t>se_g</t>
  </si>
  <si>
    <t>notes</t>
  </si>
  <si>
    <t>d used - could not get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</si>
</sst>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H2" sqref="H2"/>
    </sheetView>
  </sheetViews>
  <sheetFormatPr defaultRowHeight="15" x14ac:dyDescent="0.25"/>
  <cols>
    <col min="1" max="1" width="15.5703125" bestFit="1" customWidth="1"/>
    <col min="2" max="2" width="5" bestFit="1" customWidth="1"/>
    <col min="3" max="3" width="24.42578125" bestFit="1" customWidth="1"/>
    <col min="4" max="4" width="5.7109375" bestFit="1" customWidth="1"/>
    <col min="5" max="5" width="6.7109375" bestFit="1" customWidth="1"/>
    <col min="6" max="6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61</v>
      </c>
      <c r="E1" t="s">
        <v>3</v>
      </c>
      <c r="F1" t="s">
        <v>4</v>
      </c>
      <c r="G1" t="s">
        <v>62</v>
      </c>
      <c r="H1" t="s">
        <v>63</v>
      </c>
    </row>
    <row r="2" spans="1:8" x14ac:dyDescent="0.25">
      <c r="A2" t="s">
        <v>5</v>
      </c>
      <c r="B2">
        <v>2012</v>
      </c>
      <c r="C2" t="s">
        <v>6</v>
      </c>
      <c r="D2">
        <v>0.13</v>
      </c>
      <c r="E2">
        <v>-0.752</v>
      </c>
      <c r="F2">
        <v>1.012</v>
      </c>
      <c r="G2">
        <f>(F2-E2)/2/1.96</f>
        <v>0.45</v>
      </c>
      <c r="H2" t="s">
        <v>64</v>
      </c>
    </row>
    <row r="3" spans="1:8" x14ac:dyDescent="0.25">
      <c r="A3" t="s">
        <v>5</v>
      </c>
      <c r="B3">
        <v>2012</v>
      </c>
      <c r="C3" t="s">
        <v>7</v>
      </c>
      <c r="D3">
        <v>0.27</v>
      </c>
      <c r="E3">
        <v>-0.61199999999999999</v>
      </c>
      <c r="F3">
        <v>1.1519999999999999</v>
      </c>
      <c r="G3">
        <f t="shared" ref="G3:G57" si="0">(F3-E3)/2/1.96</f>
        <v>0.44999999999999996</v>
      </c>
    </row>
    <row r="4" spans="1:8" x14ac:dyDescent="0.25">
      <c r="A4" t="s">
        <v>8</v>
      </c>
      <c r="B4">
        <v>2012</v>
      </c>
      <c r="C4" t="s">
        <v>9</v>
      </c>
      <c r="D4">
        <v>0.31</v>
      </c>
      <c r="E4">
        <v>-0.67</v>
      </c>
      <c r="F4">
        <v>1.29</v>
      </c>
      <c r="G4">
        <f t="shared" si="0"/>
        <v>0.5</v>
      </c>
    </row>
    <row r="5" spans="1:8" x14ac:dyDescent="0.25">
      <c r="A5" t="s">
        <v>8</v>
      </c>
      <c r="B5">
        <v>2012</v>
      </c>
      <c r="C5" t="s">
        <v>10</v>
      </c>
      <c r="D5">
        <v>0.19</v>
      </c>
      <c r="E5">
        <v>-0.79</v>
      </c>
      <c r="F5">
        <v>1.17</v>
      </c>
      <c r="G5">
        <f t="shared" si="0"/>
        <v>0.5</v>
      </c>
    </row>
    <row r="6" spans="1:8" x14ac:dyDescent="0.25">
      <c r="A6" t="s">
        <v>8</v>
      </c>
      <c r="B6">
        <v>2012</v>
      </c>
      <c r="C6">
        <v>21</v>
      </c>
      <c r="D6">
        <v>0.31</v>
      </c>
      <c r="E6">
        <v>-0.61099999999999999</v>
      </c>
      <c r="F6">
        <v>1.2310000000000001</v>
      </c>
      <c r="G6">
        <f t="shared" si="0"/>
        <v>0.4698979591836735</v>
      </c>
    </row>
    <row r="7" spans="1:8" x14ac:dyDescent="0.25">
      <c r="A7" t="s">
        <v>8</v>
      </c>
      <c r="B7">
        <v>2012</v>
      </c>
      <c r="C7">
        <v>22</v>
      </c>
      <c r="D7">
        <v>0.48</v>
      </c>
      <c r="E7">
        <v>-0.40200000000000002</v>
      </c>
      <c r="F7">
        <v>1.3620000000000001</v>
      </c>
      <c r="G7">
        <f t="shared" si="0"/>
        <v>0.45000000000000007</v>
      </c>
    </row>
    <row r="8" spans="1:8" x14ac:dyDescent="0.25">
      <c r="A8" t="s">
        <v>11</v>
      </c>
      <c r="B8">
        <v>2002</v>
      </c>
      <c r="D8">
        <v>0.27</v>
      </c>
      <c r="E8">
        <v>-0.53400000000000003</v>
      </c>
      <c r="F8">
        <v>1.0740000000000001</v>
      </c>
      <c r="G8">
        <f t="shared" si="0"/>
        <v>0.41020408163265309</v>
      </c>
    </row>
    <row r="9" spans="1:8" x14ac:dyDescent="0.25">
      <c r="A9" t="s">
        <v>12</v>
      </c>
      <c r="B9">
        <v>2015</v>
      </c>
      <c r="C9" t="s">
        <v>13</v>
      </c>
      <c r="D9">
        <v>0.13</v>
      </c>
      <c r="E9">
        <v>-0.61499999999999999</v>
      </c>
      <c r="F9">
        <v>0.875</v>
      </c>
      <c r="G9">
        <f t="shared" si="0"/>
        <v>0.38010204081632654</v>
      </c>
    </row>
    <row r="10" spans="1:8" x14ac:dyDescent="0.25">
      <c r="A10" t="s">
        <v>12</v>
      </c>
      <c r="B10">
        <v>2015</v>
      </c>
      <c r="C10" t="s">
        <v>14</v>
      </c>
      <c r="D10">
        <v>7.0000000000000007E-2</v>
      </c>
      <c r="E10">
        <v>-0.67500000000000004</v>
      </c>
      <c r="F10">
        <v>0.81499999999999995</v>
      </c>
      <c r="G10">
        <f t="shared" si="0"/>
        <v>0.38010204081632654</v>
      </c>
    </row>
    <row r="11" spans="1:8" x14ac:dyDescent="0.25">
      <c r="A11" t="s">
        <v>15</v>
      </c>
      <c r="B11">
        <v>2011</v>
      </c>
      <c r="D11">
        <v>0.13</v>
      </c>
      <c r="E11">
        <v>-0.85</v>
      </c>
      <c r="F11">
        <v>1.1100000000000001</v>
      </c>
      <c r="G11">
        <f t="shared" si="0"/>
        <v>0.5</v>
      </c>
    </row>
    <row r="12" spans="1:8" x14ac:dyDescent="0.25">
      <c r="A12" t="s">
        <v>16</v>
      </c>
      <c r="B12">
        <v>2009</v>
      </c>
      <c r="D12">
        <v>0.13</v>
      </c>
      <c r="E12">
        <v>-0.752</v>
      </c>
      <c r="F12">
        <v>1.012</v>
      </c>
      <c r="G12">
        <f t="shared" si="0"/>
        <v>0.45</v>
      </c>
    </row>
    <row r="13" spans="1:8" x14ac:dyDescent="0.25">
      <c r="A13" t="s">
        <v>17</v>
      </c>
      <c r="B13">
        <v>2002</v>
      </c>
      <c r="D13">
        <v>0.12</v>
      </c>
      <c r="E13">
        <v>-0.86</v>
      </c>
      <c r="F13">
        <v>1.1000000000000001</v>
      </c>
      <c r="G13">
        <f t="shared" si="0"/>
        <v>0.5</v>
      </c>
    </row>
    <row r="14" spans="1:8" x14ac:dyDescent="0.25">
      <c r="A14" t="s">
        <v>18</v>
      </c>
      <c r="B14">
        <v>2003</v>
      </c>
      <c r="D14">
        <v>0.54</v>
      </c>
      <c r="E14">
        <v>-0.46</v>
      </c>
      <c r="F14">
        <v>1.54</v>
      </c>
      <c r="G14">
        <f t="shared" si="0"/>
        <v>0.51020408163265307</v>
      </c>
    </row>
    <row r="15" spans="1:8" x14ac:dyDescent="0.25">
      <c r="A15" t="s">
        <v>19</v>
      </c>
      <c r="B15">
        <v>2002</v>
      </c>
      <c r="D15">
        <v>0.41</v>
      </c>
      <c r="E15">
        <v>-0.39400000000000002</v>
      </c>
      <c r="F15">
        <v>1.214</v>
      </c>
      <c r="G15">
        <f t="shared" si="0"/>
        <v>0.41020408163265309</v>
      </c>
    </row>
    <row r="16" spans="1:8" x14ac:dyDescent="0.25">
      <c r="A16" t="s">
        <v>20</v>
      </c>
      <c r="B16">
        <v>2009</v>
      </c>
      <c r="D16">
        <v>0.23</v>
      </c>
      <c r="E16">
        <v>-0.75</v>
      </c>
      <c r="F16">
        <v>1.21</v>
      </c>
      <c r="G16">
        <f t="shared" si="0"/>
        <v>0.5</v>
      </c>
    </row>
    <row r="17" spans="1:7" x14ac:dyDescent="0.25">
      <c r="A17" t="s">
        <v>21</v>
      </c>
      <c r="B17">
        <v>2009</v>
      </c>
      <c r="C17" t="s">
        <v>22</v>
      </c>
      <c r="D17">
        <v>-0.08</v>
      </c>
      <c r="E17">
        <v>-1.0009999999999999</v>
      </c>
      <c r="F17">
        <v>0.84099999999999997</v>
      </c>
      <c r="G17">
        <f t="shared" si="0"/>
        <v>0.46989795918367344</v>
      </c>
    </row>
    <row r="18" spans="1:7" x14ac:dyDescent="0.25">
      <c r="A18" t="s">
        <v>21</v>
      </c>
      <c r="B18">
        <v>2009</v>
      </c>
      <c r="C18" t="s">
        <v>23</v>
      </c>
      <c r="D18">
        <v>0.17</v>
      </c>
      <c r="E18">
        <v>-0.751</v>
      </c>
      <c r="F18">
        <v>1.091</v>
      </c>
      <c r="G18">
        <f t="shared" si="0"/>
        <v>0.4698979591836735</v>
      </c>
    </row>
    <row r="19" spans="1:7" x14ac:dyDescent="0.25">
      <c r="A19" t="s">
        <v>21</v>
      </c>
      <c r="B19">
        <v>2012</v>
      </c>
      <c r="C19" t="s">
        <v>23</v>
      </c>
      <c r="D19">
        <v>0.52</v>
      </c>
      <c r="E19">
        <v>-0.186</v>
      </c>
      <c r="F19">
        <v>1.226</v>
      </c>
      <c r="G19">
        <f t="shared" si="0"/>
        <v>0.36020408163265305</v>
      </c>
    </row>
    <row r="20" spans="1:7" x14ac:dyDescent="0.25">
      <c r="A20" t="s">
        <v>21</v>
      </c>
      <c r="B20">
        <v>2012</v>
      </c>
      <c r="C20" t="s">
        <v>24</v>
      </c>
      <c r="D20">
        <v>0.36</v>
      </c>
      <c r="E20">
        <v>-0.34599999999999997</v>
      </c>
      <c r="F20">
        <v>1.0660000000000001</v>
      </c>
      <c r="G20">
        <f t="shared" si="0"/>
        <v>0.36020408163265305</v>
      </c>
    </row>
    <row r="21" spans="1:7" x14ac:dyDescent="0.25">
      <c r="A21" t="s">
        <v>25</v>
      </c>
      <c r="B21">
        <v>2011</v>
      </c>
      <c r="C21" t="s">
        <v>26</v>
      </c>
      <c r="D21">
        <v>0.24</v>
      </c>
      <c r="E21">
        <v>-0.60299999999999998</v>
      </c>
      <c r="F21">
        <v>1.083</v>
      </c>
      <c r="G21">
        <f t="shared" si="0"/>
        <v>0.43010204081632653</v>
      </c>
    </row>
    <row r="22" spans="1:7" x14ac:dyDescent="0.25">
      <c r="A22" t="s">
        <v>25</v>
      </c>
      <c r="B22">
        <v>2011</v>
      </c>
      <c r="C22" t="s">
        <v>27</v>
      </c>
      <c r="D22">
        <v>0.34</v>
      </c>
      <c r="E22">
        <v>-0.503</v>
      </c>
      <c r="F22">
        <v>1.1830000000000001</v>
      </c>
      <c r="G22">
        <f t="shared" si="0"/>
        <v>0.43010204081632653</v>
      </c>
    </row>
    <row r="23" spans="1:7" x14ac:dyDescent="0.25">
      <c r="A23" t="s">
        <v>28</v>
      </c>
      <c r="B23">
        <v>2013</v>
      </c>
      <c r="D23">
        <v>1.38</v>
      </c>
      <c r="E23">
        <v>0.28199999999999997</v>
      </c>
      <c r="F23">
        <v>2.4780000000000002</v>
      </c>
      <c r="G23">
        <f t="shared" si="0"/>
        <v>0.56020408163265312</v>
      </c>
    </row>
    <row r="24" spans="1:7" x14ac:dyDescent="0.25">
      <c r="A24" t="s">
        <v>29</v>
      </c>
      <c r="B24">
        <v>2008</v>
      </c>
      <c r="D24">
        <v>0.65</v>
      </c>
      <c r="E24">
        <v>-0.252</v>
      </c>
      <c r="F24">
        <v>1.552</v>
      </c>
      <c r="G24">
        <f t="shared" si="0"/>
        <v>0.46020408163265308</v>
      </c>
    </row>
    <row r="25" spans="1:7" x14ac:dyDescent="0.25">
      <c r="A25" t="s">
        <v>30</v>
      </c>
      <c r="B25">
        <v>2002</v>
      </c>
      <c r="D25">
        <v>0.18</v>
      </c>
      <c r="E25">
        <v>-0.8</v>
      </c>
      <c r="F25">
        <v>1.1599999999999999</v>
      </c>
      <c r="G25">
        <f t="shared" si="0"/>
        <v>0.5</v>
      </c>
    </row>
    <row r="26" spans="1:7" x14ac:dyDescent="0.25">
      <c r="A26" t="s">
        <v>31</v>
      </c>
      <c r="B26">
        <v>2011</v>
      </c>
      <c r="D26">
        <v>0.4</v>
      </c>
      <c r="E26">
        <v>-0.40400000000000003</v>
      </c>
      <c r="F26">
        <v>1.204</v>
      </c>
      <c r="G26">
        <f t="shared" si="0"/>
        <v>0.41020408163265309</v>
      </c>
    </row>
    <row r="27" spans="1:7" x14ac:dyDescent="0.25">
      <c r="A27" t="s">
        <v>32</v>
      </c>
      <c r="B27">
        <v>1979</v>
      </c>
      <c r="D27">
        <v>1.99</v>
      </c>
      <c r="E27">
        <v>0.85299999999999998</v>
      </c>
      <c r="F27">
        <v>3.1269999999999998</v>
      </c>
      <c r="G27">
        <f t="shared" si="0"/>
        <v>0.58010204081632655</v>
      </c>
    </row>
    <row r="28" spans="1:7" x14ac:dyDescent="0.25">
      <c r="A28" t="s">
        <v>33</v>
      </c>
      <c r="B28">
        <v>2000</v>
      </c>
      <c r="C28" t="s">
        <v>34</v>
      </c>
      <c r="D28">
        <v>0.19</v>
      </c>
      <c r="E28">
        <v>-0.79</v>
      </c>
      <c r="F28">
        <v>1.17</v>
      </c>
      <c r="G28">
        <f t="shared" si="0"/>
        <v>0.5</v>
      </c>
    </row>
    <row r="29" spans="1:7" x14ac:dyDescent="0.25">
      <c r="A29" t="s">
        <v>33</v>
      </c>
      <c r="B29">
        <v>2000</v>
      </c>
      <c r="C29" t="s">
        <v>35</v>
      </c>
      <c r="D29">
        <v>0.03</v>
      </c>
      <c r="E29">
        <v>-0.95</v>
      </c>
      <c r="F29">
        <v>1.01</v>
      </c>
      <c r="G29">
        <f t="shared" si="0"/>
        <v>0.5</v>
      </c>
    </row>
    <row r="30" spans="1:7" x14ac:dyDescent="0.25">
      <c r="A30" t="s">
        <v>36</v>
      </c>
      <c r="B30">
        <v>2008</v>
      </c>
      <c r="C30" t="s">
        <v>37</v>
      </c>
      <c r="D30">
        <v>-0.04</v>
      </c>
      <c r="E30">
        <v>-0.80400000000000005</v>
      </c>
      <c r="F30">
        <v>0.72399999999999998</v>
      </c>
      <c r="G30">
        <f t="shared" si="0"/>
        <v>0.38979591836734695</v>
      </c>
    </row>
    <row r="31" spans="1:7" x14ac:dyDescent="0.25">
      <c r="A31" t="s">
        <v>36</v>
      </c>
      <c r="B31">
        <v>2008</v>
      </c>
      <c r="C31" t="s">
        <v>38</v>
      </c>
      <c r="D31">
        <v>0.21</v>
      </c>
      <c r="E31">
        <v>-0.55400000000000005</v>
      </c>
      <c r="F31">
        <v>0.97399999999999998</v>
      </c>
      <c r="G31">
        <f t="shared" si="0"/>
        <v>0.38979591836734695</v>
      </c>
    </row>
    <row r="32" spans="1:7" x14ac:dyDescent="0.25">
      <c r="A32" t="s">
        <v>36</v>
      </c>
      <c r="B32">
        <v>2008</v>
      </c>
      <c r="C32" t="s">
        <v>23</v>
      </c>
      <c r="D32">
        <v>0.15</v>
      </c>
      <c r="E32">
        <v>-0.61399999999999999</v>
      </c>
      <c r="F32">
        <v>0.91400000000000003</v>
      </c>
      <c r="G32">
        <f t="shared" si="0"/>
        <v>0.38979591836734695</v>
      </c>
    </row>
    <row r="33" spans="1:7" x14ac:dyDescent="0.25">
      <c r="A33" t="s">
        <v>39</v>
      </c>
      <c r="B33">
        <v>1998</v>
      </c>
      <c r="C33" t="s">
        <v>40</v>
      </c>
      <c r="D33">
        <v>0.28000000000000003</v>
      </c>
      <c r="E33">
        <v>-0.46500000000000002</v>
      </c>
      <c r="F33">
        <v>1.0249999999999999</v>
      </c>
      <c r="G33">
        <f t="shared" si="0"/>
        <v>0.38010204081632654</v>
      </c>
    </row>
    <row r="34" spans="1:7" x14ac:dyDescent="0.25">
      <c r="A34" t="s">
        <v>39</v>
      </c>
      <c r="B34">
        <v>1998</v>
      </c>
      <c r="C34" t="s">
        <v>41</v>
      </c>
      <c r="D34">
        <v>0.66</v>
      </c>
      <c r="E34">
        <v>-0.104</v>
      </c>
      <c r="F34">
        <v>1.4239999999999999</v>
      </c>
      <c r="G34">
        <f t="shared" si="0"/>
        <v>0.38979591836734695</v>
      </c>
    </row>
    <row r="35" spans="1:7" x14ac:dyDescent="0.25">
      <c r="A35" t="s">
        <v>39</v>
      </c>
      <c r="B35">
        <v>1998</v>
      </c>
      <c r="C35" t="s">
        <v>42</v>
      </c>
      <c r="D35">
        <v>0.6</v>
      </c>
      <c r="E35">
        <v>-0.16400000000000001</v>
      </c>
      <c r="F35">
        <v>1.3640000000000001</v>
      </c>
      <c r="G35">
        <f t="shared" si="0"/>
        <v>0.38979591836734695</v>
      </c>
    </row>
    <row r="36" spans="1:7" x14ac:dyDescent="0.25">
      <c r="A36" t="s">
        <v>43</v>
      </c>
      <c r="B36">
        <v>2012</v>
      </c>
      <c r="D36">
        <v>0.24</v>
      </c>
      <c r="E36">
        <v>-0.56399999999999995</v>
      </c>
      <c r="F36">
        <v>1.044</v>
      </c>
      <c r="G36">
        <f t="shared" si="0"/>
        <v>0.41020408163265309</v>
      </c>
    </row>
    <row r="37" spans="1:7" x14ac:dyDescent="0.25">
      <c r="A37" t="s">
        <v>44</v>
      </c>
      <c r="B37">
        <v>1995</v>
      </c>
      <c r="D37">
        <v>0.25</v>
      </c>
      <c r="E37">
        <v>-0.59299999999999997</v>
      </c>
      <c r="F37">
        <v>1.093</v>
      </c>
      <c r="G37">
        <f t="shared" si="0"/>
        <v>0.43010204081632653</v>
      </c>
    </row>
    <row r="38" spans="1:7" x14ac:dyDescent="0.25">
      <c r="A38" t="s">
        <v>45</v>
      </c>
      <c r="B38">
        <v>2008</v>
      </c>
      <c r="C38">
        <v>44</v>
      </c>
      <c r="D38">
        <v>1.1399999999999999</v>
      </c>
      <c r="E38">
        <v>-7.4999999999999997E-2</v>
      </c>
      <c r="F38">
        <v>2.355</v>
      </c>
      <c r="G38">
        <f t="shared" si="0"/>
        <v>0.61989795918367352</v>
      </c>
    </row>
    <row r="39" spans="1:7" x14ac:dyDescent="0.25">
      <c r="A39" t="s">
        <v>45</v>
      </c>
      <c r="B39">
        <v>2008</v>
      </c>
      <c r="C39">
        <v>45</v>
      </c>
      <c r="D39">
        <v>0.79</v>
      </c>
      <c r="E39">
        <v>-0.22900000000000001</v>
      </c>
      <c r="F39">
        <v>1.8089999999999999</v>
      </c>
      <c r="G39">
        <f t="shared" si="0"/>
        <v>0.51989795918367343</v>
      </c>
    </row>
    <row r="40" spans="1:7" x14ac:dyDescent="0.25">
      <c r="A40" t="s">
        <v>46</v>
      </c>
      <c r="B40">
        <v>2014</v>
      </c>
      <c r="D40">
        <v>0.24</v>
      </c>
      <c r="E40">
        <v>-0.89700000000000002</v>
      </c>
      <c r="F40">
        <v>1.377</v>
      </c>
      <c r="G40">
        <f t="shared" si="0"/>
        <v>0.58010204081632655</v>
      </c>
    </row>
    <row r="41" spans="1:7" x14ac:dyDescent="0.25">
      <c r="A41" t="s">
        <v>47</v>
      </c>
      <c r="B41">
        <v>2008</v>
      </c>
      <c r="C41" t="s">
        <v>9</v>
      </c>
      <c r="D41">
        <v>0.16</v>
      </c>
      <c r="E41">
        <v>-0.56499999999999995</v>
      </c>
      <c r="F41">
        <v>0.88500000000000001</v>
      </c>
      <c r="G41">
        <f t="shared" si="0"/>
        <v>0.36989795918367346</v>
      </c>
    </row>
    <row r="42" spans="1:7" x14ac:dyDescent="0.25">
      <c r="A42" t="s">
        <v>47</v>
      </c>
      <c r="B42">
        <v>2008</v>
      </c>
      <c r="C42" t="s">
        <v>10</v>
      </c>
      <c r="D42">
        <v>0.14000000000000001</v>
      </c>
      <c r="E42">
        <v>-0.58499999999999996</v>
      </c>
      <c r="F42">
        <v>0.86499999999999999</v>
      </c>
      <c r="G42">
        <f t="shared" si="0"/>
        <v>0.36989795918367346</v>
      </c>
    </row>
    <row r="43" spans="1:7" x14ac:dyDescent="0.25">
      <c r="A43" t="s">
        <v>48</v>
      </c>
      <c r="B43">
        <v>2014</v>
      </c>
      <c r="D43">
        <v>0.79</v>
      </c>
      <c r="E43">
        <v>-0.17</v>
      </c>
      <c r="F43">
        <v>1.75</v>
      </c>
      <c r="G43">
        <f t="shared" si="0"/>
        <v>0.48979591836734693</v>
      </c>
    </row>
    <row r="44" spans="1:7" x14ac:dyDescent="0.25">
      <c r="A44" t="s">
        <v>49</v>
      </c>
      <c r="B44">
        <v>2011</v>
      </c>
      <c r="D44">
        <v>-0.25</v>
      </c>
      <c r="E44">
        <v>-1.23</v>
      </c>
      <c r="F44">
        <v>0.73</v>
      </c>
      <c r="G44">
        <f t="shared" si="0"/>
        <v>0.5</v>
      </c>
    </row>
    <row r="45" spans="1:7" x14ac:dyDescent="0.25">
      <c r="A45" t="s">
        <v>50</v>
      </c>
      <c r="B45">
        <v>2013</v>
      </c>
      <c r="D45">
        <v>0.8</v>
      </c>
      <c r="E45">
        <v>-0.219</v>
      </c>
      <c r="F45">
        <v>1.819</v>
      </c>
      <c r="G45">
        <f t="shared" si="0"/>
        <v>0.51989795918367343</v>
      </c>
    </row>
    <row r="46" spans="1:7" x14ac:dyDescent="0.25">
      <c r="A46" t="s">
        <v>51</v>
      </c>
      <c r="B46">
        <v>2015</v>
      </c>
      <c r="D46">
        <v>0.2</v>
      </c>
      <c r="E46">
        <v>-0.56399999999999995</v>
      </c>
      <c r="F46">
        <v>0.96399999999999997</v>
      </c>
      <c r="G46">
        <f t="shared" si="0"/>
        <v>0.38979591836734695</v>
      </c>
    </row>
    <row r="47" spans="1:7" x14ac:dyDescent="0.25">
      <c r="A47" t="s">
        <v>52</v>
      </c>
      <c r="B47">
        <v>2013</v>
      </c>
      <c r="D47">
        <v>1.1100000000000001</v>
      </c>
      <c r="E47">
        <v>-7.0000000000000001E-3</v>
      </c>
      <c r="F47">
        <v>2.2269999999999999</v>
      </c>
      <c r="G47">
        <f t="shared" si="0"/>
        <v>0.56989795918367347</v>
      </c>
    </row>
    <row r="48" spans="1:7" x14ac:dyDescent="0.25">
      <c r="A48" t="s">
        <v>53</v>
      </c>
      <c r="B48">
        <v>2010</v>
      </c>
      <c r="C48" t="s">
        <v>38</v>
      </c>
      <c r="D48">
        <v>0.06</v>
      </c>
      <c r="E48">
        <v>-0.82199999999999995</v>
      </c>
      <c r="F48">
        <v>0.94199999999999995</v>
      </c>
      <c r="G48">
        <f t="shared" si="0"/>
        <v>0.44999999999999996</v>
      </c>
    </row>
    <row r="49" spans="1:7" x14ac:dyDescent="0.25">
      <c r="A49" t="s">
        <v>53</v>
      </c>
      <c r="B49">
        <v>2010</v>
      </c>
      <c r="C49" t="s">
        <v>54</v>
      </c>
      <c r="D49">
        <v>0.12</v>
      </c>
      <c r="E49">
        <v>-0.76200000000000001</v>
      </c>
      <c r="F49">
        <v>1.002</v>
      </c>
      <c r="G49">
        <f t="shared" si="0"/>
        <v>0.45</v>
      </c>
    </row>
    <row r="50" spans="1:7" x14ac:dyDescent="0.25">
      <c r="A50" t="s">
        <v>53</v>
      </c>
      <c r="B50">
        <v>2010</v>
      </c>
      <c r="C50" t="s">
        <v>24</v>
      </c>
      <c r="D50">
        <v>0.06</v>
      </c>
      <c r="E50">
        <v>-0.82199999999999995</v>
      </c>
      <c r="F50">
        <v>0.94199999999999995</v>
      </c>
      <c r="G50">
        <f t="shared" si="0"/>
        <v>0.44999999999999996</v>
      </c>
    </row>
    <row r="51" spans="1:7" x14ac:dyDescent="0.25">
      <c r="A51" t="s">
        <v>53</v>
      </c>
      <c r="B51">
        <v>2013</v>
      </c>
      <c r="C51" t="s">
        <v>55</v>
      </c>
      <c r="D51">
        <v>0.63</v>
      </c>
      <c r="E51">
        <v>-0.124</v>
      </c>
      <c r="F51">
        <v>1.4039999999999999</v>
      </c>
      <c r="G51">
        <f t="shared" si="0"/>
        <v>0.38979591836734695</v>
      </c>
    </row>
    <row r="52" spans="1:7" x14ac:dyDescent="0.25">
      <c r="A52" t="s">
        <v>53</v>
      </c>
      <c r="B52">
        <v>2013</v>
      </c>
      <c r="C52" t="s">
        <v>56</v>
      </c>
      <c r="D52">
        <v>0.28000000000000003</v>
      </c>
      <c r="E52">
        <v>-0.46500000000000002</v>
      </c>
      <c r="F52">
        <v>1.0249999999999999</v>
      </c>
      <c r="G52">
        <f t="shared" si="0"/>
        <v>0.38010204081632654</v>
      </c>
    </row>
    <row r="53" spans="1:7" x14ac:dyDescent="0.25">
      <c r="A53" t="s">
        <v>57</v>
      </c>
      <c r="B53">
        <v>2008</v>
      </c>
      <c r="D53">
        <v>0.25</v>
      </c>
      <c r="E53">
        <v>-0.67100000000000004</v>
      </c>
      <c r="F53">
        <v>1.171</v>
      </c>
      <c r="G53">
        <f t="shared" si="0"/>
        <v>0.4698979591836735</v>
      </c>
    </row>
    <row r="54" spans="1:7" x14ac:dyDescent="0.25">
      <c r="A54" t="s">
        <v>58</v>
      </c>
      <c r="B54">
        <v>2013</v>
      </c>
      <c r="D54">
        <v>0.32</v>
      </c>
      <c r="E54">
        <v>-0.56200000000000006</v>
      </c>
      <c r="F54">
        <v>1.202</v>
      </c>
      <c r="G54">
        <f t="shared" si="0"/>
        <v>0.45</v>
      </c>
    </row>
    <row r="55" spans="1:7" x14ac:dyDescent="0.25">
      <c r="A55" t="s">
        <v>58</v>
      </c>
      <c r="B55">
        <v>2014</v>
      </c>
      <c r="C55" t="s">
        <v>23</v>
      </c>
      <c r="D55">
        <v>0.7</v>
      </c>
      <c r="E55">
        <v>-0.31900000000000001</v>
      </c>
      <c r="F55">
        <v>1.7190000000000001</v>
      </c>
      <c r="G55">
        <f t="shared" si="0"/>
        <v>0.51989795918367354</v>
      </c>
    </row>
    <row r="56" spans="1:7" x14ac:dyDescent="0.25">
      <c r="A56" t="s">
        <v>58</v>
      </c>
      <c r="B56">
        <v>2014</v>
      </c>
      <c r="C56" t="s">
        <v>59</v>
      </c>
      <c r="D56">
        <v>0.75</v>
      </c>
      <c r="E56">
        <v>-0.26900000000000002</v>
      </c>
      <c r="F56">
        <v>1.7689999999999999</v>
      </c>
      <c r="G56">
        <f t="shared" si="0"/>
        <v>0.51989795918367343</v>
      </c>
    </row>
    <row r="57" spans="1:7" x14ac:dyDescent="0.25">
      <c r="A57" t="s">
        <v>60</v>
      </c>
      <c r="B57">
        <v>1997</v>
      </c>
      <c r="D57">
        <v>-0.01</v>
      </c>
      <c r="E57">
        <v>-1.147</v>
      </c>
      <c r="F57">
        <v>1.127</v>
      </c>
      <c r="G57">
        <f t="shared" si="0"/>
        <v>0.58010204081632655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2026-03-08T00:45:51Z</dcterms:modified>
</cp:coreProperties>
</file>