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cai2012\"/>
    </mc:Choice>
  </mc:AlternateContent>
  <xr:revisionPtr revIDLastSave="0" documentId="13_ncr:1_{4B2CE4B6-FD9E-440A-A89D-9CA323592B15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5" i="1"/>
  <c r="K16" i="1"/>
  <c r="K17" i="1"/>
  <c r="K18" i="1"/>
  <c r="K13" i="1"/>
  <c r="L13" i="1" s="1"/>
  <c r="K3" i="1"/>
  <c r="K4" i="1"/>
  <c r="K5" i="1"/>
  <c r="K6" i="1"/>
  <c r="L6" i="1" s="1"/>
  <c r="N6" i="1" s="1"/>
  <c r="K7" i="1"/>
  <c r="K8" i="1"/>
  <c r="L8" i="1" s="1"/>
  <c r="N8" i="1" s="1"/>
  <c r="K9" i="1"/>
  <c r="K10" i="1"/>
  <c r="O10" i="1" s="1"/>
  <c r="K11" i="1"/>
  <c r="K12" i="1"/>
  <c r="L12" i="1" s="1"/>
  <c r="K2" i="1"/>
  <c r="J14" i="1"/>
  <c r="M14" i="1"/>
  <c r="J15" i="1"/>
  <c r="O15" i="1"/>
  <c r="M15" i="1"/>
  <c r="J16" i="1"/>
  <c r="M16" i="1"/>
  <c r="J17" i="1"/>
  <c r="M17" i="1"/>
  <c r="J18" i="1"/>
  <c r="M18" i="1"/>
  <c r="J13" i="1"/>
  <c r="M13" i="1"/>
  <c r="J3" i="1"/>
  <c r="M3" i="1"/>
  <c r="J4" i="1"/>
  <c r="M4" i="1"/>
  <c r="J5" i="1"/>
  <c r="L5" i="1" s="1"/>
  <c r="M5" i="1"/>
  <c r="N5" i="1" s="1"/>
  <c r="J6" i="1"/>
  <c r="M6" i="1"/>
  <c r="J7" i="1"/>
  <c r="L7" i="1" s="1"/>
  <c r="M7" i="1"/>
  <c r="J8" i="1"/>
  <c r="M8" i="1"/>
  <c r="J9" i="1"/>
  <c r="M9" i="1"/>
  <c r="J10" i="1"/>
  <c r="M10" i="1"/>
  <c r="J11" i="1"/>
  <c r="L11" i="1" s="1"/>
  <c r="M11" i="1"/>
  <c r="J12" i="1"/>
  <c r="M12" i="1"/>
  <c r="M2" i="1"/>
  <c r="J2" i="1"/>
  <c r="L2" i="1" s="1"/>
  <c r="L17" i="1" l="1"/>
  <c r="L10" i="1"/>
  <c r="N10" i="1" s="1"/>
  <c r="O6" i="1"/>
  <c r="O12" i="1"/>
  <c r="O8" i="1"/>
  <c r="N12" i="1"/>
  <c r="L9" i="1"/>
  <c r="N9" i="1" s="1"/>
  <c r="N11" i="1"/>
  <c r="L18" i="1"/>
  <c r="O18" i="1"/>
  <c r="N18" i="1"/>
  <c r="L16" i="1"/>
  <c r="N16" i="1" s="1"/>
  <c r="O16" i="1"/>
  <c r="N17" i="1"/>
  <c r="L14" i="1"/>
  <c r="N14" i="1" s="1"/>
  <c r="O14" i="1"/>
  <c r="O17" i="1"/>
  <c r="L15" i="1"/>
  <c r="N15" i="1" s="1"/>
  <c r="O13" i="1"/>
  <c r="N13" i="1"/>
  <c r="O4" i="1"/>
  <c r="L4" i="1"/>
  <c r="N4" i="1" s="1"/>
  <c r="N7" i="1"/>
  <c r="L3" i="1"/>
  <c r="N3" i="1" s="1"/>
  <c r="O3" i="1"/>
  <c r="O11" i="1"/>
  <c r="O9" i="1"/>
  <c r="O7" i="1"/>
  <c r="O5" i="1"/>
  <c r="O2" i="1"/>
  <c r="N2" i="1"/>
</calcChain>
</file>

<file path=xl/sharedStrings.xml><?xml version="1.0" encoding="utf-8"?>
<sst xmlns="http://schemas.openxmlformats.org/spreadsheetml/2006/main" count="49" uniqueCount="34">
  <si>
    <t>Author</t>
  </si>
  <si>
    <t>Year</t>
  </si>
  <si>
    <t>n_treat</t>
  </si>
  <si>
    <t>n_control</t>
  </si>
  <si>
    <t>n</t>
  </si>
  <si>
    <t>design</t>
  </si>
  <si>
    <t>D'amicia</t>
  </si>
  <si>
    <t>P</t>
  </si>
  <si>
    <t>D'amicib</t>
  </si>
  <si>
    <t>Frieda</t>
  </si>
  <si>
    <t>Friedb</t>
  </si>
  <si>
    <t>Friedc</t>
  </si>
  <si>
    <t>Superkoa</t>
  </si>
  <si>
    <t>Superkob</t>
  </si>
  <si>
    <t>Vana</t>
  </si>
  <si>
    <t>Vanb</t>
  </si>
  <si>
    <t>Baka</t>
  </si>
  <si>
    <t>Bakb</t>
  </si>
  <si>
    <t>Rosmarin</t>
  </si>
  <si>
    <t>X</t>
  </si>
  <si>
    <t>Aroa</t>
  </si>
  <si>
    <t>Arob</t>
  </si>
  <si>
    <t>Burra</t>
  </si>
  <si>
    <t>Burrb</t>
  </si>
  <si>
    <t>Burr</t>
  </si>
  <si>
    <t>wmd</t>
  </si>
  <si>
    <t>lCI_wmd</t>
  </si>
  <si>
    <t>uCI_wmd</t>
  </si>
  <si>
    <t>se_wmd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</si>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</sst>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B1" workbookViewId="0">
      <selection activeCell="L7" sqref="L7"/>
    </sheetView>
  </sheetViews>
  <sheetFormatPr defaultRowHeight="15" x14ac:dyDescent="0.25"/>
  <cols>
    <col min="1" max="1" width="1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25">
      <c r="A2" t="s">
        <v>6</v>
      </c>
      <c r="B2">
        <v>1996</v>
      </c>
      <c r="C2">
        <v>28</v>
      </c>
      <c r="D2">
        <v>28</v>
      </c>
      <c r="F2" t="s">
        <v>7</v>
      </c>
      <c r="G2">
        <v>-0.77</v>
      </c>
      <c r="H2">
        <v>-2.6</v>
      </c>
      <c r="I2">
        <v>1.06</v>
      </c>
      <c r="J2">
        <f t="shared" ref="J2" si="0">(I2-H2)/2/1.96</f>
        <v>0.93367346938775519</v>
      </c>
      <c r="K2">
        <f>J2/SQRT(1/C2+1/D2)</f>
        <v>3.4934862335695476</v>
      </c>
      <c r="L2">
        <f>G2/K2</f>
        <v>-0.22041020016078189</v>
      </c>
      <c r="M2">
        <f>1-3/(4*(C2+D2-2)-1)</f>
        <v>0.98604651162790702</v>
      </c>
      <c r="N2">
        <f>M2*L2</f>
        <v>-0.21733470899574772</v>
      </c>
      <c r="O2">
        <f>M2*J2/K2</f>
        <v>0.26353201528108822</v>
      </c>
    </row>
    <row r="3" spans="1:15" x14ac:dyDescent="0.25">
      <c r="A3" t="s">
        <v>8</v>
      </c>
      <c r="B3">
        <v>1996</v>
      </c>
      <c r="C3">
        <v>28</v>
      </c>
      <c r="D3">
        <v>28</v>
      </c>
      <c r="F3" t="s">
        <v>7</v>
      </c>
      <c r="G3">
        <v>-1.1599999999999999</v>
      </c>
      <c r="H3">
        <v>-2.68</v>
      </c>
      <c r="I3">
        <v>0.36</v>
      </c>
      <c r="J3">
        <f t="shared" ref="J3:J12" si="1">(I3-H3)/2/1.96</f>
        <v>0.77551020408163263</v>
      </c>
      <c r="K3">
        <f t="shared" ref="K3:K12" si="2">J3/SQRT(1/C3+1/D3)</f>
        <v>2.9016934836206074</v>
      </c>
      <c r="L3">
        <f t="shared" ref="L3:L12" si="3">G3/K3</f>
        <v>-0.39976655237637376</v>
      </c>
      <c r="M3">
        <f t="shared" ref="M3:M12" si="4">1-3/(4*(C3+D3-2)-1)</f>
        <v>0.98604651162790702</v>
      </c>
      <c r="N3">
        <f t="shared" ref="N3:N12" si="5">M3*L3</f>
        <v>-0.39418841443623831</v>
      </c>
      <c r="O3">
        <f t="shared" ref="O3:O12" si="6">M3*J3/K3</f>
        <v>0.26353201528108827</v>
      </c>
    </row>
    <row r="4" spans="1:15" x14ac:dyDescent="0.25">
      <c r="A4" t="s">
        <v>9</v>
      </c>
      <c r="B4">
        <v>1992</v>
      </c>
      <c r="C4">
        <v>25</v>
      </c>
      <c r="D4">
        <v>25</v>
      </c>
      <c r="F4" t="s">
        <v>7</v>
      </c>
      <c r="G4">
        <v>1.55</v>
      </c>
      <c r="H4">
        <v>-2.54</v>
      </c>
      <c r="I4">
        <v>5.64</v>
      </c>
      <c r="J4">
        <f t="shared" si="1"/>
        <v>2.0867346938775508</v>
      </c>
      <c r="K4">
        <f t="shared" si="2"/>
        <v>7.3777212628902529</v>
      </c>
      <c r="L4">
        <f t="shared" si="3"/>
        <v>0.21009197078188085</v>
      </c>
      <c r="M4">
        <f t="shared" si="4"/>
        <v>0.98429319371727753</v>
      </c>
      <c r="N4">
        <f t="shared" si="5"/>
        <v>0.20679209689525446</v>
      </c>
      <c r="O4">
        <f t="shared" si="6"/>
        <v>0.27840015678130042</v>
      </c>
    </row>
    <row r="5" spans="1:15" x14ac:dyDescent="0.25">
      <c r="A5" t="s">
        <v>10</v>
      </c>
      <c r="B5">
        <v>1992</v>
      </c>
      <c r="C5">
        <v>25</v>
      </c>
      <c r="D5">
        <v>25</v>
      </c>
      <c r="F5" t="s">
        <v>7</v>
      </c>
      <c r="G5">
        <v>3.09</v>
      </c>
      <c r="H5">
        <v>-1.06</v>
      </c>
      <c r="I5">
        <v>7.24</v>
      </c>
      <c r="J5">
        <f t="shared" si="1"/>
        <v>2.1173469387755106</v>
      </c>
      <c r="K5">
        <f t="shared" si="2"/>
        <v>7.4859518926637065</v>
      </c>
      <c r="L5">
        <f t="shared" si="3"/>
        <v>0.4127731575497065</v>
      </c>
      <c r="M5">
        <f t="shared" si="4"/>
        <v>0.98429319371727753</v>
      </c>
      <c r="N5">
        <f t="shared" si="5"/>
        <v>0.40628980952536559</v>
      </c>
      <c r="O5">
        <f t="shared" si="6"/>
        <v>0.27840015678130037</v>
      </c>
    </row>
    <row r="6" spans="1:15" x14ac:dyDescent="0.25">
      <c r="A6" t="s">
        <v>11</v>
      </c>
      <c r="B6">
        <v>1992</v>
      </c>
      <c r="C6">
        <v>25</v>
      </c>
      <c r="D6">
        <v>25</v>
      </c>
      <c r="F6" t="s">
        <v>7</v>
      </c>
      <c r="G6">
        <v>3.48</v>
      </c>
      <c r="H6">
        <v>-0.82</v>
      </c>
      <c r="I6">
        <v>7.78</v>
      </c>
      <c r="J6">
        <f t="shared" si="1"/>
        <v>2.193877551020408</v>
      </c>
      <c r="K6">
        <f t="shared" si="2"/>
        <v>7.7565284670973318</v>
      </c>
      <c r="L6">
        <f t="shared" si="3"/>
        <v>0.44865431935973987</v>
      </c>
      <c r="M6">
        <f t="shared" si="4"/>
        <v>0.98429319371727753</v>
      </c>
      <c r="N6">
        <f t="shared" si="5"/>
        <v>0.44160739287764972</v>
      </c>
      <c r="O6">
        <f t="shared" si="6"/>
        <v>0.27840015678130042</v>
      </c>
    </row>
    <row r="7" spans="1:15" x14ac:dyDescent="0.25">
      <c r="A7" t="s">
        <v>12</v>
      </c>
      <c r="B7">
        <v>1991</v>
      </c>
      <c r="C7">
        <v>62</v>
      </c>
      <c r="D7">
        <v>58</v>
      </c>
      <c r="F7" t="s">
        <v>7</v>
      </c>
      <c r="G7">
        <v>1.93</v>
      </c>
      <c r="H7">
        <v>-0.43</v>
      </c>
      <c r="I7">
        <v>4.29</v>
      </c>
      <c r="J7">
        <f t="shared" si="1"/>
        <v>1.2040816326530612</v>
      </c>
      <c r="K7">
        <f t="shared" si="2"/>
        <v>6.5913617907711171</v>
      </c>
      <c r="L7">
        <f t="shared" si="3"/>
        <v>0.29280747458018247</v>
      </c>
      <c r="M7">
        <f t="shared" si="4"/>
        <v>0.99363057324840764</v>
      </c>
      <c r="N7">
        <f t="shared" si="5"/>
        <v>0.29094245881852526</v>
      </c>
      <c r="O7">
        <f t="shared" si="6"/>
        <v>0.18151216104782691</v>
      </c>
    </row>
    <row r="8" spans="1:15" x14ac:dyDescent="0.25">
      <c r="A8" t="s">
        <v>13</v>
      </c>
      <c r="B8">
        <v>1991</v>
      </c>
      <c r="C8">
        <v>61</v>
      </c>
      <c r="D8">
        <v>58</v>
      </c>
      <c r="F8" t="s">
        <v>7</v>
      </c>
      <c r="G8">
        <v>1.1599999999999999</v>
      </c>
      <c r="H8">
        <v>-1.21</v>
      </c>
      <c r="I8">
        <v>3.53</v>
      </c>
      <c r="J8">
        <f t="shared" si="1"/>
        <v>1.2091836734693879</v>
      </c>
      <c r="K8">
        <f t="shared" si="2"/>
        <v>6.593222138905996</v>
      </c>
      <c r="L8">
        <f t="shared" si="3"/>
        <v>0.17593825531145793</v>
      </c>
      <c r="M8">
        <f t="shared" si="4"/>
        <v>0.99357601713062094</v>
      </c>
      <c r="N8">
        <f t="shared" si="5"/>
        <v>0.17480803097326869</v>
      </c>
      <c r="O8">
        <f t="shared" si="6"/>
        <v>0.18221984227948931</v>
      </c>
    </row>
    <row r="9" spans="1:15" x14ac:dyDescent="0.25">
      <c r="A9" t="s">
        <v>14</v>
      </c>
      <c r="B9">
        <v>1991</v>
      </c>
      <c r="C9">
        <v>22</v>
      </c>
      <c r="D9">
        <v>21</v>
      </c>
      <c r="F9" t="s">
        <v>7</v>
      </c>
      <c r="G9">
        <v>-3.86</v>
      </c>
      <c r="H9">
        <v>-7.68</v>
      </c>
      <c r="I9">
        <v>-0.04</v>
      </c>
      <c r="J9">
        <f t="shared" si="1"/>
        <v>1.9489795918367347</v>
      </c>
      <c r="K9">
        <f t="shared" si="2"/>
        <v>6.3884286920945241</v>
      </c>
      <c r="L9">
        <f t="shared" si="3"/>
        <v>-0.60421743531028627</v>
      </c>
      <c r="M9">
        <f t="shared" si="4"/>
        <v>0.98159509202453987</v>
      </c>
      <c r="N9">
        <f t="shared" si="5"/>
        <v>-0.59309686901623193</v>
      </c>
      <c r="O9">
        <f t="shared" si="6"/>
        <v>0.29946468748572569</v>
      </c>
    </row>
    <row r="10" spans="1:15" x14ac:dyDescent="0.25">
      <c r="A10" t="s">
        <v>15</v>
      </c>
      <c r="B10">
        <v>1991</v>
      </c>
      <c r="C10">
        <v>21</v>
      </c>
      <c r="D10">
        <v>21</v>
      </c>
      <c r="F10" t="s">
        <v>7</v>
      </c>
      <c r="G10">
        <v>-1.93</v>
      </c>
      <c r="H10">
        <v>-5.32</v>
      </c>
      <c r="I10">
        <v>1.46</v>
      </c>
      <c r="J10">
        <f t="shared" si="1"/>
        <v>1.7295918367346941</v>
      </c>
      <c r="K10">
        <f t="shared" si="2"/>
        <v>5.6045181039802676</v>
      </c>
      <c r="L10">
        <f t="shared" si="3"/>
        <v>-0.34436502196849628</v>
      </c>
      <c r="M10">
        <f t="shared" si="4"/>
        <v>0.98113207547169812</v>
      </c>
      <c r="N10">
        <f t="shared" si="5"/>
        <v>-0.33786756872380769</v>
      </c>
      <c r="O10">
        <f t="shared" si="6"/>
        <v>0.302783932001086</v>
      </c>
    </row>
    <row r="11" spans="1:15" x14ac:dyDescent="0.25">
      <c r="A11" t="s">
        <v>16</v>
      </c>
      <c r="B11">
        <v>1989</v>
      </c>
      <c r="C11">
        <v>34</v>
      </c>
      <c r="D11">
        <v>34</v>
      </c>
      <c r="F11" t="s">
        <v>7</v>
      </c>
      <c r="G11">
        <v>0.77</v>
      </c>
      <c r="H11">
        <v>-1.86</v>
      </c>
      <c r="I11">
        <v>3.4</v>
      </c>
      <c r="J11">
        <f t="shared" si="1"/>
        <v>1.3418367346938775</v>
      </c>
      <c r="K11">
        <f t="shared" si="2"/>
        <v>5.532534589476759</v>
      </c>
      <c r="L11">
        <f t="shared" si="3"/>
        <v>0.13917671684594438</v>
      </c>
      <c r="M11">
        <f t="shared" si="4"/>
        <v>0.98859315589353614</v>
      </c>
      <c r="N11">
        <f t="shared" si="5"/>
        <v>0.13758914973363323</v>
      </c>
      <c r="O11">
        <f t="shared" si="6"/>
        <v>0.23976905897127973</v>
      </c>
    </row>
    <row r="12" spans="1:15" x14ac:dyDescent="0.25">
      <c r="A12" t="s">
        <v>17</v>
      </c>
      <c r="B12">
        <v>1989</v>
      </c>
      <c r="C12">
        <v>33</v>
      </c>
      <c r="D12">
        <v>34</v>
      </c>
      <c r="F12" t="s">
        <v>7</v>
      </c>
      <c r="G12">
        <v>0.39</v>
      </c>
      <c r="H12">
        <v>-2.25</v>
      </c>
      <c r="I12">
        <v>3.03</v>
      </c>
      <c r="J12">
        <f t="shared" si="1"/>
        <v>1.346938775510204</v>
      </c>
      <c r="K12">
        <f t="shared" si="2"/>
        <v>5.511970475328213</v>
      </c>
      <c r="L12">
        <f t="shared" si="3"/>
        <v>7.0755095976231128E-2</v>
      </c>
      <c r="M12">
        <f t="shared" si="4"/>
        <v>0.98841698841698844</v>
      </c>
      <c r="N12">
        <f t="shared" si="5"/>
        <v>6.9935538879981343E-2</v>
      </c>
      <c r="O12">
        <f t="shared" si="6"/>
        <v>0.2415356130862778</v>
      </c>
    </row>
    <row r="13" spans="1:15" x14ac:dyDescent="0.25">
      <c r="A13" t="s">
        <v>24</v>
      </c>
      <c r="B13">
        <v>1995</v>
      </c>
      <c r="E13">
        <v>261</v>
      </c>
      <c r="F13" t="s">
        <v>19</v>
      </c>
      <c r="G13">
        <v>0.04</v>
      </c>
      <c r="H13">
        <v>-0.76</v>
      </c>
      <c r="I13">
        <v>0.84</v>
      </c>
      <c r="J13">
        <f>(I13-H13)/2/1.96</f>
        <v>0.40816326530612246</v>
      </c>
      <c r="K13">
        <f>J13*SQRT(E13)</f>
        <v>6.5940793556749027</v>
      </c>
      <c r="L13">
        <f>G13/K13</f>
        <v>6.0660477137836942E-3</v>
      </c>
      <c r="M13">
        <f>1-3/(4*(E13-1)-1)</f>
        <v>0.99711260827718962</v>
      </c>
      <c r="N13">
        <f>M13*L13</f>
        <v>6.0485326578247423E-3</v>
      </c>
      <c r="O13">
        <f>M13*J13/K13</f>
        <v>6.1719720998211665E-2</v>
      </c>
    </row>
    <row r="14" spans="1:15" x14ac:dyDescent="0.25">
      <c r="A14" t="s">
        <v>18</v>
      </c>
      <c r="B14">
        <v>1990</v>
      </c>
      <c r="E14">
        <v>21</v>
      </c>
      <c r="F14" t="s">
        <v>19</v>
      </c>
      <c r="G14">
        <v>0</v>
      </c>
      <c r="H14">
        <v>-1.94</v>
      </c>
      <c r="I14">
        <v>1.94</v>
      </c>
      <c r="J14">
        <f t="shared" ref="J14:J18" si="7">(I14-H14)/2/1.96</f>
        <v>0.98979591836734693</v>
      </c>
      <c r="K14">
        <f t="shared" ref="K14:K18" si="8">J14*SQRT(E14)</f>
        <v>4.5358147184766988</v>
      </c>
      <c r="L14">
        <f t="shared" ref="L14:L18" si="9">G14/K14</f>
        <v>0</v>
      </c>
      <c r="M14">
        <f t="shared" ref="M14:M18" si="10">1-3/(4*(E14-1)-1)</f>
        <v>0.96202531645569622</v>
      </c>
      <c r="N14">
        <f t="shared" ref="N14:N18" si="11">M14*L14</f>
        <v>0</v>
      </c>
      <c r="O14">
        <f t="shared" ref="O14:O18" si="12">M14*J14/K14</f>
        <v>0.20993113491057494</v>
      </c>
    </row>
    <row r="15" spans="1:15" x14ac:dyDescent="0.25">
      <c r="A15" t="s">
        <v>22</v>
      </c>
      <c r="B15">
        <v>1989</v>
      </c>
      <c r="E15">
        <v>54</v>
      </c>
      <c r="F15" t="s">
        <v>19</v>
      </c>
      <c r="G15">
        <v>-1.93</v>
      </c>
      <c r="H15">
        <v>-4.1900000000000004</v>
      </c>
      <c r="I15">
        <v>0.33</v>
      </c>
      <c r="J15">
        <f t="shared" si="7"/>
        <v>1.153061224489796</v>
      </c>
      <c r="K15">
        <f t="shared" si="8"/>
        <v>8.4732349265663007</v>
      </c>
      <c r="L15">
        <f t="shared" si="9"/>
        <v>-0.2277760520894839</v>
      </c>
      <c r="M15">
        <f t="shared" si="10"/>
        <v>0.98578199052132698</v>
      </c>
      <c r="N15">
        <f t="shared" si="11"/>
        <v>-0.22453753002186089</v>
      </c>
      <c r="O15">
        <f t="shared" si="12"/>
        <v>0.13414793746679857</v>
      </c>
    </row>
    <row r="16" spans="1:15" x14ac:dyDescent="0.25">
      <c r="A16" t="s">
        <v>23</v>
      </c>
      <c r="B16">
        <v>1989</v>
      </c>
      <c r="E16">
        <v>54</v>
      </c>
      <c r="F16" t="s">
        <v>19</v>
      </c>
      <c r="G16">
        <v>-0.77</v>
      </c>
      <c r="H16">
        <v>-2.84</v>
      </c>
      <c r="I16">
        <v>1.3</v>
      </c>
      <c r="J16">
        <f t="shared" si="7"/>
        <v>1.0561224489795917</v>
      </c>
      <c r="K16">
        <f t="shared" si="8"/>
        <v>7.7608833176956811</v>
      </c>
      <c r="L16">
        <f t="shared" si="9"/>
        <v>-9.9215510461845749E-2</v>
      </c>
      <c r="M16">
        <f t="shared" si="10"/>
        <v>0.98578199052132698</v>
      </c>
      <c r="N16">
        <f t="shared" si="11"/>
        <v>-9.780486339366784E-2</v>
      </c>
      <c r="O16">
        <f t="shared" si="12"/>
        <v>0.13414793746679857</v>
      </c>
    </row>
    <row r="17" spans="1:15" x14ac:dyDescent="0.25">
      <c r="A17" t="s">
        <v>20</v>
      </c>
      <c r="B17">
        <v>1987</v>
      </c>
      <c r="E17">
        <v>42</v>
      </c>
      <c r="F17" t="s">
        <v>19</v>
      </c>
      <c r="G17">
        <v>-0.39</v>
      </c>
      <c r="H17">
        <v>-7.37</v>
      </c>
      <c r="I17">
        <v>6.59</v>
      </c>
      <c r="J17">
        <f t="shared" si="7"/>
        <v>3.5612244897959187</v>
      </c>
      <c r="K17">
        <f t="shared" si="8"/>
        <v>23.079372487187179</v>
      </c>
      <c r="L17">
        <f t="shared" si="9"/>
        <v>-1.6898206405590695E-2</v>
      </c>
      <c r="M17">
        <f t="shared" si="10"/>
        <v>0.98159509202453987</v>
      </c>
      <c r="N17">
        <f t="shared" si="11"/>
        <v>-1.6587196471745468E-2</v>
      </c>
      <c r="O17">
        <f t="shared" si="12"/>
        <v>0.15146341100573438</v>
      </c>
    </row>
    <row r="18" spans="1:15" x14ac:dyDescent="0.25">
      <c r="A18" t="s">
        <v>21</v>
      </c>
      <c r="B18">
        <v>1987</v>
      </c>
      <c r="E18">
        <v>42</v>
      </c>
      <c r="F18" t="s">
        <v>19</v>
      </c>
      <c r="G18">
        <v>0.77</v>
      </c>
      <c r="H18">
        <v>-5.65</v>
      </c>
      <c r="I18">
        <v>7.19</v>
      </c>
      <c r="J18">
        <f t="shared" si="7"/>
        <v>3.2755102040816326</v>
      </c>
      <c r="K18">
        <f t="shared" si="8"/>
        <v>21.227732287642073</v>
      </c>
      <c r="L18">
        <f t="shared" si="9"/>
        <v>3.627330463594846E-2</v>
      </c>
      <c r="M18">
        <f t="shared" si="10"/>
        <v>0.98159509202453987</v>
      </c>
      <c r="N18">
        <f t="shared" si="11"/>
        <v>3.5605697802157998E-2</v>
      </c>
      <c r="O18">
        <f t="shared" si="12"/>
        <v>0.15146341100573438</v>
      </c>
    </row>
  </sheetData>
  <sortState xmlns:xlrd2="http://schemas.microsoft.com/office/spreadsheetml/2017/richdata2" ref="A2:O18">
    <sortCondition ref="F2:F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2026-04-18T20:21:19Z</dcterms:modified>
</cp:coreProperties>
</file>