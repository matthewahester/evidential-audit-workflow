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affeine\cai2012\"/>
    </mc:Choice>
  </mc:AlternateContent>
  <xr:revisionPtr revIDLastSave="0" documentId="13_ncr:1_{49842AD5-B6E0-4D91-9EA2-488F7872118B}" xr6:coauthVersionLast="47" xr6:coauthVersionMax="47" xr10:uidLastSave="{00000000-0000-0000-0000-000000000000}"/>
  <bookViews>
    <workbookView xWindow="384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  <c r="K15" i="1"/>
  <c r="K16" i="1"/>
  <c r="K13" i="1"/>
  <c r="K3" i="1"/>
  <c r="K4" i="1"/>
  <c r="K5" i="1"/>
  <c r="K6" i="1"/>
  <c r="L6" i="1" s="1"/>
  <c r="N6" i="1" s="1"/>
  <c r="K7" i="1"/>
  <c r="K8" i="1"/>
  <c r="L8" i="1" s="1"/>
  <c r="N8" i="1" s="1"/>
  <c r="K9" i="1"/>
  <c r="K10" i="1"/>
  <c r="L10" i="1" s="1"/>
  <c r="N10" i="1" s="1"/>
  <c r="K11" i="1"/>
  <c r="K12" i="1"/>
  <c r="L12" i="1" s="1"/>
  <c r="N12" i="1" s="1"/>
  <c r="K2" i="1"/>
  <c r="M16" i="1"/>
  <c r="J16" i="1"/>
  <c r="M15" i="1"/>
  <c r="J15" i="1"/>
  <c r="M14" i="1"/>
  <c r="J14" i="1"/>
  <c r="L14" i="1" s="1"/>
  <c r="M13" i="1"/>
  <c r="J13" i="1"/>
  <c r="J3" i="1"/>
  <c r="M3" i="1"/>
  <c r="J4" i="1"/>
  <c r="L4" i="1" s="1"/>
  <c r="N4" i="1" s="1"/>
  <c r="M4" i="1"/>
  <c r="J5" i="1"/>
  <c r="M5" i="1"/>
  <c r="J6" i="1"/>
  <c r="M6" i="1"/>
  <c r="O6" i="1"/>
  <c r="J7" i="1"/>
  <c r="M7" i="1"/>
  <c r="J8" i="1"/>
  <c r="M8" i="1"/>
  <c r="J9" i="1"/>
  <c r="M9" i="1"/>
  <c r="J10" i="1"/>
  <c r="M10" i="1"/>
  <c r="J11" i="1"/>
  <c r="M11" i="1"/>
  <c r="J12" i="1"/>
  <c r="M12" i="1"/>
  <c r="O12" i="1"/>
  <c r="M2" i="1"/>
  <c r="J2" i="1"/>
  <c r="L16" i="1" l="1"/>
  <c r="L15" i="1"/>
  <c r="N15" i="1" s="1"/>
  <c r="L13" i="1"/>
  <c r="O10" i="1"/>
  <c r="L2" i="1"/>
  <c r="O15" i="1"/>
  <c r="O14" i="1"/>
  <c r="O13" i="1"/>
  <c r="O16" i="1"/>
  <c r="N13" i="1"/>
  <c r="N14" i="1"/>
  <c r="N16" i="1"/>
  <c r="L7" i="1"/>
  <c r="N7" i="1" s="1"/>
  <c r="O7" i="1"/>
  <c r="O4" i="1"/>
  <c r="L11" i="1"/>
  <c r="N11" i="1" s="1"/>
  <c r="O11" i="1"/>
  <c r="L5" i="1"/>
  <c r="N5" i="1" s="1"/>
  <c r="O5" i="1"/>
  <c r="O9" i="1"/>
  <c r="L9" i="1"/>
  <c r="N9" i="1" s="1"/>
  <c r="L3" i="1"/>
  <c r="N3" i="1" s="1"/>
  <c r="O3" i="1"/>
  <c r="O8" i="1"/>
  <c r="O2" i="1"/>
  <c r="N2" i="1"/>
</calcChain>
</file>

<file path=xl/sharedStrings.xml><?xml version="1.0" encoding="utf-8"?>
<sst xmlns="http://schemas.openxmlformats.org/spreadsheetml/2006/main" count="45" uniqueCount="32">
  <si>
    <t>Rosmarin</t>
  </si>
  <si>
    <t>Aro</t>
  </si>
  <si>
    <t>D'amicia</t>
  </si>
  <si>
    <t>D'amicib</t>
  </si>
  <si>
    <t>Frieda</t>
  </si>
  <si>
    <t>Friedb</t>
  </si>
  <si>
    <t>Friedc</t>
  </si>
  <si>
    <t>Superkoa</t>
  </si>
  <si>
    <t>Superkob</t>
  </si>
  <si>
    <t>Vana</t>
  </si>
  <si>
    <t>Vanb</t>
  </si>
  <si>
    <t>Baka</t>
  </si>
  <si>
    <t>Bakb</t>
  </si>
  <si>
    <t>Aroa</t>
  </si>
  <si>
    <t>Arob</t>
  </si>
  <si>
    <t>Author</t>
  </si>
  <si>
    <t>Year</t>
  </si>
  <si>
    <t>n_treat</t>
  </si>
  <si>
    <t>n_control</t>
  </si>
  <si>
    <t>n</t>
  </si>
  <si>
    <t>design</t>
  </si>
  <si>
    <t>wmd</t>
  </si>
  <si>
    <t>lCI_wmd</t>
  </si>
  <si>
    <t>uCI_wmd</t>
  </si>
  <si>
    <t>se_wmd</t>
  </si>
  <si>
    <t>pooled_sd</t>
  </si>
  <si>
    <t>d</t>
  </si>
  <si>
    <t>J</t>
  </si>
  <si>
    <t>g</t>
  </si>
  <si>
    <t>se_g</t>
  </si>
  <si>
    <t>P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</si>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</sst>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K4" sqref="K4"/>
    </sheetView>
  </sheetViews>
  <sheetFormatPr defaultRowHeight="15" x14ac:dyDescent="0.25"/>
  <cols>
    <col min="1" max="1" width="15.140625" bestFit="1" customWidth="1"/>
    <col min="7" max="7" width="17.85546875" bestFit="1" customWidth="1"/>
  </cols>
  <sheetData>
    <row r="1" spans="1:1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</row>
    <row r="2" spans="1:15" x14ac:dyDescent="0.25">
      <c r="A2" t="s">
        <v>2</v>
      </c>
      <c r="B2">
        <v>1996</v>
      </c>
      <c r="C2">
        <v>28</v>
      </c>
      <c r="D2">
        <v>28</v>
      </c>
      <c r="F2" t="s">
        <v>30</v>
      </c>
      <c r="G2">
        <v>5.79</v>
      </c>
      <c r="H2">
        <v>-0.71</v>
      </c>
      <c r="I2">
        <v>12.29</v>
      </c>
      <c r="J2">
        <f t="shared" ref="J2" si="0">(I2-H2)/2/1.96</f>
        <v>3.3163265306122449</v>
      </c>
      <c r="K2">
        <f>J2/SQRT(1/C2+1/D2)</f>
        <v>12.408557660219703</v>
      </c>
      <c r="L2">
        <f>G2/K2</f>
        <v>0.46661345811060878</v>
      </c>
      <c r="M2">
        <f>1-3/(4*(C2+D2-2)-1)</f>
        <v>0.98604651162790702</v>
      </c>
      <c r="N2">
        <f>M2*L2</f>
        <v>0.46010257264860033</v>
      </c>
      <c r="O2">
        <f>M2*J2/K2</f>
        <v>0.26353201528108827</v>
      </c>
    </row>
    <row r="3" spans="1:15" x14ac:dyDescent="0.25">
      <c r="A3" t="s">
        <v>3</v>
      </c>
      <c r="B3">
        <v>1996</v>
      </c>
      <c r="C3">
        <v>28</v>
      </c>
      <c r="D3">
        <v>28</v>
      </c>
      <c r="F3" t="s">
        <v>30</v>
      </c>
      <c r="G3">
        <v>3.09</v>
      </c>
      <c r="H3">
        <v>-3.14</v>
      </c>
      <c r="I3">
        <v>9.32</v>
      </c>
      <c r="J3">
        <f t="shared" ref="J3:J16" si="1">(I3-H3)/2/1.96</f>
        <v>3.1785714285714288</v>
      </c>
      <c r="K3">
        <f t="shared" ref="K3:K12" si="2">J3/SQRT(1/C3+1/D3)</f>
        <v>11.893125265102885</v>
      </c>
      <c r="L3">
        <f t="shared" ref="L3:L12" si="3">G3/K3</f>
        <v>0.25981396236250515</v>
      </c>
      <c r="M3">
        <f t="shared" ref="M3:M12" si="4">1-3/(4*(C3+D3-2)-1)</f>
        <v>0.98604651162790702</v>
      </c>
      <c r="N3">
        <f t="shared" ref="N3:N12" si="5">M3*L3</f>
        <v>0.25618865125977253</v>
      </c>
      <c r="O3">
        <f t="shared" ref="O3:O12" si="6">M3*J3/K3</f>
        <v>0.26353201528108827</v>
      </c>
    </row>
    <row r="4" spans="1:15" x14ac:dyDescent="0.25">
      <c r="A4" t="s">
        <v>4</v>
      </c>
      <c r="B4">
        <v>1992</v>
      </c>
      <c r="C4">
        <v>25</v>
      </c>
      <c r="D4">
        <v>25</v>
      </c>
      <c r="F4" t="s">
        <v>30</v>
      </c>
      <c r="G4">
        <v>1.1599999999999999</v>
      </c>
      <c r="H4">
        <v>-10.78</v>
      </c>
      <c r="I4">
        <v>13.1</v>
      </c>
      <c r="J4">
        <f t="shared" si="1"/>
        <v>6.0918367346938771</v>
      </c>
      <c r="K4">
        <f t="shared" si="2"/>
        <v>21.537895324916779</v>
      </c>
      <c r="L4">
        <f t="shared" si="3"/>
        <v>5.3858558717110032E-2</v>
      </c>
      <c r="M4">
        <f t="shared" si="4"/>
        <v>0.98429319371727753</v>
      </c>
      <c r="N4">
        <f t="shared" si="5"/>
        <v>5.301261276867375E-2</v>
      </c>
      <c r="O4">
        <f t="shared" si="6"/>
        <v>0.27840015678130042</v>
      </c>
    </row>
    <row r="5" spans="1:15" x14ac:dyDescent="0.25">
      <c r="A5" t="s">
        <v>5</v>
      </c>
      <c r="B5">
        <v>1992</v>
      </c>
      <c r="C5">
        <v>25</v>
      </c>
      <c r="D5">
        <v>25</v>
      </c>
      <c r="F5" t="s">
        <v>30</v>
      </c>
      <c r="G5">
        <v>-3.47</v>
      </c>
      <c r="H5">
        <v>-11.67</v>
      </c>
      <c r="I5">
        <v>4.7300000000000004</v>
      </c>
      <c r="J5">
        <f t="shared" si="1"/>
        <v>4.1836734693877551</v>
      </c>
      <c r="K5">
        <f t="shared" si="2"/>
        <v>14.791519402371657</v>
      </c>
      <c r="L5">
        <f t="shared" si="3"/>
        <v>-0.23459388488809499</v>
      </c>
      <c r="M5">
        <f t="shared" si="4"/>
        <v>0.98429319371727753</v>
      </c>
      <c r="N5">
        <f t="shared" si="5"/>
        <v>-0.23090916418304638</v>
      </c>
      <c r="O5">
        <f t="shared" si="6"/>
        <v>0.27840015678130042</v>
      </c>
    </row>
    <row r="6" spans="1:15" x14ac:dyDescent="0.25">
      <c r="A6" t="s">
        <v>6</v>
      </c>
      <c r="B6">
        <v>1992</v>
      </c>
      <c r="C6">
        <v>25</v>
      </c>
      <c r="D6">
        <v>25</v>
      </c>
      <c r="F6" t="s">
        <v>30</v>
      </c>
      <c r="G6">
        <v>6.18</v>
      </c>
      <c r="H6">
        <v>-2.5299999999999998</v>
      </c>
      <c r="I6">
        <v>14.89</v>
      </c>
      <c r="J6">
        <f t="shared" si="1"/>
        <v>4.4438775510204085</v>
      </c>
      <c r="K6">
        <f t="shared" si="2"/>
        <v>15.711479755445993</v>
      </c>
      <c r="L6">
        <f t="shared" si="3"/>
        <v>0.39334296299225774</v>
      </c>
      <c r="M6">
        <f t="shared" si="4"/>
        <v>0.98429319371727753</v>
      </c>
      <c r="N6">
        <f t="shared" si="5"/>
        <v>0.3871648012698663</v>
      </c>
      <c r="O6">
        <f t="shared" si="6"/>
        <v>0.27840015678130042</v>
      </c>
    </row>
    <row r="7" spans="1:15" x14ac:dyDescent="0.25">
      <c r="A7" t="s">
        <v>7</v>
      </c>
      <c r="B7">
        <v>1991</v>
      </c>
      <c r="C7">
        <v>62</v>
      </c>
      <c r="D7">
        <v>58</v>
      </c>
      <c r="F7" t="s">
        <v>30</v>
      </c>
      <c r="G7">
        <v>0</v>
      </c>
      <c r="H7">
        <v>-7.19</v>
      </c>
      <c r="I7">
        <v>7.19</v>
      </c>
      <c r="J7">
        <f t="shared" si="1"/>
        <v>3.6683673469387759</v>
      </c>
      <c r="K7">
        <f t="shared" si="2"/>
        <v>20.081309862561159</v>
      </c>
      <c r="L7">
        <f t="shared" si="3"/>
        <v>0</v>
      </c>
      <c r="M7">
        <f t="shared" si="4"/>
        <v>0.99363057324840764</v>
      </c>
      <c r="N7">
        <f t="shared" si="5"/>
        <v>0</v>
      </c>
      <c r="O7">
        <f t="shared" si="6"/>
        <v>0.18151216104782691</v>
      </c>
    </row>
    <row r="8" spans="1:15" x14ac:dyDescent="0.25">
      <c r="A8" t="s">
        <v>8</v>
      </c>
      <c r="B8">
        <v>1991</v>
      </c>
      <c r="C8">
        <v>61</v>
      </c>
      <c r="D8">
        <v>58</v>
      </c>
      <c r="F8" t="s">
        <v>30</v>
      </c>
      <c r="G8">
        <v>8.8800000000000008</v>
      </c>
      <c r="H8">
        <v>0.73</v>
      </c>
      <c r="I8">
        <v>17.03</v>
      </c>
      <c r="J8">
        <f t="shared" si="1"/>
        <v>4.1581632653061229</v>
      </c>
      <c r="K8">
        <f t="shared" si="2"/>
        <v>22.672894697081801</v>
      </c>
      <c r="L8">
        <f t="shared" si="3"/>
        <v>0.39165709181117198</v>
      </c>
      <c r="M8">
        <f t="shared" si="4"/>
        <v>0.99357601713062094</v>
      </c>
      <c r="N8">
        <f t="shared" si="5"/>
        <v>0.38914109336270619</v>
      </c>
      <c r="O8">
        <f t="shared" si="6"/>
        <v>0.18221984227948929</v>
      </c>
    </row>
    <row r="9" spans="1:15" x14ac:dyDescent="0.25">
      <c r="A9" t="s">
        <v>9</v>
      </c>
      <c r="B9">
        <v>1991</v>
      </c>
      <c r="C9">
        <v>22</v>
      </c>
      <c r="D9">
        <v>21</v>
      </c>
      <c r="F9" t="s">
        <v>30</v>
      </c>
      <c r="G9">
        <v>21.63</v>
      </c>
      <c r="H9">
        <v>11.7</v>
      </c>
      <c r="I9">
        <v>31.56</v>
      </c>
      <c r="J9">
        <f t="shared" si="1"/>
        <v>5.0663265306122449</v>
      </c>
      <c r="K9">
        <f t="shared" si="2"/>
        <v>16.606569872381836</v>
      </c>
      <c r="L9">
        <f t="shared" si="3"/>
        <v>1.3024965520406813</v>
      </c>
      <c r="M9">
        <f t="shared" si="4"/>
        <v>0.98159509202453987</v>
      </c>
      <c r="N9">
        <f t="shared" si="5"/>
        <v>1.2785242228620184</v>
      </c>
      <c r="O9">
        <f t="shared" si="6"/>
        <v>0.29946468748572569</v>
      </c>
    </row>
    <row r="10" spans="1:15" x14ac:dyDescent="0.25">
      <c r="A10" t="s">
        <v>10</v>
      </c>
      <c r="B10">
        <v>1991</v>
      </c>
      <c r="C10">
        <v>21</v>
      </c>
      <c r="D10">
        <v>21</v>
      </c>
      <c r="F10" t="s">
        <v>30</v>
      </c>
      <c r="G10">
        <v>5.79</v>
      </c>
      <c r="H10">
        <v>-3.43</v>
      </c>
      <c r="I10">
        <v>15.01</v>
      </c>
      <c r="J10">
        <f t="shared" si="1"/>
        <v>4.7040816326530619</v>
      </c>
      <c r="K10">
        <f t="shared" si="2"/>
        <v>15.242966642683795</v>
      </c>
      <c r="L10">
        <f t="shared" si="3"/>
        <v>0.3798473181583088</v>
      </c>
      <c r="M10">
        <f t="shared" si="4"/>
        <v>0.98113207547169812</v>
      </c>
      <c r="N10">
        <f t="shared" si="5"/>
        <v>0.37268038762701994</v>
      </c>
      <c r="O10">
        <f t="shared" si="6"/>
        <v>0.302783932001086</v>
      </c>
    </row>
    <row r="11" spans="1:15" x14ac:dyDescent="0.25">
      <c r="A11" t="s">
        <v>11</v>
      </c>
      <c r="B11">
        <v>1989</v>
      </c>
      <c r="C11">
        <v>34</v>
      </c>
      <c r="D11">
        <v>34</v>
      </c>
      <c r="F11" t="s">
        <v>30</v>
      </c>
      <c r="G11">
        <v>-8.11</v>
      </c>
      <c r="H11">
        <v>-22.69</v>
      </c>
      <c r="I11">
        <v>6.47</v>
      </c>
      <c r="J11">
        <f t="shared" si="1"/>
        <v>7.4387755102040822</v>
      </c>
      <c r="K11">
        <f t="shared" si="2"/>
        <v>30.670857153829335</v>
      </c>
      <c r="L11">
        <f t="shared" si="3"/>
        <v>-0.26442038966581166</v>
      </c>
      <c r="M11">
        <f t="shared" si="4"/>
        <v>0.98859315589353614</v>
      </c>
      <c r="N11">
        <f t="shared" si="5"/>
        <v>-0.2614041875023233</v>
      </c>
      <c r="O11">
        <f t="shared" si="6"/>
        <v>0.23976905897127973</v>
      </c>
    </row>
    <row r="12" spans="1:15" x14ac:dyDescent="0.25">
      <c r="A12" t="s">
        <v>12</v>
      </c>
      <c r="B12">
        <v>1989</v>
      </c>
      <c r="C12">
        <v>33</v>
      </c>
      <c r="D12">
        <v>34</v>
      </c>
      <c r="F12" t="s">
        <v>30</v>
      </c>
      <c r="G12">
        <v>6.95</v>
      </c>
      <c r="H12">
        <v>-11.17</v>
      </c>
      <c r="I12">
        <v>25.07</v>
      </c>
      <c r="J12">
        <f t="shared" si="1"/>
        <v>9.2448979591836746</v>
      </c>
      <c r="K12">
        <f t="shared" si="2"/>
        <v>37.832160989752737</v>
      </c>
      <c r="L12">
        <f t="shared" si="3"/>
        <v>0.18370613304068159</v>
      </c>
      <c r="M12">
        <f t="shared" si="4"/>
        <v>0.98841698841698844</v>
      </c>
      <c r="N12">
        <f t="shared" si="5"/>
        <v>0.18157826277380112</v>
      </c>
      <c r="O12">
        <f t="shared" si="6"/>
        <v>0.2415356130862778</v>
      </c>
    </row>
    <row r="13" spans="1:15" x14ac:dyDescent="0.25">
      <c r="A13" t="s">
        <v>0</v>
      </c>
      <c r="B13">
        <v>1990</v>
      </c>
      <c r="E13">
        <v>21</v>
      </c>
      <c r="F13" t="s">
        <v>31</v>
      </c>
      <c r="G13">
        <v>-0.39</v>
      </c>
      <c r="H13">
        <v>-10.039999999999999</v>
      </c>
      <c r="I13">
        <v>9.26</v>
      </c>
      <c r="J13">
        <f t="shared" si="1"/>
        <v>4.9234693877551017</v>
      </c>
      <c r="K13">
        <f>J13*SQRT(E13)</f>
        <v>22.562171151185638</v>
      </c>
      <c r="L13">
        <f>G13/K13</f>
        <v>-1.7285570497035503E-2</v>
      </c>
      <c r="M13">
        <f>1-3/(4*(E13-1)-1)</f>
        <v>0.96202531645569622</v>
      </c>
      <c r="N13">
        <f>M13*L13</f>
        <v>-1.6629156427527825E-2</v>
      </c>
      <c r="O13">
        <f>M13*J13/K13</f>
        <v>0.209931134910575</v>
      </c>
    </row>
    <row r="14" spans="1:15" x14ac:dyDescent="0.25">
      <c r="A14" t="s">
        <v>13</v>
      </c>
      <c r="B14">
        <v>1987</v>
      </c>
      <c r="E14">
        <v>42</v>
      </c>
      <c r="F14" t="s">
        <v>31</v>
      </c>
      <c r="G14">
        <v>34.75</v>
      </c>
      <c r="H14">
        <v>16.88</v>
      </c>
      <c r="I14">
        <v>52.62</v>
      </c>
      <c r="J14">
        <f t="shared" si="1"/>
        <v>9.1173469387755084</v>
      </c>
      <c r="K14">
        <f t="shared" ref="K14:K16" si="7">J14*SQRT(E14)</f>
        <v>59.087161367626756</v>
      </c>
      <c r="L14">
        <f>G14/K14</f>
        <v>0.58811422305081595</v>
      </c>
      <c r="M14">
        <f>1-3/(4*(E14-1)-1)</f>
        <v>0.98159509202453987</v>
      </c>
      <c r="N14">
        <f>M14*L14</f>
        <v>0.57729003489650643</v>
      </c>
      <c r="O14">
        <f>M14*J14/K14</f>
        <v>0.15146341100573438</v>
      </c>
    </row>
    <row r="15" spans="1:15" x14ac:dyDescent="0.25">
      <c r="A15" t="s">
        <v>14</v>
      </c>
      <c r="B15">
        <v>1987</v>
      </c>
      <c r="E15">
        <v>42</v>
      </c>
      <c r="F15" t="s">
        <v>31</v>
      </c>
      <c r="G15">
        <v>8.8800000000000008</v>
      </c>
      <c r="H15">
        <v>-8.99</v>
      </c>
      <c r="I15">
        <v>26.75</v>
      </c>
      <c r="J15">
        <f t="shared" si="1"/>
        <v>9.1173469387755102</v>
      </c>
      <c r="K15">
        <f t="shared" si="7"/>
        <v>59.08716136762677</v>
      </c>
      <c r="L15">
        <f>G15/K15</f>
        <v>0.15028645469615096</v>
      </c>
      <c r="M15">
        <f>1-3/(4*(E15-1)-1)</f>
        <v>0.98159509202453987</v>
      </c>
      <c r="N15">
        <f>M15*L15</f>
        <v>0.14752044632751013</v>
      </c>
      <c r="O15">
        <f>M15*J15/K15</f>
        <v>0.15146341100573438</v>
      </c>
    </row>
    <row r="16" spans="1:15" x14ac:dyDescent="0.25">
      <c r="A16" t="s">
        <v>1</v>
      </c>
      <c r="B16">
        <v>1985</v>
      </c>
      <c r="E16">
        <v>12</v>
      </c>
      <c r="F16" t="s">
        <v>31</v>
      </c>
      <c r="G16">
        <v>4.6399999999999997</v>
      </c>
      <c r="H16">
        <v>-18.43</v>
      </c>
      <c r="I16">
        <v>27.71</v>
      </c>
      <c r="J16">
        <f t="shared" si="1"/>
        <v>11.770408163265307</v>
      </c>
      <c r="K16">
        <f t="shared" si="7"/>
        <v>40.773889929197956</v>
      </c>
      <c r="L16">
        <f>G16/K16</f>
        <v>0.11379831573728072</v>
      </c>
      <c r="M16">
        <f>1-3/(4*(E16-1)-1)</f>
        <v>0.93023255813953487</v>
      </c>
      <c r="N16">
        <f>M16*L16</f>
        <v>0.10585889836026113</v>
      </c>
      <c r="O16">
        <f>M16*J16/K16</f>
        <v>0.26853500892540738</v>
      </c>
    </row>
  </sheetData>
  <sortState xmlns:xlrd2="http://schemas.microsoft.com/office/spreadsheetml/2017/richdata2" ref="A2:O16">
    <sortCondition ref="F2:F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2026-04-18T20:20:16Z</dcterms:modified>
</cp:coreProperties>
</file>