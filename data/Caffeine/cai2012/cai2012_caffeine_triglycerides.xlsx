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cai2012\"/>
    </mc:Choice>
  </mc:AlternateContent>
  <xr:revisionPtr revIDLastSave="0" documentId="13_ncr:1_{9701BF48-611A-4D5C-9016-E9C3D2C8C25B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/>
  <c r="L9" i="1" s="1"/>
  <c r="M9" i="1"/>
  <c r="N9" i="1" s="1"/>
  <c r="J10" i="1"/>
  <c r="K10" i="1" s="1"/>
  <c r="L10" i="1" s="1"/>
  <c r="M10" i="1"/>
  <c r="O10" i="1" s="1"/>
  <c r="J11" i="1"/>
  <c r="K11" i="1"/>
  <c r="L11" i="1" s="1"/>
  <c r="M11" i="1"/>
  <c r="N11" i="1" s="1"/>
  <c r="J12" i="1"/>
  <c r="K12" i="1"/>
  <c r="L12" i="1" s="1"/>
  <c r="N12" i="1" s="1"/>
  <c r="M12" i="1"/>
  <c r="O12" i="1"/>
  <c r="M8" i="1"/>
  <c r="J8" i="1"/>
  <c r="K8" i="1" s="1"/>
  <c r="L8" i="1" s="1"/>
  <c r="J3" i="1"/>
  <c r="K3" i="1" s="1"/>
  <c r="M3" i="1"/>
  <c r="J4" i="1"/>
  <c r="K4" i="1"/>
  <c r="L4" i="1" s="1"/>
  <c r="M4" i="1"/>
  <c r="O4" i="1" s="1"/>
  <c r="J5" i="1"/>
  <c r="K5" i="1"/>
  <c r="L5" i="1" s="1"/>
  <c r="N5" i="1" s="1"/>
  <c r="M5" i="1"/>
  <c r="J6" i="1"/>
  <c r="K6" i="1"/>
  <c r="L6" i="1" s="1"/>
  <c r="M6" i="1"/>
  <c r="O6" i="1" s="1"/>
  <c r="J7" i="1"/>
  <c r="K7" i="1"/>
  <c r="L7" i="1" s="1"/>
  <c r="N7" i="1" s="1"/>
  <c r="M7" i="1"/>
  <c r="M2" i="1"/>
  <c r="J2" i="1"/>
  <c r="K2" i="1" s="1"/>
  <c r="L2" i="1" s="1"/>
  <c r="N10" i="1" l="1"/>
  <c r="O9" i="1"/>
  <c r="O11" i="1"/>
  <c r="O8" i="1"/>
  <c r="N8" i="1"/>
  <c r="L3" i="1"/>
  <c r="N3" i="1" s="1"/>
  <c r="O3" i="1"/>
  <c r="N6" i="1"/>
  <c r="O7" i="1"/>
  <c r="O5" i="1"/>
  <c r="N4" i="1"/>
  <c r="O2" i="1"/>
  <c r="N2" i="1"/>
</calcChain>
</file>

<file path=xl/sharedStrings.xml><?xml version="1.0" encoding="utf-8"?>
<sst xmlns="http://schemas.openxmlformats.org/spreadsheetml/2006/main" count="37" uniqueCount="28">
  <si>
    <t>Grubben</t>
  </si>
  <si>
    <t>X</t>
  </si>
  <si>
    <t>D'amicia</t>
  </si>
  <si>
    <t>P</t>
  </si>
  <si>
    <t>D'amicib</t>
  </si>
  <si>
    <t>Superkoa</t>
  </si>
  <si>
    <t>Superkob</t>
  </si>
  <si>
    <t>Vana</t>
  </si>
  <si>
    <t>Vanb</t>
  </si>
  <si>
    <t>Rosmarin</t>
  </si>
  <si>
    <t>Aroa</t>
  </si>
  <si>
    <t>Arob</t>
  </si>
  <si>
    <t>Aro</t>
  </si>
  <si>
    <t>Author</t>
  </si>
  <si>
    <t>Year</t>
  </si>
  <si>
    <t>n_treat</t>
  </si>
  <si>
    <t>n_control</t>
  </si>
  <si>
    <t>n</t>
  </si>
  <si>
    <t>design</t>
  </si>
  <si>
    <t>wmd</t>
  </si>
  <si>
    <t>lCI_wmd</t>
  </si>
  <si>
    <t>uCI_wmd</t>
  </si>
  <si>
    <t>se_wmd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</si>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</sst>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G7" sqref="G7"/>
    </sheetView>
  </sheetViews>
  <sheetFormatPr defaultRowHeight="15" x14ac:dyDescent="0.25"/>
  <sheetData>
    <row r="1" spans="1:1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 t="s">
        <v>2</v>
      </c>
      <c r="B2">
        <v>1996</v>
      </c>
      <c r="C2">
        <v>28</v>
      </c>
      <c r="D2">
        <v>28</v>
      </c>
      <c r="F2" t="s">
        <v>3</v>
      </c>
      <c r="G2">
        <v>0</v>
      </c>
      <c r="H2">
        <v>-11.82</v>
      </c>
      <c r="I2">
        <v>11.82</v>
      </c>
      <c r="J2">
        <f t="shared" ref="J2" si="0">(I2-H2)/2/1.96</f>
        <v>6.0306122448979593</v>
      </c>
      <c r="K2">
        <f>J2/SQRT(1/C2+1/D2)</f>
        <v>22.56448485289183</v>
      </c>
      <c r="L2">
        <f>G2/K2</f>
        <v>0</v>
      </c>
      <c r="M2">
        <f>1-3/(4*(C2+D2-2)-1)</f>
        <v>0.98604651162790702</v>
      </c>
      <c r="N2">
        <f>M2*L2</f>
        <v>0</v>
      </c>
      <c r="O2">
        <f>M2*J2/K2</f>
        <v>0.26353201528108827</v>
      </c>
    </row>
    <row r="3" spans="1:15" x14ac:dyDescent="0.25">
      <c r="A3" t="s">
        <v>4</v>
      </c>
      <c r="B3">
        <v>1996</v>
      </c>
      <c r="C3">
        <v>28</v>
      </c>
      <c r="D3">
        <v>28</v>
      </c>
      <c r="F3" t="s">
        <v>3</v>
      </c>
      <c r="G3">
        <v>3.54</v>
      </c>
      <c r="H3">
        <v>-8.2799999999999994</v>
      </c>
      <c r="I3">
        <v>15.36</v>
      </c>
      <c r="J3">
        <f t="shared" ref="J3:J8" si="1">(I3-H3)/2/1.96</f>
        <v>6.0306122448979593</v>
      </c>
      <c r="K3">
        <f t="shared" ref="K3:K7" si="2">J3/SQRT(1/C3+1/D3)</f>
        <v>22.56448485289183</v>
      </c>
      <c r="L3">
        <f t="shared" ref="L3:L7" si="3">G3/K3</f>
        <v>0.15688370565864343</v>
      </c>
      <c r="M3">
        <f t="shared" ref="M3:M7" si="4">1-3/(4*(C3+D3-2)-1)</f>
        <v>0.98604651162790702</v>
      </c>
      <c r="N3">
        <f t="shared" ref="N3:N7" si="5">M3*L3</f>
        <v>0.1546946306959647</v>
      </c>
      <c r="O3">
        <f t="shared" ref="O3:O7" si="6">M3*J3/K3</f>
        <v>0.26353201528108827</v>
      </c>
    </row>
    <row r="4" spans="1:15" x14ac:dyDescent="0.25">
      <c r="A4" t="s">
        <v>5</v>
      </c>
      <c r="B4">
        <v>1991</v>
      </c>
      <c r="C4">
        <v>62</v>
      </c>
      <c r="D4">
        <v>58</v>
      </c>
      <c r="F4" t="s">
        <v>3</v>
      </c>
      <c r="G4">
        <v>-5.31</v>
      </c>
      <c r="H4">
        <v>-18.95</v>
      </c>
      <c r="I4">
        <v>8.33</v>
      </c>
      <c r="J4">
        <f t="shared" si="1"/>
        <v>6.9591836734693882</v>
      </c>
      <c r="K4">
        <f t="shared" si="2"/>
        <v>38.095836790727986</v>
      </c>
      <c r="L4">
        <f t="shared" si="3"/>
        <v>-0.13938530945440164</v>
      </c>
      <c r="M4">
        <f t="shared" si="4"/>
        <v>0.99363057324840764</v>
      </c>
      <c r="N4">
        <f t="shared" si="5"/>
        <v>-0.1384975049355838</v>
      </c>
      <c r="O4">
        <f t="shared" si="6"/>
        <v>0.18151216104782691</v>
      </c>
    </row>
    <row r="5" spans="1:15" x14ac:dyDescent="0.25">
      <c r="A5" t="s">
        <v>6</v>
      </c>
      <c r="B5">
        <v>1991</v>
      </c>
      <c r="C5">
        <v>61</v>
      </c>
      <c r="D5">
        <v>58</v>
      </c>
      <c r="F5" t="s">
        <v>3</v>
      </c>
      <c r="G5">
        <v>3.53</v>
      </c>
      <c r="H5">
        <v>-10.62</v>
      </c>
      <c r="I5">
        <v>17.68</v>
      </c>
      <c r="J5">
        <f t="shared" si="1"/>
        <v>7.2193877551020398</v>
      </c>
      <c r="K5">
        <f t="shared" si="2"/>
        <v>39.364596314565325</v>
      </c>
      <c r="L5">
        <f t="shared" si="3"/>
        <v>8.9674487496112384E-2</v>
      </c>
      <c r="M5">
        <f t="shared" si="4"/>
        <v>0.99357601713062094</v>
      </c>
      <c r="N5">
        <f t="shared" si="5"/>
        <v>8.9098420124617009E-2</v>
      </c>
      <c r="O5">
        <f t="shared" si="6"/>
        <v>0.18221984227948931</v>
      </c>
    </row>
    <row r="6" spans="1:15" x14ac:dyDescent="0.25">
      <c r="A6" t="s">
        <v>7</v>
      </c>
      <c r="B6">
        <v>1991</v>
      </c>
      <c r="C6">
        <v>22</v>
      </c>
      <c r="D6">
        <v>21</v>
      </c>
      <c r="F6" t="s">
        <v>3</v>
      </c>
      <c r="G6">
        <v>29.2</v>
      </c>
      <c r="H6">
        <v>15.25</v>
      </c>
      <c r="I6">
        <v>43.15</v>
      </c>
      <c r="J6">
        <f t="shared" si="1"/>
        <v>7.1173469387755102</v>
      </c>
      <c r="K6">
        <f t="shared" si="2"/>
        <v>23.329471270868744</v>
      </c>
      <c r="L6">
        <f t="shared" si="3"/>
        <v>1.2516357383744792</v>
      </c>
      <c r="M6">
        <f t="shared" si="4"/>
        <v>0.98159509202453987</v>
      </c>
      <c r="N6">
        <f t="shared" si="5"/>
        <v>1.2285994977908998</v>
      </c>
      <c r="O6">
        <f t="shared" si="6"/>
        <v>0.29946468748572569</v>
      </c>
    </row>
    <row r="7" spans="1:15" x14ac:dyDescent="0.25">
      <c r="A7" t="s">
        <v>8</v>
      </c>
      <c r="B7">
        <v>1991</v>
      </c>
      <c r="C7">
        <v>21</v>
      </c>
      <c r="D7">
        <v>21</v>
      </c>
      <c r="F7" t="s">
        <v>3</v>
      </c>
      <c r="G7">
        <v>15.04</v>
      </c>
      <c r="H7">
        <v>-1.39</v>
      </c>
      <c r="I7">
        <v>31.47</v>
      </c>
      <c r="J7">
        <f t="shared" si="1"/>
        <v>8.3826530612244898</v>
      </c>
      <c r="K7">
        <f t="shared" si="2"/>
        <v>27.162900427255394</v>
      </c>
      <c r="L7">
        <f t="shared" si="3"/>
        <v>0.55369639336853682</v>
      </c>
      <c r="M7">
        <f t="shared" si="4"/>
        <v>0.98113207547169812</v>
      </c>
      <c r="N7">
        <f t="shared" si="5"/>
        <v>0.5432492916068663</v>
      </c>
      <c r="O7">
        <f t="shared" si="6"/>
        <v>0.302783932001086</v>
      </c>
    </row>
    <row r="8" spans="1:15" x14ac:dyDescent="0.25">
      <c r="A8" t="s">
        <v>0</v>
      </c>
      <c r="B8">
        <v>2000</v>
      </c>
      <c r="E8">
        <v>64</v>
      </c>
      <c r="F8" t="s">
        <v>1</v>
      </c>
      <c r="G8">
        <v>35.39</v>
      </c>
      <c r="H8">
        <v>18.46</v>
      </c>
      <c r="I8">
        <v>52.32</v>
      </c>
      <c r="J8">
        <f t="shared" si="1"/>
        <v>8.637755102040817</v>
      </c>
      <c r="K8">
        <f>J8*SQRT(E8)</f>
        <v>69.102040816326536</v>
      </c>
      <c r="L8">
        <f>G8/K8</f>
        <v>0.5121411695215593</v>
      </c>
      <c r="M8">
        <f>1-3/(4*(E8-1)-1)</f>
        <v>0.98804780876494025</v>
      </c>
      <c r="N8">
        <f>M8*L8</f>
        <v>0.50601996032409047</v>
      </c>
      <c r="O8">
        <f>M8*J8/K8</f>
        <v>0.12350597609561753</v>
      </c>
    </row>
    <row r="9" spans="1:15" x14ac:dyDescent="0.25">
      <c r="A9" t="s">
        <v>9</v>
      </c>
      <c r="B9">
        <v>1990</v>
      </c>
      <c r="E9">
        <v>21</v>
      </c>
      <c r="F9" t="s">
        <v>1</v>
      </c>
      <c r="G9">
        <v>3.54</v>
      </c>
      <c r="H9">
        <v>-28.31</v>
      </c>
      <c r="I9">
        <v>35.39</v>
      </c>
      <c r="J9">
        <f t="shared" ref="J9:J12" si="7">(I9-H9)/2/1.96</f>
        <v>16.25</v>
      </c>
      <c r="K9">
        <f t="shared" ref="K9:K12" si="8">J9*SQRT(E9)</f>
        <v>74.466855043032396</v>
      </c>
      <c r="L9">
        <f t="shared" ref="L9:L12" si="9">G9/K9</f>
        <v>4.7537928088333112E-2</v>
      </c>
      <c r="M9">
        <f t="shared" ref="M9:M12" si="10">1-3/(4*(E9-1)-1)</f>
        <v>0.96202531645569622</v>
      </c>
      <c r="N9">
        <f t="shared" ref="N9:N12" si="11">M9*L9</f>
        <v>4.5732690312826792E-2</v>
      </c>
      <c r="O9">
        <f t="shared" ref="O9:O12" si="12">M9*J9/K9</f>
        <v>0.20993113491057497</v>
      </c>
    </row>
    <row r="10" spans="1:15" x14ac:dyDescent="0.25">
      <c r="A10" t="s">
        <v>10</v>
      </c>
      <c r="B10">
        <v>1987</v>
      </c>
      <c r="E10">
        <v>42</v>
      </c>
      <c r="F10" t="s">
        <v>1</v>
      </c>
      <c r="G10">
        <v>49.56</v>
      </c>
      <c r="H10">
        <v>6.78</v>
      </c>
      <c r="I10">
        <v>92.34</v>
      </c>
      <c r="J10">
        <f t="shared" si="7"/>
        <v>21.826530612244898</v>
      </c>
      <c r="K10">
        <f t="shared" si="8"/>
        <v>141.45208524382053</v>
      </c>
      <c r="L10">
        <f t="shared" si="9"/>
        <v>0.35036599081995562</v>
      </c>
      <c r="M10">
        <f t="shared" si="10"/>
        <v>0.98159509202453987</v>
      </c>
      <c r="N10">
        <f t="shared" si="11"/>
        <v>0.34391753700118344</v>
      </c>
      <c r="O10">
        <f t="shared" si="12"/>
        <v>0.15146341100573441</v>
      </c>
    </row>
    <row r="11" spans="1:15" x14ac:dyDescent="0.25">
      <c r="A11" t="s">
        <v>11</v>
      </c>
      <c r="B11">
        <v>1987</v>
      </c>
      <c r="E11">
        <v>42</v>
      </c>
      <c r="F11" t="s">
        <v>1</v>
      </c>
      <c r="G11">
        <v>14.16</v>
      </c>
      <c r="H11">
        <v>-22.88</v>
      </c>
      <c r="I11">
        <v>51.2</v>
      </c>
      <c r="J11">
        <f t="shared" si="7"/>
        <v>18.897959183673468</v>
      </c>
      <c r="K11">
        <f t="shared" si="8"/>
        <v>122.47277319848322</v>
      </c>
      <c r="L11">
        <f t="shared" si="9"/>
        <v>0.11561753384200633</v>
      </c>
      <c r="M11">
        <f t="shared" si="10"/>
        <v>0.98159509202453987</v>
      </c>
      <c r="N11">
        <f t="shared" si="11"/>
        <v>0.11348960377129456</v>
      </c>
      <c r="O11">
        <f t="shared" si="12"/>
        <v>0.15146341100573441</v>
      </c>
    </row>
    <row r="12" spans="1:15" x14ac:dyDescent="0.25">
      <c r="A12" t="s">
        <v>12</v>
      </c>
      <c r="B12">
        <v>1985</v>
      </c>
      <c r="E12">
        <v>12</v>
      </c>
      <c r="F12" t="s">
        <v>1</v>
      </c>
      <c r="G12">
        <v>16.809999999999999</v>
      </c>
      <c r="H12">
        <v>-3.4</v>
      </c>
      <c r="I12">
        <v>37.020000000000003</v>
      </c>
      <c r="J12">
        <f t="shared" si="7"/>
        <v>10.311224489795919</v>
      </c>
      <c r="K12">
        <f t="shared" si="8"/>
        <v>35.719129409150007</v>
      </c>
      <c r="L12">
        <f t="shared" si="9"/>
        <v>0.47061617340801865</v>
      </c>
      <c r="M12">
        <f t="shared" si="10"/>
        <v>0.93023255813953487</v>
      </c>
      <c r="N12">
        <f t="shared" si="11"/>
        <v>0.43778248689118016</v>
      </c>
      <c r="O12">
        <f t="shared" si="12"/>
        <v>0.26853500892540738</v>
      </c>
    </row>
  </sheetData>
  <sortState xmlns:xlrd2="http://schemas.microsoft.com/office/spreadsheetml/2017/richdata2" ref="A2:O12">
    <sortCondition ref="F2:F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2026-04-18T19:51:09Z</dcterms:modified>
</cp:coreProperties>
</file>