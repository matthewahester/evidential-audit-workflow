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cai2012\"/>
    </mc:Choice>
  </mc:AlternateContent>
  <xr:revisionPtr revIDLastSave="0" documentId="13_ncr:1_{77CFE26E-BB60-4935-A2FD-C7EB11F0BEF9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8" i="1"/>
  <c r="K19" i="1"/>
  <c r="K20" i="1"/>
  <c r="K21" i="1"/>
  <c r="K22" i="1"/>
  <c r="K23" i="1"/>
  <c r="K1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L17" i="1" l="1"/>
  <c r="N17" i="1" s="1"/>
  <c r="M17" i="1"/>
  <c r="O17" i="1"/>
  <c r="L18" i="1"/>
  <c r="N18" i="1" s="1"/>
  <c r="M18" i="1"/>
  <c r="O18" i="1"/>
  <c r="L19" i="1"/>
  <c r="M19" i="1"/>
  <c r="L20" i="1"/>
  <c r="N20" i="1" s="1"/>
  <c r="M20" i="1"/>
  <c r="O20" i="1"/>
  <c r="L21" i="1"/>
  <c r="M21" i="1"/>
  <c r="O21" i="1" s="1"/>
  <c r="L22" i="1"/>
  <c r="M22" i="1"/>
  <c r="N22" i="1" s="1"/>
  <c r="O22" i="1"/>
  <c r="L23" i="1"/>
  <c r="N23" i="1" s="1"/>
  <c r="M23" i="1"/>
  <c r="O23" i="1"/>
  <c r="O16" i="1"/>
  <c r="M16" i="1"/>
  <c r="L16" i="1"/>
  <c r="N16" i="1" s="1"/>
  <c r="L3" i="1"/>
  <c r="M3" i="1"/>
  <c r="L4" i="1"/>
  <c r="M4" i="1"/>
  <c r="N4" i="1"/>
  <c r="O4" i="1"/>
  <c r="L5" i="1"/>
  <c r="M5" i="1"/>
  <c r="L6" i="1"/>
  <c r="N6" i="1" s="1"/>
  <c r="M6" i="1"/>
  <c r="O6" i="1"/>
  <c r="L7" i="1"/>
  <c r="M7" i="1"/>
  <c r="N7" i="1" s="1"/>
  <c r="O7" i="1"/>
  <c r="L8" i="1"/>
  <c r="M8" i="1"/>
  <c r="N8" i="1" s="1"/>
  <c r="L9" i="1"/>
  <c r="M9" i="1"/>
  <c r="N9" i="1"/>
  <c r="O9" i="1"/>
  <c r="O10" i="1"/>
  <c r="L10" i="1"/>
  <c r="N10" i="1" s="1"/>
  <c r="M10" i="1"/>
  <c r="L11" i="1"/>
  <c r="N11" i="1" s="1"/>
  <c r="M11" i="1"/>
  <c r="O11" i="1"/>
  <c r="L12" i="1"/>
  <c r="M12" i="1"/>
  <c r="O12" i="1" s="1"/>
  <c r="N12" i="1"/>
  <c r="L13" i="1"/>
  <c r="N13" i="1" s="1"/>
  <c r="M13" i="1"/>
  <c r="O13" i="1"/>
  <c r="L14" i="1"/>
  <c r="M14" i="1"/>
  <c r="N14" i="1"/>
  <c r="O14" i="1"/>
  <c r="L15" i="1"/>
  <c r="M15" i="1"/>
  <c r="O2" i="1"/>
  <c r="M2" i="1"/>
  <c r="L2" i="1"/>
  <c r="N2" i="1" s="1"/>
  <c r="N19" i="1" l="1"/>
  <c r="N15" i="1"/>
  <c r="N3" i="1"/>
  <c r="N21" i="1"/>
  <c r="O19" i="1"/>
  <c r="N5" i="1"/>
  <c r="O8" i="1"/>
  <c r="O15" i="1"/>
  <c r="O3" i="1"/>
  <c r="O5" i="1"/>
  <c r="J2" i="1" l="1"/>
  <c r="J3" i="1"/>
  <c r="J17" i="1"/>
  <c r="J4" i="1"/>
  <c r="J5" i="1"/>
  <c r="J6" i="1"/>
  <c r="J7" i="1"/>
  <c r="J8" i="1"/>
  <c r="J9" i="1"/>
  <c r="J10" i="1"/>
  <c r="J18" i="1"/>
  <c r="J19" i="1"/>
  <c r="J20" i="1"/>
  <c r="J11" i="1"/>
  <c r="J12" i="1"/>
  <c r="J21" i="1"/>
  <c r="J22" i="1"/>
  <c r="J13" i="1"/>
  <c r="J14" i="1"/>
  <c r="J15" i="1"/>
  <c r="J23" i="1"/>
  <c r="J16" i="1"/>
</calcChain>
</file>

<file path=xl/sharedStrings.xml><?xml version="1.0" encoding="utf-8"?>
<sst xmlns="http://schemas.openxmlformats.org/spreadsheetml/2006/main" count="59" uniqueCount="39">
  <si>
    <t>Grubben</t>
  </si>
  <si>
    <t>Burr</t>
  </si>
  <si>
    <t>Rosmarin</t>
  </si>
  <si>
    <t>Aro</t>
  </si>
  <si>
    <t>D'amicia</t>
  </si>
  <si>
    <t>D'amicib</t>
  </si>
  <si>
    <t>Frieda</t>
  </si>
  <si>
    <t>Friedb</t>
  </si>
  <si>
    <t>Friedc</t>
  </si>
  <si>
    <t>Superkoa</t>
  </si>
  <si>
    <t>Superkob</t>
  </si>
  <si>
    <t>Vana</t>
  </si>
  <si>
    <t>Vanb</t>
  </si>
  <si>
    <t>Burra</t>
  </si>
  <si>
    <t>Burrb</t>
  </si>
  <si>
    <t>Baka</t>
  </si>
  <si>
    <t>Bakb</t>
  </si>
  <si>
    <t>Aroa</t>
  </si>
  <si>
    <t>Arob</t>
  </si>
  <si>
    <t>Fordea</t>
  </si>
  <si>
    <t>Fordeb</t>
  </si>
  <si>
    <t>Fordec</t>
  </si>
  <si>
    <t>Author</t>
  </si>
  <si>
    <t>Year</t>
  </si>
  <si>
    <t>wmd</t>
  </si>
  <si>
    <t>lCI_wmd</t>
  </si>
  <si>
    <t>uCI_wmd</t>
  </si>
  <si>
    <t>se_wmd</t>
  </si>
  <si>
    <t>n_treat</t>
  </si>
  <si>
    <t>n_control</t>
  </si>
  <si>
    <t>design</t>
  </si>
  <si>
    <t>X</t>
  </si>
  <si>
    <t>P</t>
  </si>
  <si>
    <t>pooled_sd</t>
  </si>
  <si>
    <t>d</t>
  </si>
  <si>
    <t>J</t>
  </si>
  <si>
    <t>g</t>
  </si>
  <si>
    <t>se_g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</si>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</sst>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topLeftCell="B1" workbookViewId="0">
      <selection activeCell="I6" sqref="I6"/>
    </sheetView>
  </sheetViews>
  <sheetFormatPr defaultRowHeight="15" x14ac:dyDescent="0.25"/>
  <cols>
    <col min="1" max="1" width="9.42578125" bestFit="1" customWidth="1"/>
    <col min="2" max="2" width="5" bestFit="1" customWidth="1"/>
    <col min="3" max="3" width="7.42578125" bestFit="1" customWidth="1"/>
    <col min="4" max="4" width="9.42578125" bestFit="1" customWidth="1"/>
    <col min="5" max="6" width="9.42578125" customWidth="1"/>
    <col min="7" max="7" width="6" bestFit="1" customWidth="1"/>
    <col min="8" max="8" width="8.7109375" bestFit="1" customWidth="1"/>
    <col min="9" max="9" width="9.28515625" bestFit="1" customWidth="1"/>
    <col min="10" max="10" width="12" bestFit="1" customWidth="1"/>
  </cols>
  <sheetData>
    <row r="1" spans="1:15" x14ac:dyDescent="0.25">
      <c r="A1" t="s">
        <v>22</v>
      </c>
      <c r="B1" t="s">
        <v>23</v>
      </c>
      <c r="C1" t="s">
        <v>28</v>
      </c>
      <c r="D1" t="s">
        <v>29</v>
      </c>
      <c r="E1" t="s">
        <v>38</v>
      </c>
      <c r="F1" t="s">
        <v>30</v>
      </c>
      <c r="G1" t="s">
        <v>24</v>
      </c>
      <c r="H1" t="s">
        <v>25</v>
      </c>
      <c r="I1" t="s">
        <v>26</v>
      </c>
      <c r="J1" t="s">
        <v>27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x14ac:dyDescent="0.25">
      <c r="A2" t="s">
        <v>4</v>
      </c>
      <c r="B2">
        <v>1996</v>
      </c>
      <c r="C2">
        <v>28</v>
      </c>
      <c r="D2">
        <v>28</v>
      </c>
      <c r="F2" t="s">
        <v>32</v>
      </c>
      <c r="G2">
        <v>3.86</v>
      </c>
      <c r="H2">
        <v>-4.49</v>
      </c>
      <c r="I2">
        <v>12.21</v>
      </c>
      <c r="J2">
        <f t="shared" ref="J2:J23" si="0">(I2-H2)/2/1.96</f>
        <v>4.2602040816326543</v>
      </c>
      <c r="K2">
        <f>J2/SQRT(1/C2+1/D2)</f>
        <v>15.940224071205316</v>
      </c>
      <c r="L2">
        <f>G2/K2</f>
        <v>0.24215468883983679</v>
      </c>
      <c r="M2">
        <f>1-3/(4*(C2+D2-2)-1)</f>
        <v>0.98604651162790702</v>
      </c>
      <c r="N2">
        <f>M2*L2</f>
        <v>0.23877578620486234</v>
      </c>
      <c r="O2">
        <f>M2*J2/K2</f>
        <v>0.26353201528108827</v>
      </c>
    </row>
    <row r="3" spans="1:15" x14ac:dyDescent="0.25">
      <c r="A3" t="s">
        <v>5</v>
      </c>
      <c r="B3">
        <v>1996</v>
      </c>
      <c r="C3">
        <v>28</v>
      </c>
      <c r="D3">
        <v>28</v>
      </c>
      <c r="F3" t="s">
        <v>32</v>
      </c>
      <c r="G3">
        <v>1.93</v>
      </c>
      <c r="H3">
        <v>-6</v>
      </c>
      <c r="I3">
        <v>9.86</v>
      </c>
      <c r="J3">
        <f t="shared" si="0"/>
        <v>4.045918367346939</v>
      </c>
      <c r="K3">
        <f t="shared" ref="K3:K15" si="1">J3/SQRT(1/C3+1/D3)</f>
        <v>15.138440345468039</v>
      </c>
      <c r="L3">
        <f t="shared" ref="L3:L15" si="2">G3/K3</f>
        <v>0.12749001587721551</v>
      </c>
      <c r="M3">
        <f t="shared" ref="M3:M15" si="3">1-3/(4*(C3+D3-2)-1)</f>
        <v>0.98604651162790702</v>
      </c>
      <c r="N3">
        <f t="shared" ref="N3:N15" si="4">M3*L3</f>
        <v>0.12571108542311482</v>
      </c>
      <c r="O3">
        <f t="shared" ref="O3:O15" si="5">M3*J3/K3</f>
        <v>0.26353201528108827</v>
      </c>
    </row>
    <row r="4" spans="1:15" x14ac:dyDescent="0.25">
      <c r="A4" t="s">
        <v>6</v>
      </c>
      <c r="B4">
        <v>1992</v>
      </c>
      <c r="C4">
        <v>25</v>
      </c>
      <c r="D4">
        <v>25</v>
      </c>
      <c r="F4" t="s">
        <v>32</v>
      </c>
      <c r="G4">
        <v>0.77</v>
      </c>
      <c r="H4">
        <v>-7.64</v>
      </c>
      <c r="I4">
        <v>9.18</v>
      </c>
      <c r="J4">
        <f t="shared" si="0"/>
        <v>4.2908163265306127</v>
      </c>
      <c r="K4">
        <f t="shared" si="1"/>
        <v>15.170326606578739</v>
      </c>
      <c r="L4">
        <f t="shared" si="2"/>
        <v>5.0756982362270504E-2</v>
      </c>
      <c r="M4">
        <f t="shared" si="3"/>
        <v>0.98429319371727753</v>
      </c>
      <c r="N4">
        <f t="shared" si="4"/>
        <v>4.9959752272810763E-2</v>
      </c>
      <c r="O4">
        <f t="shared" si="5"/>
        <v>0.27840015678130037</v>
      </c>
    </row>
    <row r="5" spans="1:15" x14ac:dyDescent="0.25">
      <c r="A5" t="s">
        <v>7</v>
      </c>
      <c r="B5">
        <v>1992</v>
      </c>
      <c r="C5">
        <v>25</v>
      </c>
      <c r="D5">
        <v>25</v>
      </c>
      <c r="F5" t="s">
        <v>32</v>
      </c>
      <c r="G5">
        <v>-0.77</v>
      </c>
      <c r="H5">
        <v>-8.73</v>
      </c>
      <c r="I5">
        <v>7.19</v>
      </c>
      <c r="J5">
        <f t="shared" si="0"/>
        <v>4.0612244897959187</v>
      </c>
      <c r="K5">
        <f t="shared" si="1"/>
        <v>14.358596883277855</v>
      </c>
      <c r="L5">
        <f t="shared" si="2"/>
        <v>-5.3626409757122483E-2</v>
      </c>
      <c r="M5">
        <f t="shared" si="3"/>
        <v>0.98429319371727753</v>
      </c>
      <c r="N5">
        <f t="shared" si="4"/>
        <v>-5.2784110127429458E-2</v>
      </c>
      <c r="O5">
        <f t="shared" si="5"/>
        <v>0.27840015678130037</v>
      </c>
    </row>
    <row r="6" spans="1:15" x14ac:dyDescent="0.25">
      <c r="A6" t="s">
        <v>8</v>
      </c>
      <c r="B6">
        <v>1992</v>
      </c>
      <c r="C6">
        <v>25</v>
      </c>
      <c r="D6">
        <v>25</v>
      </c>
      <c r="F6" t="s">
        <v>32</v>
      </c>
      <c r="G6">
        <v>9.65</v>
      </c>
      <c r="H6">
        <v>1.79</v>
      </c>
      <c r="I6">
        <v>17.510000000000002</v>
      </c>
      <c r="J6">
        <f t="shared" si="0"/>
        <v>4.0102040816326534</v>
      </c>
      <c r="K6">
        <f t="shared" si="1"/>
        <v>14.178212500322102</v>
      </c>
      <c r="L6">
        <f t="shared" si="2"/>
        <v>0.68062176383523454</v>
      </c>
      <c r="M6">
        <f t="shared" si="3"/>
        <v>0.98429319371727753</v>
      </c>
      <c r="N6">
        <f t="shared" si="4"/>
        <v>0.66993136963886968</v>
      </c>
      <c r="O6">
        <f t="shared" si="5"/>
        <v>0.27840015678130037</v>
      </c>
    </row>
    <row r="7" spans="1:15" x14ac:dyDescent="0.25">
      <c r="A7" t="s">
        <v>9</v>
      </c>
      <c r="B7">
        <v>1991</v>
      </c>
      <c r="C7">
        <v>62</v>
      </c>
      <c r="D7">
        <v>58</v>
      </c>
      <c r="F7" t="s">
        <v>32</v>
      </c>
      <c r="G7">
        <v>0</v>
      </c>
      <c r="H7">
        <v>-7.67</v>
      </c>
      <c r="I7">
        <v>7.67</v>
      </c>
      <c r="J7">
        <f t="shared" si="0"/>
        <v>3.9132653061224492</v>
      </c>
      <c r="K7">
        <f t="shared" si="1"/>
        <v>21.42192582000613</v>
      </c>
      <c r="L7">
        <f t="shared" si="2"/>
        <v>0</v>
      </c>
      <c r="M7">
        <f t="shared" si="3"/>
        <v>0.99363057324840764</v>
      </c>
      <c r="N7">
        <f t="shared" si="4"/>
        <v>0</v>
      </c>
      <c r="O7">
        <f t="shared" si="5"/>
        <v>0.18151216104782691</v>
      </c>
    </row>
    <row r="8" spans="1:15" x14ac:dyDescent="0.25">
      <c r="A8" t="s">
        <v>10</v>
      </c>
      <c r="B8">
        <v>1991</v>
      </c>
      <c r="C8">
        <v>61</v>
      </c>
      <c r="D8">
        <v>58</v>
      </c>
      <c r="F8" t="s">
        <v>32</v>
      </c>
      <c r="G8">
        <v>8.11</v>
      </c>
      <c r="H8">
        <v>-0.54</v>
      </c>
      <c r="I8">
        <v>16.760000000000002</v>
      </c>
      <c r="J8">
        <f t="shared" si="0"/>
        <v>4.4132653061224492</v>
      </c>
      <c r="K8">
        <f t="shared" si="1"/>
        <v>24.063869831872093</v>
      </c>
      <c r="L8">
        <f t="shared" si="2"/>
        <v>0.33701977515098064</v>
      </c>
      <c r="M8">
        <f t="shared" si="3"/>
        <v>0.99357601713062094</v>
      </c>
      <c r="N8">
        <f t="shared" si="4"/>
        <v>0.33485476588876878</v>
      </c>
      <c r="O8">
        <f t="shared" si="5"/>
        <v>0.18221984227948931</v>
      </c>
    </row>
    <row r="9" spans="1:15" x14ac:dyDescent="0.25">
      <c r="A9" t="s">
        <v>11</v>
      </c>
      <c r="B9">
        <v>1991</v>
      </c>
      <c r="C9">
        <v>22</v>
      </c>
      <c r="D9">
        <v>21</v>
      </c>
      <c r="F9" t="s">
        <v>32</v>
      </c>
      <c r="G9">
        <v>22.78</v>
      </c>
      <c r="H9">
        <v>11.35</v>
      </c>
      <c r="I9">
        <v>34.21</v>
      </c>
      <c r="J9">
        <f t="shared" si="0"/>
        <v>5.8316326530612246</v>
      </c>
      <c r="K9">
        <f t="shared" si="1"/>
        <v>19.115115170324714</v>
      </c>
      <c r="L9">
        <f t="shared" si="2"/>
        <v>1.1917270598172929</v>
      </c>
      <c r="M9">
        <f t="shared" si="3"/>
        <v>0.98159509202453987</v>
      </c>
      <c r="N9">
        <f t="shared" si="4"/>
        <v>1.1697934329494899</v>
      </c>
      <c r="O9">
        <f t="shared" si="5"/>
        <v>0.29946468748572569</v>
      </c>
    </row>
    <row r="10" spans="1:15" x14ac:dyDescent="0.25">
      <c r="A10" t="s">
        <v>12</v>
      </c>
      <c r="B10">
        <v>1991</v>
      </c>
      <c r="C10">
        <v>21</v>
      </c>
      <c r="D10">
        <v>21</v>
      </c>
      <c r="F10" t="s">
        <v>32</v>
      </c>
      <c r="G10">
        <v>6.56</v>
      </c>
      <c r="H10">
        <v>-3.96</v>
      </c>
      <c r="I10">
        <v>17.079999999999998</v>
      </c>
      <c r="J10">
        <f t="shared" si="0"/>
        <v>5.3673469387755102</v>
      </c>
      <c r="K10">
        <f t="shared" si="1"/>
        <v>17.392191874298646</v>
      </c>
      <c r="L10">
        <f t="shared" si="2"/>
        <v>0.377180751420645</v>
      </c>
      <c r="M10">
        <f t="shared" si="3"/>
        <v>0.98113207547169812</v>
      </c>
      <c r="N10">
        <f t="shared" si="4"/>
        <v>0.37006413346931205</v>
      </c>
      <c r="O10">
        <f t="shared" si="5"/>
        <v>0.302783932001086</v>
      </c>
    </row>
    <row r="11" spans="1:15" x14ac:dyDescent="0.25">
      <c r="A11" t="s">
        <v>15</v>
      </c>
      <c r="B11">
        <v>1989</v>
      </c>
      <c r="C11">
        <v>34</v>
      </c>
      <c r="D11">
        <v>34</v>
      </c>
      <c r="F11" t="s">
        <v>32</v>
      </c>
      <c r="G11">
        <v>2.7</v>
      </c>
      <c r="H11">
        <v>-8.76</v>
      </c>
      <c r="I11">
        <v>14.16</v>
      </c>
      <c r="J11">
        <f t="shared" si="0"/>
        <v>5.8469387755102042</v>
      </c>
      <c r="K11">
        <f t="shared" si="1"/>
        <v>24.10754615794816</v>
      </c>
      <c r="L11">
        <f t="shared" si="2"/>
        <v>0.11199812632567836</v>
      </c>
      <c r="M11">
        <f t="shared" si="3"/>
        <v>0.98859315589353614</v>
      </c>
      <c r="N11">
        <f t="shared" si="4"/>
        <v>0.11072058115846531</v>
      </c>
      <c r="O11">
        <f t="shared" si="5"/>
        <v>0.23976905897127973</v>
      </c>
    </row>
    <row r="12" spans="1:15" x14ac:dyDescent="0.25">
      <c r="A12" t="s">
        <v>16</v>
      </c>
      <c r="B12">
        <v>1989</v>
      </c>
      <c r="C12">
        <v>33</v>
      </c>
      <c r="D12">
        <v>34</v>
      </c>
      <c r="F12" t="s">
        <v>32</v>
      </c>
      <c r="G12">
        <v>21.24</v>
      </c>
      <c r="H12">
        <v>9.66</v>
      </c>
      <c r="I12">
        <v>32.82</v>
      </c>
      <c r="J12">
        <f t="shared" si="0"/>
        <v>5.9081632653061229</v>
      </c>
      <c r="K12">
        <f t="shared" si="1"/>
        <v>24.177506857689664</v>
      </c>
      <c r="L12">
        <f t="shared" si="2"/>
        <v>0.87850249097311739</v>
      </c>
      <c r="M12">
        <f t="shared" si="3"/>
        <v>0.98841698841698844</v>
      </c>
      <c r="N12">
        <f t="shared" si="4"/>
        <v>0.86832678644447125</v>
      </c>
      <c r="O12">
        <f t="shared" si="5"/>
        <v>0.2415356130862778</v>
      </c>
    </row>
    <row r="13" spans="1:15" x14ac:dyDescent="0.25">
      <c r="A13" t="s">
        <v>19</v>
      </c>
      <c r="B13">
        <v>1985</v>
      </c>
      <c r="C13">
        <v>8</v>
      </c>
      <c r="D13">
        <v>9</v>
      </c>
      <c r="F13" t="s">
        <v>32</v>
      </c>
      <c r="G13">
        <v>58.3</v>
      </c>
      <c r="H13">
        <v>17.760000000000002</v>
      </c>
      <c r="I13">
        <v>98.84</v>
      </c>
      <c r="J13">
        <f t="shared" si="0"/>
        <v>20.683673469387756</v>
      </c>
      <c r="K13">
        <f t="shared" si="1"/>
        <v>42.566648826595767</v>
      </c>
      <c r="L13">
        <f t="shared" si="2"/>
        <v>1.3696168621940938</v>
      </c>
      <c r="M13">
        <f t="shared" si="3"/>
        <v>0.94915254237288138</v>
      </c>
      <c r="N13">
        <f t="shared" si="4"/>
        <v>1.2999753268282925</v>
      </c>
      <c r="O13">
        <f t="shared" si="5"/>
        <v>0.46120523462053226</v>
      </c>
    </row>
    <row r="14" spans="1:15" x14ac:dyDescent="0.25">
      <c r="A14" t="s">
        <v>20</v>
      </c>
      <c r="B14">
        <v>1985</v>
      </c>
      <c r="C14">
        <v>8</v>
      </c>
      <c r="D14">
        <v>9</v>
      </c>
      <c r="F14" t="s">
        <v>32</v>
      </c>
      <c r="G14">
        <v>30.89</v>
      </c>
      <c r="H14">
        <v>8.89</v>
      </c>
      <c r="I14">
        <v>52.89</v>
      </c>
      <c r="J14">
        <f t="shared" si="0"/>
        <v>11.224489795918368</v>
      </c>
      <c r="K14">
        <f t="shared" si="1"/>
        <v>23.099809427358334</v>
      </c>
      <c r="L14">
        <f t="shared" si="2"/>
        <v>1.3372404693267872</v>
      </c>
      <c r="M14">
        <f t="shared" si="3"/>
        <v>0.94915254237288138</v>
      </c>
      <c r="N14">
        <f t="shared" si="4"/>
        <v>1.2692451912254252</v>
      </c>
      <c r="O14">
        <f t="shared" si="5"/>
        <v>0.46120523462053226</v>
      </c>
    </row>
    <row r="15" spans="1:15" x14ac:dyDescent="0.25">
      <c r="A15" t="s">
        <v>21</v>
      </c>
      <c r="B15">
        <v>1985</v>
      </c>
      <c r="C15">
        <v>8</v>
      </c>
      <c r="D15">
        <v>9</v>
      </c>
      <c r="F15" t="s">
        <v>32</v>
      </c>
      <c r="G15">
        <v>9.65</v>
      </c>
      <c r="H15">
        <v>-25.98</v>
      </c>
      <c r="I15">
        <v>45.28</v>
      </c>
      <c r="J15">
        <f t="shared" si="0"/>
        <v>18.178571428571431</v>
      </c>
      <c r="K15">
        <f t="shared" si="1"/>
        <v>37.411191358944436</v>
      </c>
      <c r="L15">
        <f t="shared" si="2"/>
        <v>0.2579442046475442</v>
      </c>
      <c r="M15">
        <f t="shared" si="3"/>
        <v>0.94915254237288138</v>
      </c>
      <c r="N15">
        <f t="shared" si="4"/>
        <v>0.24482839763156738</v>
      </c>
      <c r="O15">
        <f t="shared" si="5"/>
        <v>0.4612052346205322</v>
      </c>
    </row>
    <row r="16" spans="1:15" x14ac:dyDescent="0.25">
      <c r="A16" t="s">
        <v>0</v>
      </c>
      <c r="B16">
        <v>2000</v>
      </c>
      <c r="E16">
        <v>64</v>
      </c>
      <c r="F16" t="s">
        <v>31</v>
      </c>
      <c r="G16">
        <v>19.3</v>
      </c>
      <c r="H16">
        <v>8.6</v>
      </c>
      <c r="I16">
        <v>30</v>
      </c>
      <c r="J16">
        <f t="shared" si="0"/>
        <v>5.4591836734693873</v>
      </c>
      <c r="K16">
        <f>J16*SQRT(E16)</f>
        <v>43.673469387755098</v>
      </c>
      <c r="L16">
        <f>G16/K16</f>
        <v>0.44191588785046737</v>
      </c>
      <c r="M16">
        <f>1-3/(4*(E16-1)-1)</f>
        <v>0.98804780876494025</v>
      </c>
      <c r="N16">
        <f>M16*L16</f>
        <v>0.43663402464906736</v>
      </c>
      <c r="O16">
        <f>M16*J16/K16</f>
        <v>0.12350597609561753</v>
      </c>
    </row>
    <row r="17" spans="1:15" x14ac:dyDescent="0.25">
      <c r="A17" t="s">
        <v>1</v>
      </c>
      <c r="B17">
        <v>1995</v>
      </c>
      <c r="E17">
        <v>261</v>
      </c>
      <c r="F17" t="s">
        <v>31</v>
      </c>
      <c r="G17">
        <v>4.71</v>
      </c>
      <c r="H17">
        <v>1.62</v>
      </c>
      <c r="I17">
        <v>7.8</v>
      </c>
      <c r="J17">
        <f t="shared" si="0"/>
        <v>1.5765306122448979</v>
      </c>
      <c r="K17">
        <f t="shared" ref="K17:K23" si="6">J17*SQRT(E17)</f>
        <v>25.46963151129431</v>
      </c>
      <c r="L17">
        <f t="shared" ref="L17:L23" si="7">G17/K17</f>
        <v>0.18492611476971652</v>
      </c>
      <c r="M17">
        <f t="shared" ref="M17:M23" si="8">1-3/(4*(E17-1)-1)</f>
        <v>0.99711260827718962</v>
      </c>
      <c r="N17">
        <f t="shared" ref="N17:N23" si="9">M17*L17</f>
        <v>0.18439216063659894</v>
      </c>
      <c r="O17">
        <f t="shared" ref="O17:O23" si="10">M17*J17/K17</f>
        <v>6.1719720998211658E-2</v>
      </c>
    </row>
    <row r="18" spans="1:15" x14ac:dyDescent="0.25">
      <c r="A18" t="s">
        <v>2</v>
      </c>
      <c r="B18">
        <v>1990</v>
      </c>
      <c r="E18">
        <v>21</v>
      </c>
      <c r="F18" t="s">
        <v>31</v>
      </c>
      <c r="G18">
        <v>0</v>
      </c>
      <c r="H18">
        <v>-8.41</v>
      </c>
      <c r="I18">
        <v>8.41</v>
      </c>
      <c r="J18">
        <f t="shared" si="0"/>
        <v>4.2908163265306127</v>
      </c>
      <c r="K18">
        <f t="shared" si="6"/>
        <v>19.662990609478886</v>
      </c>
      <c r="L18">
        <f t="shared" si="7"/>
        <v>0</v>
      </c>
      <c r="M18">
        <f t="shared" si="8"/>
        <v>0.96202531645569622</v>
      </c>
      <c r="N18">
        <f t="shared" si="9"/>
        <v>0</v>
      </c>
      <c r="O18">
        <f t="shared" si="10"/>
        <v>0.20993113491057497</v>
      </c>
    </row>
    <row r="19" spans="1:15" x14ac:dyDescent="0.25">
      <c r="A19" t="s">
        <v>13</v>
      </c>
      <c r="B19">
        <v>1989</v>
      </c>
      <c r="E19">
        <v>54</v>
      </c>
      <c r="F19" t="s">
        <v>31</v>
      </c>
      <c r="G19">
        <v>1.54</v>
      </c>
      <c r="H19">
        <v>-5.82</v>
      </c>
      <c r="I19">
        <v>8.9</v>
      </c>
      <c r="J19">
        <f t="shared" si="0"/>
        <v>3.7551020408163267</v>
      </c>
      <c r="K19">
        <f t="shared" si="6"/>
        <v>27.594251796251314</v>
      </c>
      <c r="L19">
        <f t="shared" si="7"/>
        <v>5.5808724634788226E-2</v>
      </c>
      <c r="M19">
        <f t="shared" si="8"/>
        <v>0.98578199052132698</v>
      </c>
      <c r="N19">
        <f t="shared" si="9"/>
        <v>5.5015235658938157E-2</v>
      </c>
      <c r="O19">
        <f t="shared" si="10"/>
        <v>0.13414793746679859</v>
      </c>
    </row>
    <row r="20" spans="1:15" x14ac:dyDescent="0.25">
      <c r="A20" t="s">
        <v>14</v>
      </c>
      <c r="B20">
        <v>1989</v>
      </c>
      <c r="E20">
        <v>54</v>
      </c>
      <c r="F20" t="s">
        <v>31</v>
      </c>
      <c r="G20">
        <v>2.3199999999999998</v>
      </c>
      <c r="H20">
        <v>-4.8499999999999996</v>
      </c>
      <c r="I20">
        <v>9.49</v>
      </c>
      <c r="J20">
        <f t="shared" si="0"/>
        <v>3.6581632653061225</v>
      </c>
      <c r="K20">
        <f t="shared" si="6"/>
        <v>26.881900187380694</v>
      </c>
      <c r="L20">
        <f t="shared" si="7"/>
        <v>8.630342289155174E-2</v>
      </c>
      <c r="M20">
        <f t="shared" si="8"/>
        <v>0.98578199052132698</v>
      </c>
      <c r="N20">
        <f t="shared" si="9"/>
        <v>8.5076360006837728E-2</v>
      </c>
      <c r="O20">
        <f t="shared" si="10"/>
        <v>0.13414793746679859</v>
      </c>
    </row>
    <row r="21" spans="1:15" x14ac:dyDescent="0.25">
      <c r="A21" t="s">
        <v>17</v>
      </c>
      <c r="B21">
        <v>1987</v>
      </c>
      <c r="E21">
        <v>42</v>
      </c>
      <c r="F21" t="s">
        <v>31</v>
      </c>
      <c r="G21">
        <v>42.47</v>
      </c>
      <c r="H21">
        <v>25.2</v>
      </c>
      <c r="I21">
        <v>59.74</v>
      </c>
      <c r="J21">
        <f t="shared" si="0"/>
        <v>8.8112244897959204</v>
      </c>
      <c r="K21">
        <f t="shared" si="6"/>
        <v>57.103261153828456</v>
      </c>
      <c r="L21">
        <f t="shared" si="7"/>
        <v>0.74374035986476439</v>
      </c>
      <c r="M21">
        <f t="shared" si="8"/>
        <v>0.98159509202453987</v>
      </c>
      <c r="N21">
        <f t="shared" si="9"/>
        <v>0.73005188698381784</v>
      </c>
      <c r="O21">
        <f t="shared" si="10"/>
        <v>0.15146341100573438</v>
      </c>
    </row>
    <row r="22" spans="1:15" x14ac:dyDescent="0.25">
      <c r="A22" t="s">
        <v>18</v>
      </c>
      <c r="B22">
        <v>1987</v>
      </c>
      <c r="E22">
        <v>42</v>
      </c>
      <c r="F22" t="s">
        <v>31</v>
      </c>
      <c r="G22">
        <v>11.97</v>
      </c>
      <c r="H22">
        <v>-3.06</v>
      </c>
      <c r="I22">
        <v>27</v>
      </c>
      <c r="J22">
        <f t="shared" si="0"/>
        <v>7.6683673469387754</v>
      </c>
      <c r="K22">
        <f t="shared" si="6"/>
        <v>49.696700355648034</v>
      </c>
      <c r="L22">
        <f t="shared" si="7"/>
        <v>0.24086106148573724</v>
      </c>
      <c r="M22">
        <f t="shared" si="8"/>
        <v>0.98159509202453987</v>
      </c>
      <c r="N22">
        <f t="shared" si="9"/>
        <v>0.23642803581422062</v>
      </c>
      <c r="O22">
        <f t="shared" si="10"/>
        <v>0.15146341100573438</v>
      </c>
    </row>
    <row r="23" spans="1:15" x14ac:dyDescent="0.25">
      <c r="A23" t="s">
        <v>3</v>
      </c>
      <c r="B23">
        <v>1985</v>
      </c>
      <c r="E23">
        <v>12</v>
      </c>
      <c r="F23" t="s">
        <v>31</v>
      </c>
      <c r="G23">
        <v>6.56</v>
      </c>
      <c r="H23">
        <v>-12.72</v>
      </c>
      <c r="I23">
        <v>25.84</v>
      </c>
      <c r="J23">
        <f t="shared" si="0"/>
        <v>9.8367346938775526</v>
      </c>
      <c r="K23">
        <f t="shared" si="6"/>
        <v>34.075448540742812</v>
      </c>
      <c r="L23">
        <f t="shared" si="7"/>
        <v>0.19251397357708847</v>
      </c>
      <c r="M23">
        <f t="shared" si="8"/>
        <v>0.93023255813953487</v>
      </c>
      <c r="N23">
        <f t="shared" si="9"/>
        <v>0.17908276611822183</v>
      </c>
      <c r="O23">
        <f t="shared" si="10"/>
        <v>0.26853500892540738</v>
      </c>
    </row>
  </sheetData>
  <sortState xmlns:xlrd2="http://schemas.microsoft.com/office/spreadsheetml/2017/richdata2" ref="A2:O23">
    <sortCondition ref="F2:F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2026-04-18T20:14:26Z</dcterms:modified>
</cp:coreProperties>
</file>