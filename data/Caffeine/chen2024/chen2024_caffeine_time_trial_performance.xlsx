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chen2024\"/>
    </mc:Choice>
  </mc:AlternateContent>
  <xr:revisionPtr revIDLastSave="0" documentId="13_ncr:1_{EC31C697-D9B6-4C60-9D90-723A87BC5576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L4" i="1"/>
  <c r="M4" i="1"/>
  <c r="N4" i="1"/>
  <c r="L5" i="1"/>
  <c r="N5" i="1" s="1"/>
  <c r="L6" i="1"/>
  <c r="N6" i="1" s="1"/>
  <c r="L7" i="1"/>
  <c r="M7" i="1"/>
  <c r="N7" i="1"/>
  <c r="L8" i="1"/>
  <c r="M8" i="1"/>
  <c r="N8" i="1"/>
  <c r="L9" i="1"/>
  <c r="M9" i="1"/>
  <c r="N9" i="1"/>
  <c r="L10" i="1"/>
  <c r="M10" i="1" s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M2" i="1"/>
  <c r="N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N10" i="1" l="1"/>
  <c r="M5" i="1"/>
  <c r="M6" i="1"/>
  <c r="N3" i="1"/>
</calcChain>
</file>

<file path=xl/sharedStrings.xml><?xml version="1.0" encoding="utf-8"?>
<sst xmlns="http://schemas.openxmlformats.org/spreadsheetml/2006/main" count="29" uniqueCount="29">
  <si>
    <t>Acker-Hewitt</t>
  </si>
  <si>
    <t>Bortolotti</t>
  </si>
  <si>
    <t>Conway</t>
  </si>
  <si>
    <t>Felippe</t>
  </si>
  <si>
    <t>Griest</t>
  </si>
  <si>
    <t>Hodgson</t>
  </si>
  <si>
    <t>Larson</t>
  </si>
  <si>
    <t>Santos</t>
  </si>
  <si>
    <t>Goncalvesa</t>
  </si>
  <si>
    <t>Goncalvesb</t>
  </si>
  <si>
    <t>Goncalvesc</t>
  </si>
  <si>
    <t>Santosa</t>
  </si>
  <si>
    <t>Santosb</t>
  </si>
  <si>
    <t>Skinnera</t>
  </si>
  <si>
    <t>Skinnerb</t>
  </si>
  <si>
    <t>Author</t>
  </si>
  <si>
    <t>mean_treat</t>
  </si>
  <si>
    <t>sd_treat</t>
  </si>
  <si>
    <t>n_treat</t>
  </si>
  <si>
    <t>mean_control</t>
  </si>
  <si>
    <t>sd_control</t>
  </si>
  <si>
    <t>n_control</t>
  </si>
  <si>
    <t>d</t>
  </si>
  <si>
    <t>d_lCI</t>
  </si>
  <si>
    <t>d_uCI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</si>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</sst>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M12" sqref="M12"/>
    </sheetView>
  </sheetViews>
  <sheetFormatPr defaultRowHeight="15" x14ac:dyDescent="0.25"/>
  <cols>
    <col min="1" max="1" width="12.7109375" bestFit="1" customWidth="1"/>
    <col min="2" max="2" width="11.28515625" bestFit="1" customWidth="1"/>
    <col min="3" max="3" width="8.28515625" bestFit="1" customWidth="1"/>
    <col min="4" max="4" width="7.42578125" bestFit="1" customWidth="1"/>
    <col min="5" max="5" width="13.42578125" bestFit="1" customWidth="1"/>
    <col min="6" max="6" width="10.28515625" bestFit="1" customWidth="1"/>
    <col min="7" max="7" width="9.42578125" bestFit="1" customWidth="1"/>
    <col min="8" max="9" width="5.7109375" bestFit="1" customWidth="1"/>
    <col min="10" max="10" width="6" bestFit="1" customWidth="1"/>
  </cols>
  <sheetData>
    <row r="1" spans="1:14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 x14ac:dyDescent="0.25">
      <c r="A2" t="s">
        <v>0</v>
      </c>
      <c r="B2">
        <v>43.6</v>
      </c>
      <c r="C2">
        <v>4.9000000000000004</v>
      </c>
      <c r="D2">
        <v>10</v>
      </c>
      <c r="E2">
        <v>44.2</v>
      </c>
      <c r="F2">
        <v>4.5</v>
      </c>
      <c r="G2">
        <v>10</v>
      </c>
      <c r="H2">
        <v>-0.12</v>
      </c>
      <c r="I2">
        <v>-1</v>
      </c>
      <c r="J2">
        <v>0.76</v>
      </c>
      <c r="K2">
        <f>(J2-I2)/2/1.96</f>
        <v>0.44897959183673469</v>
      </c>
      <c r="L2">
        <f>1-3/(4*(D2+G2-2)-1)</f>
        <v>0.95774647887323949</v>
      </c>
      <c r="M2">
        <f>-L2*H2</f>
        <v>0.11492957746478874</v>
      </c>
      <c r="N2">
        <f>L2*K2</f>
        <v>0.43000862316757693</v>
      </c>
    </row>
    <row r="3" spans="1:14" x14ac:dyDescent="0.25">
      <c r="A3" t="s">
        <v>1</v>
      </c>
      <c r="B3" s="1">
        <v>2181</v>
      </c>
      <c r="C3">
        <v>193.9</v>
      </c>
      <c r="D3">
        <v>13</v>
      </c>
      <c r="E3" s="1">
        <v>2191</v>
      </c>
      <c r="F3">
        <v>157.6</v>
      </c>
      <c r="G3">
        <v>13</v>
      </c>
      <c r="H3">
        <v>-0.05</v>
      </c>
      <c r="I3">
        <v>-0.82</v>
      </c>
      <c r="J3">
        <v>0.71</v>
      </c>
      <c r="K3">
        <f t="shared" ref="K3:K16" si="0">(J3-I3)/2/1.96</f>
        <v>0.39030612244897955</v>
      </c>
      <c r="L3">
        <f t="shared" ref="L3:L16" si="1">1-3/(4*(D3+G3-2)-1)</f>
        <v>0.96842105263157896</v>
      </c>
      <c r="M3">
        <f t="shared" ref="M3:M16" si="2">-L3*H3</f>
        <v>4.8421052631578948E-2</v>
      </c>
      <c r="N3">
        <f t="shared" ref="N3:N16" si="3">L3*K3</f>
        <v>0.37798066595059071</v>
      </c>
    </row>
    <row r="4" spans="1:14" x14ac:dyDescent="0.25">
      <c r="A4" t="s">
        <v>2</v>
      </c>
      <c r="B4">
        <v>23.8</v>
      </c>
      <c r="C4">
        <v>2.8</v>
      </c>
      <c r="D4">
        <v>8</v>
      </c>
      <c r="E4">
        <v>28.3</v>
      </c>
      <c r="F4">
        <v>3.1</v>
      </c>
      <c r="G4">
        <v>8</v>
      </c>
      <c r="H4">
        <v>-1.44</v>
      </c>
      <c r="I4">
        <v>-2.58</v>
      </c>
      <c r="J4">
        <v>-0.3</v>
      </c>
      <c r="K4">
        <f t="shared" si="0"/>
        <v>0.58163265306122458</v>
      </c>
      <c r="L4">
        <f t="shared" si="1"/>
        <v>0.94545454545454544</v>
      </c>
      <c r="M4">
        <f t="shared" si="2"/>
        <v>1.3614545454545455</v>
      </c>
      <c r="N4">
        <f t="shared" si="3"/>
        <v>0.54990723562152144</v>
      </c>
    </row>
    <row r="5" spans="1:14" x14ac:dyDescent="0.25">
      <c r="A5" t="s">
        <v>3</v>
      </c>
      <c r="B5">
        <v>396</v>
      </c>
      <c r="C5">
        <v>5</v>
      </c>
      <c r="D5">
        <v>11</v>
      </c>
      <c r="E5">
        <v>403</v>
      </c>
      <c r="F5">
        <v>6</v>
      </c>
      <c r="G5">
        <v>11</v>
      </c>
      <c r="H5">
        <v>-1.22</v>
      </c>
      <c r="I5">
        <v>-2.14</v>
      </c>
      <c r="J5">
        <v>-0.28999999999999998</v>
      </c>
      <c r="K5">
        <f t="shared" si="0"/>
        <v>0.47193877551020413</v>
      </c>
      <c r="L5">
        <f t="shared" si="1"/>
        <v>0.96202531645569622</v>
      </c>
      <c r="M5">
        <f t="shared" si="2"/>
        <v>1.1736708860759493</v>
      </c>
      <c r="N5">
        <f t="shared" si="3"/>
        <v>0.45401704985791791</v>
      </c>
    </row>
    <row r="6" spans="1:14" x14ac:dyDescent="0.25">
      <c r="A6" t="s">
        <v>8</v>
      </c>
      <c r="B6">
        <v>30.33</v>
      </c>
      <c r="C6">
        <v>1.31</v>
      </c>
      <c r="D6">
        <v>14</v>
      </c>
      <c r="E6">
        <v>30.81</v>
      </c>
      <c r="F6">
        <v>2.67</v>
      </c>
      <c r="G6">
        <v>14</v>
      </c>
      <c r="H6">
        <v>-0.22</v>
      </c>
      <c r="I6">
        <v>-0.97</v>
      </c>
      <c r="J6">
        <v>0.52</v>
      </c>
      <c r="K6">
        <f t="shared" si="0"/>
        <v>0.38010204081632654</v>
      </c>
      <c r="L6">
        <f t="shared" si="1"/>
        <v>0.970873786407767</v>
      </c>
      <c r="M6">
        <f t="shared" si="2"/>
        <v>0.21359223300970875</v>
      </c>
      <c r="N6">
        <f t="shared" si="3"/>
        <v>0.36903110758866653</v>
      </c>
    </row>
    <row r="7" spans="1:14" x14ac:dyDescent="0.25">
      <c r="A7" t="s">
        <v>9</v>
      </c>
      <c r="B7">
        <v>29.67</v>
      </c>
      <c r="C7">
        <v>1.43</v>
      </c>
      <c r="D7">
        <v>12</v>
      </c>
      <c r="E7">
        <v>30.81</v>
      </c>
      <c r="F7">
        <v>2.67</v>
      </c>
      <c r="G7">
        <v>12</v>
      </c>
      <c r="H7">
        <v>-0.51</v>
      </c>
      <c r="I7">
        <v>-1.33</v>
      </c>
      <c r="J7">
        <v>0.3</v>
      </c>
      <c r="K7">
        <f t="shared" si="0"/>
        <v>0.41581632653061229</v>
      </c>
      <c r="L7">
        <f t="shared" si="1"/>
        <v>0.96551724137931039</v>
      </c>
      <c r="M7">
        <f t="shared" si="2"/>
        <v>0.49241379310344829</v>
      </c>
      <c r="N7">
        <f t="shared" si="3"/>
        <v>0.40147783251231534</v>
      </c>
    </row>
    <row r="8" spans="1:14" x14ac:dyDescent="0.25">
      <c r="A8" t="s">
        <v>10</v>
      </c>
      <c r="B8">
        <v>30.38</v>
      </c>
      <c r="C8">
        <v>2.37</v>
      </c>
      <c r="D8">
        <v>14</v>
      </c>
      <c r="E8">
        <v>30.81</v>
      </c>
      <c r="F8">
        <v>2.67</v>
      </c>
      <c r="G8">
        <v>14</v>
      </c>
      <c r="H8">
        <v>-0.17</v>
      </c>
      <c r="I8">
        <v>-0.91</v>
      </c>
      <c r="J8">
        <v>0.57999999999999996</v>
      </c>
      <c r="K8">
        <f t="shared" si="0"/>
        <v>0.38010204081632654</v>
      </c>
      <c r="L8">
        <f t="shared" si="1"/>
        <v>0.970873786407767</v>
      </c>
      <c r="M8">
        <f t="shared" si="2"/>
        <v>0.1650485436893204</v>
      </c>
      <c r="N8">
        <f t="shared" si="3"/>
        <v>0.36903110758866653</v>
      </c>
    </row>
    <row r="9" spans="1:14" x14ac:dyDescent="0.25">
      <c r="A9" t="s">
        <v>4</v>
      </c>
      <c r="B9">
        <v>1083</v>
      </c>
      <c r="C9">
        <v>119</v>
      </c>
      <c r="D9">
        <v>10</v>
      </c>
      <c r="E9">
        <v>1132</v>
      </c>
      <c r="F9">
        <v>160</v>
      </c>
      <c r="G9">
        <v>10</v>
      </c>
      <c r="H9">
        <v>-0.33</v>
      </c>
      <c r="I9">
        <v>-1.22</v>
      </c>
      <c r="J9">
        <v>0.55000000000000004</v>
      </c>
      <c r="K9">
        <f t="shared" si="0"/>
        <v>0.45153061224489799</v>
      </c>
      <c r="L9">
        <f t="shared" si="1"/>
        <v>0.95774647887323949</v>
      </c>
      <c r="M9">
        <f t="shared" si="2"/>
        <v>0.31605633802816907</v>
      </c>
      <c r="N9">
        <f t="shared" si="3"/>
        <v>0.43245185398102909</v>
      </c>
    </row>
    <row r="10" spans="1:14" x14ac:dyDescent="0.25">
      <c r="A10" t="s">
        <v>5</v>
      </c>
      <c r="B10">
        <v>38.35</v>
      </c>
      <c r="C10">
        <v>0.48</v>
      </c>
      <c r="D10">
        <v>8</v>
      </c>
      <c r="E10">
        <v>40.06</v>
      </c>
      <c r="F10">
        <v>0.39</v>
      </c>
      <c r="G10">
        <v>8</v>
      </c>
      <c r="H10">
        <v>-3.7</v>
      </c>
      <c r="I10">
        <v>-5.47</v>
      </c>
      <c r="J10">
        <v>-1.93</v>
      </c>
      <c r="K10">
        <f t="shared" si="0"/>
        <v>0.90306122448979598</v>
      </c>
      <c r="L10">
        <f t="shared" si="1"/>
        <v>0.94545454545454544</v>
      </c>
      <c r="M10">
        <f t="shared" si="2"/>
        <v>3.4981818181818185</v>
      </c>
      <c r="N10">
        <f t="shared" si="3"/>
        <v>0.85380333951762533</v>
      </c>
    </row>
    <row r="11" spans="1:14" x14ac:dyDescent="0.25">
      <c r="A11" t="s">
        <v>6</v>
      </c>
      <c r="B11">
        <v>33.22</v>
      </c>
      <c r="C11">
        <v>2.4300000000000002</v>
      </c>
      <c r="D11">
        <v>9</v>
      </c>
      <c r="E11">
        <v>34.57</v>
      </c>
      <c r="F11">
        <v>2.35</v>
      </c>
      <c r="G11">
        <v>9</v>
      </c>
      <c r="H11">
        <v>-0.54</v>
      </c>
      <c r="I11">
        <v>-1.48</v>
      </c>
      <c r="J11">
        <v>0.41</v>
      </c>
      <c r="K11">
        <f t="shared" si="0"/>
        <v>0.48214285714285715</v>
      </c>
      <c r="L11">
        <f t="shared" si="1"/>
        <v>0.95238095238095233</v>
      </c>
      <c r="M11">
        <f t="shared" si="2"/>
        <v>0.51428571428571435</v>
      </c>
      <c r="N11">
        <f t="shared" si="3"/>
        <v>0.45918367346938771</v>
      </c>
    </row>
    <row r="12" spans="1:14" x14ac:dyDescent="0.25">
      <c r="A12" t="s">
        <v>7</v>
      </c>
      <c r="B12">
        <v>409</v>
      </c>
      <c r="C12">
        <v>12</v>
      </c>
      <c r="D12">
        <v>8</v>
      </c>
      <c r="E12">
        <v>419</v>
      </c>
      <c r="F12">
        <v>13</v>
      </c>
      <c r="G12">
        <v>8</v>
      </c>
      <c r="H12">
        <v>-0.76</v>
      </c>
      <c r="I12">
        <v>-1.78</v>
      </c>
      <c r="J12">
        <v>0.27</v>
      </c>
      <c r="K12">
        <f t="shared" si="0"/>
        <v>0.52295918367346939</v>
      </c>
      <c r="L12">
        <f t="shared" si="1"/>
        <v>0.94545454545454544</v>
      </c>
      <c r="M12">
        <f t="shared" si="2"/>
        <v>0.71854545454545449</v>
      </c>
      <c r="N12">
        <f t="shared" si="3"/>
        <v>0.49443413729128016</v>
      </c>
    </row>
    <row r="13" spans="1:14" x14ac:dyDescent="0.25">
      <c r="A13" t="s">
        <v>11</v>
      </c>
      <c r="B13">
        <v>365.5</v>
      </c>
      <c r="C13">
        <v>13.1</v>
      </c>
      <c r="D13">
        <v>8</v>
      </c>
      <c r="E13">
        <v>371</v>
      </c>
      <c r="F13">
        <v>11.4</v>
      </c>
      <c r="G13">
        <v>8</v>
      </c>
      <c r="H13">
        <v>-0.42</v>
      </c>
      <c r="I13">
        <v>-1.42</v>
      </c>
      <c r="J13">
        <v>0.56999999999999995</v>
      </c>
      <c r="K13">
        <f t="shared" si="0"/>
        <v>0.50765306122448972</v>
      </c>
      <c r="L13">
        <f t="shared" si="1"/>
        <v>0.94545454545454544</v>
      </c>
      <c r="M13">
        <f t="shared" si="2"/>
        <v>0.39709090909090905</v>
      </c>
      <c r="N13">
        <f t="shared" si="3"/>
        <v>0.47996289424860844</v>
      </c>
    </row>
    <row r="14" spans="1:14" x14ac:dyDescent="0.25">
      <c r="A14" t="s">
        <v>12</v>
      </c>
      <c r="B14">
        <v>402.5</v>
      </c>
      <c r="C14">
        <v>16.100000000000001</v>
      </c>
      <c r="D14">
        <v>8</v>
      </c>
      <c r="E14">
        <v>412.7</v>
      </c>
      <c r="F14">
        <v>15.6</v>
      </c>
      <c r="G14">
        <v>8</v>
      </c>
      <c r="H14">
        <v>-0.61</v>
      </c>
      <c r="I14">
        <v>-1.62</v>
      </c>
      <c r="J14">
        <v>0.4</v>
      </c>
      <c r="K14">
        <f t="shared" si="0"/>
        <v>0.51530612244897955</v>
      </c>
      <c r="L14">
        <f t="shared" si="1"/>
        <v>0.94545454545454544</v>
      </c>
      <c r="M14">
        <f t="shared" si="2"/>
        <v>0.57672727272727276</v>
      </c>
      <c r="N14">
        <f t="shared" si="3"/>
        <v>0.48719851576994427</v>
      </c>
    </row>
    <row r="15" spans="1:14" x14ac:dyDescent="0.25">
      <c r="A15" t="s">
        <v>13</v>
      </c>
      <c r="B15">
        <v>3475.7</v>
      </c>
      <c r="C15">
        <v>97.2</v>
      </c>
      <c r="D15">
        <v>14</v>
      </c>
      <c r="E15" s="2">
        <v>3546.2</v>
      </c>
      <c r="F15">
        <v>122.8</v>
      </c>
      <c r="G15">
        <v>14</v>
      </c>
      <c r="H15">
        <v>-0.62</v>
      </c>
      <c r="I15">
        <v>-1.38</v>
      </c>
      <c r="J15">
        <v>0.14000000000000001</v>
      </c>
      <c r="K15">
        <f t="shared" si="0"/>
        <v>0.38775510204081631</v>
      </c>
      <c r="L15">
        <f t="shared" si="1"/>
        <v>0.970873786407767</v>
      </c>
      <c r="M15">
        <f t="shared" si="2"/>
        <v>0.60194174757281549</v>
      </c>
      <c r="N15">
        <f t="shared" si="3"/>
        <v>0.37646126411729741</v>
      </c>
    </row>
    <row r="16" spans="1:14" x14ac:dyDescent="0.25">
      <c r="A16" t="s">
        <v>14</v>
      </c>
      <c r="B16" s="2">
        <v>3508.1</v>
      </c>
      <c r="C16">
        <v>148.5</v>
      </c>
      <c r="D16">
        <v>14</v>
      </c>
      <c r="E16" s="2">
        <v>3546.2</v>
      </c>
      <c r="F16">
        <v>122.8</v>
      </c>
      <c r="G16">
        <v>14</v>
      </c>
      <c r="H16">
        <v>-0.27</v>
      </c>
      <c r="I16">
        <v>-1.02</v>
      </c>
      <c r="J16">
        <v>0.47</v>
      </c>
      <c r="K16">
        <f t="shared" si="0"/>
        <v>0.38010204081632654</v>
      </c>
      <c r="L16">
        <f t="shared" si="1"/>
        <v>0.970873786407767</v>
      </c>
      <c r="M16">
        <f t="shared" si="2"/>
        <v>0.26213592233009708</v>
      </c>
      <c r="N16">
        <f t="shared" si="3"/>
        <v>0.36903110758866653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2026-02-22T21:41:28Z</dcterms:modified>
</cp:coreProperties>
</file>