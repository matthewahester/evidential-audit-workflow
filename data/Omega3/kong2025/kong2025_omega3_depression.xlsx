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kong2025\"/>
    </mc:Choice>
  </mc:AlternateContent>
  <xr:revisionPtr revIDLastSave="0" documentId="13_ncr:1_{38C56064-19E7-48D9-8EF1-A97F7B7D3E94}" xr6:coauthVersionLast="47" xr6:coauthVersionMax="47" xr10:uidLastSave="{00000000-0000-0000-0000-000000000000}"/>
  <bookViews>
    <workbookView xWindow="39900" yWindow="2940" windowWidth="273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2" i="1"/>
  <c r="F3" i="1"/>
  <c r="I3" i="1" s="1"/>
  <c r="F4" i="1"/>
  <c r="I4" i="1" s="1"/>
  <c r="F5" i="1"/>
  <c r="I5" i="1"/>
  <c r="F6" i="1"/>
  <c r="I6" i="1"/>
  <c r="F7" i="1"/>
  <c r="I7" i="1" s="1"/>
  <c r="F8" i="1"/>
  <c r="I8" i="1" s="1"/>
  <c r="F9" i="1"/>
  <c r="I9" i="1"/>
  <c r="F10" i="1"/>
  <c r="I10" i="1"/>
  <c r="F11" i="1"/>
  <c r="I11" i="1" s="1"/>
  <c r="F12" i="1"/>
  <c r="I12" i="1" s="1"/>
  <c r="F13" i="1"/>
  <c r="I13" i="1"/>
  <c r="F14" i="1"/>
  <c r="I14" i="1"/>
  <c r="F15" i="1"/>
  <c r="I15" i="1" s="1"/>
  <c r="F16" i="1"/>
  <c r="I16" i="1" s="1"/>
  <c r="F17" i="1"/>
  <c r="I17" i="1"/>
  <c r="F18" i="1"/>
  <c r="I18" i="1"/>
  <c r="F19" i="1"/>
  <c r="I19" i="1" s="1"/>
  <c r="F20" i="1"/>
  <c r="I20" i="1" s="1"/>
  <c r="F21" i="1"/>
  <c r="I21" i="1"/>
  <c r="F22" i="1"/>
  <c r="I22" i="1"/>
  <c r="F23" i="1"/>
  <c r="I23" i="1" s="1"/>
  <c r="F24" i="1"/>
  <c r="I24" i="1" s="1"/>
  <c r="F25" i="1"/>
  <c r="I25" i="1"/>
  <c r="F26" i="1"/>
  <c r="I26" i="1"/>
  <c r="F27" i="1"/>
  <c r="I27" i="1" s="1"/>
  <c r="F28" i="1"/>
  <c r="I28" i="1" s="1"/>
  <c r="F29" i="1"/>
  <c r="I29" i="1"/>
  <c r="F30" i="1"/>
  <c r="I30" i="1"/>
  <c r="F31" i="1"/>
  <c r="I31" i="1" s="1"/>
  <c r="F32" i="1"/>
  <c r="I32" i="1" s="1"/>
  <c r="F33" i="1"/>
  <c r="I33" i="1"/>
  <c r="F34" i="1"/>
  <c r="I34" i="1"/>
  <c r="F35" i="1"/>
  <c r="I35" i="1" s="1"/>
  <c r="F36" i="1"/>
  <c r="I36" i="1" s="1"/>
  <c r="F37" i="1"/>
  <c r="I37" i="1"/>
  <c r="F38" i="1"/>
  <c r="I38" i="1"/>
  <c r="F39" i="1"/>
  <c r="I39" i="1" s="1"/>
  <c r="F40" i="1"/>
  <c r="I40" i="1" s="1"/>
  <c r="F41" i="1"/>
  <c r="I41" i="1"/>
  <c r="F42" i="1"/>
  <c r="I42" i="1"/>
  <c r="F43" i="1"/>
  <c r="I43" i="1" s="1"/>
  <c r="F44" i="1"/>
  <c r="I44" i="1" s="1"/>
  <c r="F45" i="1"/>
  <c r="I45" i="1"/>
  <c r="F46" i="1"/>
  <c r="I46" i="1"/>
  <c r="F47" i="1"/>
  <c r="I47" i="1" s="1"/>
  <c r="F48" i="1"/>
  <c r="I48" i="1" s="1"/>
  <c r="F49" i="1"/>
  <c r="I49" i="1"/>
  <c r="F50" i="1"/>
  <c r="I50" i="1"/>
  <c r="F51" i="1"/>
  <c r="I51" i="1" s="1"/>
  <c r="F52" i="1"/>
  <c r="I52" i="1" s="1"/>
  <c r="F53" i="1"/>
  <c r="I53" i="1"/>
  <c r="F54" i="1"/>
  <c r="I54" i="1"/>
  <c r="F55" i="1"/>
  <c r="I55" i="1" s="1"/>
  <c r="F56" i="1"/>
  <c r="I56" i="1"/>
  <c r="F57" i="1"/>
  <c r="I57" i="1" s="1"/>
  <c r="F58" i="1"/>
  <c r="I58" i="1"/>
  <c r="F59" i="1"/>
  <c r="I59" i="1" s="1"/>
  <c r="F60" i="1"/>
  <c r="I60" i="1"/>
  <c r="F61" i="1"/>
  <c r="I61" i="1"/>
  <c r="F62" i="1"/>
  <c r="I62" i="1"/>
  <c r="F63" i="1"/>
  <c r="I63" i="1" s="1"/>
  <c r="F64" i="1"/>
  <c r="I64" i="1"/>
  <c r="I2" i="1"/>
  <c r="F2" i="1"/>
</calcChain>
</file>

<file path=xl/sharedStrings.xml><?xml version="1.0" encoding="utf-8"?>
<sst xmlns="http://schemas.openxmlformats.org/spreadsheetml/2006/main" count="74" uniqueCount="51">
  <si>
    <t>Author</t>
  </si>
  <si>
    <t>Year</t>
  </si>
  <si>
    <t>d</t>
  </si>
  <si>
    <t>lCI</t>
  </si>
  <si>
    <t>uCI</t>
  </si>
  <si>
    <t>Bot M</t>
  </si>
  <si>
    <t>Silvers KM</t>
  </si>
  <si>
    <t>Rogers PJ</t>
  </si>
  <si>
    <t>Antypa N</t>
  </si>
  <si>
    <t>Sarris J</t>
  </si>
  <si>
    <t>Grenyer BF</t>
  </si>
  <si>
    <t>Rees AM</t>
  </si>
  <si>
    <t>van der Burg KP</t>
  </si>
  <si>
    <t>Kaviani M</t>
  </si>
  <si>
    <t>Chang JP</t>
  </si>
  <si>
    <t>Su KP</t>
  </si>
  <si>
    <t>Jahangard L</t>
  </si>
  <si>
    <t>Khajehnasiri F a</t>
  </si>
  <si>
    <t>Khajehnasiri F b</t>
  </si>
  <si>
    <t>Dashti-Khavidaki S et al.</t>
  </si>
  <si>
    <t>Ravi S</t>
  </si>
  <si>
    <t>Park Y</t>
  </si>
  <si>
    <t>Nishi D</t>
  </si>
  <si>
    <t>Nemets B</t>
  </si>
  <si>
    <t>Mozaffari-Khosravi H b</t>
  </si>
  <si>
    <t>Mozaffari-Khosravi H a</t>
  </si>
  <si>
    <t>da Silva TM b</t>
  </si>
  <si>
    <t>da Silva TM a</t>
  </si>
  <si>
    <t>Gabbay V</t>
  </si>
  <si>
    <t>Carney RM</t>
  </si>
  <si>
    <t>Jiang W b</t>
  </si>
  <si>
    <t>Jiang W a</t>
  </si>
  <si>
    <t>Shinto L</t>
  </si>
  <si>
    <t>Mischoulon D b</t>
  </si>
  <si>
    <t>Mischoulon D a</t>
  </si>
  <si>
    <t>Lucas M a</t>
  </si>
  <si>
    <t>Lucas M b</t>
  </si>
  <si>
    <t>Rapaport MH b</t>
  </si>
  <si>
    <t>Rapaport MH a</t>
  </si>
  <si>
    <t>Marangell LB</t>
  </si>
  <si>
    <t>Mischoulon D</t>
  </si>
  <si>
    <t>Gertsik L</t>
  </si>
  <si>
    <t>Mazereeuw G</t>
  </si>
  <si>
    <t>Amminger GP</t>
  </si>
  <si>
    <t>Lesperance F</t>
  </si>
  <si>
    <t>se_d</t>
  </si>
  <si>
    <t>J</t>
  </si>
  <si>
    <t>g</t>
  </si>
  <si>
    <t>se_g</t>
  </si>
  <si>
    <t>notes</t>
  </si>
  <si>
    <t>n not available, 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</si>
</sst>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H2" sqref="H2"/>
    </sheetView>
  </sheetViews>
  <sheetFormatPr defaultRowHeight="15" x14ac:dyDescent="0.25"/>
  <cols>
    <col min="1" max="1" width="22.5703125" bestFit="1" customWidth="1"/>
    <col min="2" max="2" width="5" bestFit="1" customWidth="1"/>
    <col min="3" max="5" width="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 t="s">
        <v>5</v>
      </c>
      <c r="B2">
        <v>2013</v>
      </c>
      <c r="C2">
        <v>0.28999999999999998</v>
      </c>
      <c r="D2">
        <v>-0.52</v>
      </c>
      <c r="E2">
        <v>1.0900000000000001</v>
      </c>
      <c r="F2">
        <f>(E2-D2)/2/1.96</f>
        <v>0.41071428571428575</v>
      </c>
      <c r="G2">
        <v>1</v>
      </c>
      <c r="H2">
        <f>-G2*C2</f>
        <v>-0.28999999999999998</v>
      </c>
      <c r="I2">
        <f>F2*G2</f>
        <v>0.41071428571428575</v>
      </c>
      <c r="J2" t="s">
        <v>50</v>
      </c>
    </row>
    <row r="3" spans="1:10" x14ac:dyDescent="0.25">
      <c r="A3" t="s">
        <v>6</v>
      </c>
      <c r="B3">
        <v>2005</v>
      </c>
      <c r="C3">
        <v>0.01</v>
      </c>
      <c r="D3">
        <v>-0.44</v>
      </c>
      <c r="E3">
        <v>0.46</v>
      </c>
      <c r="F3">
        <f t="shared" ref="F3:F64" si="0">(E3-D3)/2/1.96</f>
        <v>0.22959183673469388</v>
      </c>
      <c r="G3">
        <v>1</v>
      </c>
      <c r="H3">
        <f t="shared" ref="H3:H64" si="1">-G3*C3</f>
        <v>-0.01</v>
      </c>
      <c r="I3">
        <f t="shared" ref="I3:I64" si="2">F3*G3</f>
        <v>0.22959183673469388</v>
      </c>
    </row>
    <row r="4" spans="1:10" x14ac:dyDescent="0.25">
      <c r="A4" t="s">
        <v>7</v>
      </c>
      <c r="B4">
        <v>2008</v>
      </c>
      <c r="C4">
        <v>0.1</v>
      </c>
      <c r="D4">
        <v>-0.18</v>
      </c>
      <c r="E4">
        <v>0.39</v>
      </c>
      <c r="F4">
        <f t="shared" si="0"/>
        <v>0.14540816326530615</v>
      </c>
      <c r="G4">
        <v>1</v>
      </c>
      <c r="H4">
        <f t="shared" si="1"/>
        <v>-0.1</v>
      </c>
      <c r="I4">
        <f t="shared" si="2"/>
        <v>0.14540816326530615</v>
      </c>
    </row>
    <row r="5" spans="1:10" x14ac:dyDescent="0.25">
      <c r="A5" t="s">
        <v>8</v>
      </c>
      <c r="B5">
        <v>2012</v>
      </c>
      <c r="C5">
        <v>0.33</v>
      </c>
      <c r="D5">
        <v>-0.14000000000000001</v>
      </c>
      <c r="E5">
        <v>0.8</v>
      </c>
      <c r="F5">
        <f t="shared" si="0"/>
        <v>0.23979591836734696</v>
      </c>
      <c r="G5">
        <v>1</v>
      </c>
      <c r="H5">
        <f t="shared" si="1"/>
        <v>-0.33</v>
      </c>
      <c r="I5">
        <f t="shared" si="2"/>
        <v>0.23979591836734696</v>
      </c>
    </row>
    <row r="6" spans="1:10" x14ac:dyDescent="0.25">
      <c r="A6" t="s">
        <v>6</v>
      </c>
      <c r="B6">
        <v>2005</v>
      </c>
      <c r="C6">
        <v>0.12</v>
      </c>
      <c r="D6">
        <v>-0.33</v>
      </c>
      <c r="E6">
        <v>0.56000000000000005</v>
      </c>
      <c r="F6">
        <f t="shared" si="0"/>
        <v>0.22704081632653064</v>
      </c>
      <c r="G6">
        <v>1</v>
      </c>
      <c r="H6">
        <f t="shared" si="1"/>
        <v>-0.12</v>
      </c>
      <c r="I6">
        <f t="shared" si="2"/>
        <v>0.22704081632653064</v>
      </c>
    </row>
    <row r="7" spans="1:10" x14ac:dyDescent="0.25">
      <c r="A7" t="s">
        <v>9</v>
      </c>
      <c r="B7">
        <v>2019</v>
      </c>
      <c r="C7">
        <v>0.45</v>
      </c>
      <c r="D7">
        <v>7.0000000000000007E-2</v>
      </c>
      <c r="E7">
        <v>0.82</v>
      </c>
      <c r="F7">
        <f t="shared" si="0"/>
        <v>0.19132653061224489</v>
      </c>
      <c r="G7">
        <v>1</v>
      </c>
      <c r="H7">
        <f t="shared" si="1"/>
        <v>-0.45</v>
      </c>
      <c r="I7">
        <f t="shared" si="2"/>
        <v>0.19132653061224489</v>
      </c>
    </row>
    <row r="8" spans="1:10" x14ac:dyDescent="0.25">
      <c r="A8" t="s">
        <v>10</v>
      </c>
      <c r="B8">
        <v>2007</v>
      </c>
      <c r="C8">
        <v>0.53</v>
      </c>
      <c r="D8">
        <v>0.01</v>
      </c>
      <c r="E8">
        <v>1.04</v>
      </c>
      <c r="F8">
        <f t="shared" si="0"/>
        <v>0.26275510204081631</v>
      </c>
      <c r="G8">
        <v>1</v>
      </c>
      <c r="H8">
        <f t="shared" si="1"/>
        <v>-0.53</v>
      </c>
      <c r="I8">
        <f t="shared" si="2"/>
        <v>0.26275510204081631</v>
      </c>
    </row>
    <row r="9" spans="1:10" x14ac:dyDescent="0.25">
      <c r="A9" t="s">
        <v>9</v>
      </c>
      <c r="B9">
        <v>2019</v>
      </c>
      <c r="C9">
        <v>0.15</v>
      </c>
      <c r="D9">
        <v>-0.22</v>
      </c>
      <c r="E9">
        <v>0.52</v>
      </c>
      <c r="F9">
        <f t="shared" si="0"/>
        <v>0.18877551020408162</v>
      </c>
      <c r="G9">
        <v>1</v>
      </c>
      <c r="H9">
        <f t="shared" si="1"/>
        <v>-0.15</v>
      </c>
      <c r="I9">
        <f t="shared" si="2"/>
        <v>0.18877551020408162</v>
      </c>
    </row>
    <row r="10" spans="1:10" x14ac:dyDescent="0.25">
      <c r="A10" t="s">
        <v>11</v>
      </c>
      <c r="B10">
        <v>2008</v>
      </c>
      <c r="C10">
        <v>-0.74</v>
      </c>
      <c r="D10">
        <v>-1.53</v>
      </c>
      <c r="E10">
        <v>0.05</v>
      </c>
      <c r="F10">
        <f t="shared" si="0"/>
        <v>0.40306122448979592</v>
      </c>
      <c r="G10">
        <v>1</v>
      </c>
      <c r="H10">
        <f t="shared" si="1"/>
        <v>0.74</v>
      </c>
      <c r="I10">
        <f t="shared" si="2"/>
        <v>0.40306122448979592</v>
      </c>
    </row>
    <row r="11" spans="1:10" x14ac:dyDescent="0.25">
      <c r="A11" t="s">
        <v>11</v>
      </c>
      <c r="B11">
        <v>2008</v>
      </c>
      <c r="C11">
        <v>-0.36</v>
      </c>
      <c r="D11">
        <v>-1.1399999999999999</v>
      </c>
      <c r="E11">
        <v>0.41</v>
      </c>
      <c r="F11">
        <f t="shared" si="0"/>
        <v>0.39540816326530609</v>
      </c>
      <c r="G11">
        <v>1</v>
      </c>
      <c r="H11">
        <f t="shared" si="1"/>
        <v>0.36</v>
      </c>
      <c r="I11">
        <f t="shared" si="2"/>
        <v>0.39540816326530609</v>
      </c>
    </row>
    <row r="12" spans="1:10" x14ac:dyDescent="0.25">
      <c r="A12" t="s">
        <v>12</v>
      </c>
      <c r="B12">
        <v>2020</v>
      </c>
      <c r="C12">
        <v>0.15</v>
      </c>
      <c r="D12">
        <v>-0.25</v>
      </c>
      <c r="E12">
        <v>0.55000000000000004</v>
      </c>
      <c r="F12">
        <f t="shared" si="0"/>
        <v>0.20408163265306123</v>
      </c>
      <c r="G12">
        <v>1</v>
      </c>
      <c r="H12">
        <f t="shared" si="1"/>
        <v>-0.15</v>
      </c>
      <c r="I12">
        <f t="shared" si="2"/>
        <v>0.20408163265306123</v>
      </c>
    </row>
    <row r="13" spans="1:10" x14ac:dyDescent="0.25">
      <c r="A13" t="s">
        <v>13</v>
      </c>
      <c r="B13">
        <v>2014</v>
      </c>
      <c r="C13">
        <v>-0.89</v>
      </c>
      <c r="D13">
        <v>-1.35</v>
      </c>
      <c r="E13">
        <v>-0.43</v>
      </c>
      <c r="F13">
        <f t="shared" si="0"/>
        <v>0.23469387755102045</v>
      </c>
      <c r="G13">
        <v>1</v>
      </c>
      <c r="H13">
        <f t="shared" si="1"/>
        <v>0.89</v>
      </c>
      <c r="I13">
        <f t="shared" si="2"/>
        <v>0.23469387755102045</v>
      </c>
    </row>
    <row r="14" spans="1:10" x14ac:dyDescent="0.25">
      <c r="A14" t="s">
        <v>14</v>
      </c>
      <c r="B14">
        <v>2020</v>
      </c>
      <c r="C14">
        <v>-0.01</v>
      </c>
      <c r="D14">
        <v>-0.53</v>
      </c>
      <c r="E14">
        <v>0.5</v>
      </c>
      <c r="F14">
        <f t="shared" si="0"/>
        <v>0.26275510204081631</v>
      </c>
      <c r="G14">
        <v>1</v>
      </c>
      <c r="H14">
        <f t="shared" si="1"/>
        <v>0.01</v>
      </c>
      <c r="I14">
        <f t="shared" si="2"/>
        <v>0.26275510204081631</v>
      </c>
    </row>
    <row r="15" spans="1:10" x14ac:dyDescent="0.25">
      <c r="A15" t="s">
        <v>15</v>
      </c>
      <c r="B15">
        <v>2008</v>
      </c>
      <c r="C15">
        <v>0.18</v>
      </c>
      <c r="D15">
        <v>-0.5</v>
      </c>
      <c r="E15">
        <v>0.87</v>
      </c>
      <c r="F15">
        <f t="shared" si="0"/>
        <v>0.34948979591836737</v>
      </c>
      <c r="G15">
        <v>1</v>
      </c>
      <c r="H15">
        <f t="shared" si="1"/>
        <v>-0.18</v>
      </c>
      <c r="I15">
        <f t="shared" si="2"/>
        <v>0.34948979591836737</v>
      </c>
    </row>
    <row r="16" spans="1:10" x14ac:dyDescent="0.25">
      <c r="A16" t="s">
        <v>16</v>
      </c>
      <c r="B16">
        <v>2018</v>
      </c>
      <c r="C16">
        <v>-1.71</v>
      </c>
      <c r="D16">
        <v>-2.2599999999999998</v>
      </c>
      <c r="E16">
        <v>-1.1599999999999999</v>
      </c>
      <c r="F16">
        <f t="shared" si="0"/>
        <v>0.28061224489795916</v>
      </c>
      <c r="G16">
        <v>1</v>
      </c>
      <c r="H16">
        <f t="shared" si="1"/>
        <v>1.71</v>
      </c>
      <c r="I16">
        <f t="shared" si="2"/>
        <v>0.28061224489795916</v>
      </c>
    </row>
    <row r="17" spans="1:9" x14ac:dyDescent="0.25">
      <c r="A17" t="s">
        <v>17</v>
      </c>
      <c r="B17">
        <v>2015</v>
      </c>
      <c r="C17">
        <v>0.02</v>
      </c>
      <c r="D17">
        <v>-0.53</v>
      </c>
      <c r="E17">
        <v>0.57999999999999996</v>
      </c>
      <c r="F17">
        <f t="shared" si="0"/>
        <v>0.2831632653061224</v>
      </c>
      <c r="G17">
        <v>1</v>
      </c>
      <c r="H17">
        <f t="shared" si="1"/>
        <v>-0.02</v>
      </c>
      <c r="I17">
        <f t="shared" si="2"/>
        <v>0.2831632653061224</v>
      </c>
    </row>
    <row r="18" spans="1:9" x14ac:dyDescent="0.25">
      <c r="A18" t="s">
        <v>18</v>
      </c>
      <c r="B18">
        <v>2015</v>
      </c>
      <c r="C18">
        <v>-0.62</v>
      </c>
      <c r="D18">
        <v>-1.19</v>
      </c>
      <c r="E18">
        <v>-0.05</v>
      </c>
      <c r="F18">
        <f t="shared" si="0"/>
        <v>0.29081632653061223</v>
      </c>
      <c r="G18">
        <v>1</v>
      </c>
      <c r="H18">
        <f t="shared" si="1"/>
        <v>0.62</v>
      </c>
      <c r="I18">
        <f t="shared" si="2"/>
        <v>0.29081632653061223</v>
      </c>
    </row>
    <row r="19" spans="1:9" x14ac:dyDescent="0.25">
      <c r="A19" t="s">
        <v>19</v>
      </c>
      <c r="B19">
        <v>2014</v>
      </c>
      <c r="C19">
        <v>-1.01</v>
      </c>
      <c r="D19">
        <v>-1.73</v>
      </c>
      <c r="E19">
        <v>-0.28999999999999998</v>
      </c>
      <c r="F19">
        <f t="shared" si="0"/>
        <v>0.36734693877551022</v>
      </c>
      <c r="G19">
        <v>1</v>
      </c>
      <c r="H19">
        <f t="shared" si="1"/>
        <v>1.01</v>
      </c>
      <c r="I19">
        <f t="shared" si="2"/>
        <v>0.36734693877551022</v>
      </c>
    </row>
    <row r="20" spans="1:9" x14ac:dyDescent="0.25">
      <c r="A20" t="s">
        <v>20</v>
      </c>
      <c r="B20">
        <v>2016</v>
      </c>
      <c r="C20">
        <v>-2.0099999999999998</v>
      </c>
      <c r="D20">
        <v>-2.4900000000000002</v>
      </c>
      <c r="E20">
        <v>-1.53</v>
      </c>
      <c r="F20">
        <f t="shared" si="0"/>
        <v>0.24489795918367352</v>
      </c>
      <c r="G20">
        <v>1</v>
      </c>
      <c r="H20">
        <f t="shared" si="1"/>
        <v>2.0099999999999998</v>
      </c>
      <c r="I20">
        <f t="shared" si="2"/>
        <v>0.24489795918367352</v>
      </c>
    </row>
    <row r="21" spans="1:9" x14ac:dyDescent="0.25">
      <c r="A21" t="s">
        <v>21</v>
      </c>
      <c r="B21">
        <v>2015</v>
      </c>
      <c r="C21">
        <v>-0.41</v>
      </c>
      <c r="D21">
        <v>-1.2</v>
      </c>
      <c r="E21">
        <v>0.39</v>
      </c>
      <c r="F21">
        <f t="shared" si="0"/>
        <v>0.40561224489795916</v>
      </c>
      <c r="G21">
        <v>1</v>
      </c>
      <c r="H21">
        <f t="shared" si="1"/>
        <v>0.41</v>
      </c>
      <c r="I21">
        <f t="shared" si="2"/>
        <v>0.40561224489795916</v>
      </c>
    </row>
    <row r="22" spans="1:9" x14ac:dyDescent="0.25">
      <c r="A22" t="s">
        <v>22</v>
      </c>
      <c r="B22">
        <v>2019</v>
      </c>
      <c r="C22">
        <v>7.0000000000000007E-2</v>
      </c>
      <c r="D22">
        <v>-0.31</v>
      </c>
      <c r="E22">
        <v>0.46</v>
      </c>
      <c r="F22">
        <f t="shared" si="0"/>
        <v>0.19642857142857142</v>
      </c>
      <c r="G22">
        <v>1</v>
      </c>
      <c r="H22">
        <f t="shared" si="1"/>
        <v>-7.0000000000000007E-2</v>
      </c>
      <c r="I22">
        <f t="shared" si="2"/>
        <v>0.19642857142857142</v>
      </c>
    </row>
    <row r="23" spans="1:9" x14ac:dyDescent="0.25">
      <c r="A23" t="s">
        <v>14</v>
      </c>
      <c r="B23">
        <v>2020</v>
      </c>
      <c r="C23">
        <v>-0.27</v>
      </c>
      <c r="D23">
        <v>-0.78</v>
      </c>
      <c r="E23">
        <v>0.25</v>
      </c>
      <c r="F23">
        <f t="shared" si="0"/>
        <v>0.26275510204081631</v>
      </c>
      <c r="G23">
        <v>1</v>
      </c>
      <c r="H23">
        <f t="shared" si="1"/>
        <v>0.27</v>
      </c>
      <c r="I23">
        <f t="shared" si="2"/>
        <v>0.26275510204081631</v>
      </c>
    </row>
    <row r="24" spans="1:9" x14ac:dyDescent="0.25">
      <c r="A24" t="s">
        <v>15</v>
      </c>
      <c r="B24">
        <v>2008</v>
      </c>
      <c r="C24">
        <v>-1.0900000000000001</v>
      </c>
      <c r="D24">
        <v>-1.79</v>
      </c>
      <c r="E24">
        <v>-0.39</v>
      </c>
      <c r="F24">
        <f t="shared" si="0"/>
        <v>0.35714285714285715</v>
      </c>
      <c r="G24">
        <v>1</v>
      </c>
      <c r="H24">
        <f t="shared" si="1"/>
        <v>1.0900000000000001</v>
      </c>
      <c r="I24">
        <f t="shared" si="2"/>
        <v>0.35714285714285715</v>
      </c>
    </row>
    <row r="25" spans="1:9" x14ac:dyDescent="0.25">
      <c r="A25" t="s">
        <v>22</v>
      </c>
      <c r="B25">
        <v>2019</v>
      </c>
      <c r="C25">
        <v>0.11</v>
      </c>
      <c r="D25">
        <v>-0.28000000000000003</v>
      </c>
      <c r="E25">
        <v>0.5</v>
      </c>
      <c r="F25">
        <f t="shared" si="0"/>
        <v>0.19897959183673469</v>
      </c>
      <c r="G25">
        <v>1</v>
      </c>
      <c r="H25">
        <f t="shared" si="1"/>
        <v>-0.11</v>
      </c>
      <c r="I25">
        <f t="shared" si="2"/>
        <v>0.19897959183673469</v>
      </c>
    </row>
    <row r="26" spans="1:9" x14ac:dyDescent="0.25">
      <c r="A26" t="s">
        <v>23</v>
      </c>
      <c r="B26">
        <v>2002</v>
      </c>
      <c r="C26">
        <v>-0.97</v>
      </c>
      <c r="D26">
        <v>-1.9</v>
      </c>
      <c r="E26">
        <v>-0.04</v>
      </c>
      <c r="F26">
        <f t="shared" si="0"/>
        <v>0.47448979591836732</v>
      </c>
      <c r="G26">
        <v>1</v>
      </c>
      <c r="H26">
        <f t="shared" si="1"/>
        <v>0.97</v>
      </c>
      <c r="I26">
        <f t="shared" si="2"/>
        <v>0.47448979591836732</v>
      </c>
    </row>
    <row r="27" spans="1:9" x14ac:dyDescent="0.25">
      <c r="A27" t="s">
        <v>15</v>
      </c>
      <c r="B27">
        <v>2003</v>
      </c>
      <c r="C27">
        <v>-1.51</v>
      </c>
      <c r="D27">
        <v>-2.4700000000000002</v>
      </c>
      <c r="E27">
        <v>-0.55000000000000004</v>
      </c>
      <c r="F27">
        <f t="shared" si="0"/>
        <v>0.48979591836734698</v>
      </c>
      <c r="G27">
        <v>1</v>
      </c>
      <c r="H27">
        <f t="shared" si="1"/>
        <v>1.51</v>
      </c>
      <c r="I27">
        <f t="shared" si="2"/>
        <v>0.48979591836734698</v>
      </c>
    </row>
    <row r="28" spans="1:9" x14ac:dyDescent="0.25">
      <c r="A28" t="s">
        <v>24</v>
      </c>
      <c r="B28">
        <v>2013</v>
      </c>
      <c r="C28">
        <v>-0.17</v>
      </c>
      <c r="D28">
        <v>-0.93</v>
      </c>
      <c r="E28">
        <v>0.59</v>
      </c>
      <c r="F28">
        <f t="shared" si="0"/>
        <v>0.38775510204081631</v>
      </c>
      <c r="G28">
        <v>1</v>
      </c>
      <c r="H28">
        <f t="shared" si="1"/>
        <v>0.17</v>
      </c>
      <c r="I28">
        <f t="shared" si="2"/>
        <v>0.38775510204081631</v>
      </c>
    </row>
    <row r="29" spans="1:9" x14ac:dyDescent="0.25">
      <c r="A29" t="s">
        <v>25</v>
      </c>
      <c r="B29">
        <v>2013</v>
      </c>
      <c r="C29">
        <v>-5.79</v>
      </c>
      <c r="D29">
        <v>-7.43</v>
      </c>
      <c r="E29">
        <v>-4.1500000000000004</v>
      </c>
      <c r="F29">
        <f t="shared" si="0"/>
        <v>0.83673469387755084</v>
      </c>
      <c r="G29">
        <v>1</v>
      </c>
      <c r="H29">
        <f t="shared" si="1"/>
        <v>5.79</v>
      </c>
      <c r="I29">
        <f t="shared" si="2"/>
        <v>0.83673469387755084</v>
      </c>
    </row>
    <row r="30" spans="1:9" x14ac:dyDescent="0.25">
      <c r="A30" t="s">
        <v>9</v>
      </c>
      <c r="B30">
        <v>2019</v>
      </c>
      <c r="C30">
        <v>0.21</v>
      </c>
      <c r="D30">
        <v>-0.16</v>
      </c>
      <c r="E30">
        <v>0.57999999999999996</v>
      </c>
      <c r="F30">
        <f t="shared" si="0"/>
        <v>0.18877551020408162</v>
      </c>
      <c r="G30">
        <v>1</v>
      </c>
      <c r="H30">
        <f t="shared" si="1"/>
        <v>-0.21</v>
      </c>
      <c r="I30">
        <f t="shared" si="2"/>
        <v>0.18877551020408162</v>
      </c>
    </row>
    <row r="31" spans="1:9" x14ac:dyDescent="0.25">
      <c r="A31" t="s">
        <v>16</v>
      </c>
      <c r="B31">
        <v>2018</v>
      </c>
      <c r="C31">
        <v>-2.39</v>
      </c>
      <c r="D31">
        <v>-3.12</v>
      </c>
      <c r="E31">
        <v>-1.66</v>
      </c>
      <c r="F31">
        <f t="shared" si="0"/>
        <v>0.37244897959183682</v>
      </c>
      <c r="G31">
        <v>1</v>
      </c>
      <c r="H31">
        <f t="shared" si="1"/>
        <v>2.39</v>
      </c>
      <c r="I31">
        <f t="shared" si="2"/>
        <v>0.37244897959183682</v>
      </c>
    </row>
    <row r="32" spans="1:9" x14ac:dyDescent="0.25">
      <c r="A32" t="s">
        <v>26</v>
      </c>
      <c r="B32">
        <v>2008</v>
      </c>
      <c r="C32">
        <v>-0.79</v>
      </c>
      <c r="D32">
        <v>-1.81</v>
      </c>
      <c r="E32">
        <v>0.23</v>
      </c>
      <c r="F32">
        <f t="shared" si="0"/>
        <v>0.52040816326530615</v>
      </c>
      <c r="G32">
        <v>1</v>
      </c>
      <c r="H32">
        <f t="shared" si="1"/>
        <v>0.79</v>
      </c>
      <c r="I32">
        <f t="shared" si="2"/>
        <v>0.52040816326530615</v>
      </c>
    </row>
    <row r="33" spans="1:9" x14ac:dyDescent="0.25">
      <c r="A33" t="s">
        <v>27</v>
      </c>
      <c r="B33">
        <v>2008</v>
      </c>
      <c r="C33">
        <v>-0.82</v>
      </c>
      <c r="D33">
        <v>-1.97</v>
      </c>
      <c r="E33">
        <v>0.32</v>
      </c>
      <c r="F33">
        <f t="shared" si="0"/>
        <v>0.58418367346938782</v>
      </c>
      <c r="G33">
        <v>1</v>
      </c>
      <c r="H33">
        <f t="shared" si="1"/>
        <v>0.82</v>
      </c>
      <c r="I33">
        <f t="shared" si="2"/>
        <v>0.58418367346938782</v>
      </c>
    </row>
    <row r="34" spans="1:9" x14ac:dyDescent="0.25">
      <c r="A34" t="s">
        <v>28</v>
      </c>
      <c r="B34">
        <v>2018</v>
      </c>
      <c r="C34">
        <v>0.02</v>
      </c>
      <c r="D34">
        <v>-0.55000000000000004</v>
      </c>
      <c r="E34">
        <v>0.59</v>
      </c>
      <c r="F34">
        <f t="shared" si="0"/>
        <v>0.29081632653061229</v>
      </c>
      <c r="G34">
        <v>1</v>
      </c>
      <c r="H34">
        <f t="shared" si="1"/>
        <v>-0.02</v>
      </c>
      <c r="I34">
        <f t="shared" si="2"/>
        <v>0.29081632653061229</v>
      </c>
    </row>
    <row r="35" spans="1:9" x14ac:dyDescent="0.25">
      <c r="A35" t="s">
        <v>29</v>
      </c>
      <c r="B35">
        <v>2010</v>
      </c>
      <c r="C35">
        <v>-0.14000000000000001</v>
      </c>
      <c r="D35">
        <v>-0.6</v>
      </c>
      <c r="E35">
        <v>0.32</v>
      </c>
      <c r="F35">
        <f t="shared" si="0"/>
        <v>0.23469387755102039</v>
      </c>
      <c r="G35">
        <v>1</v>
      </c>
      <c r="H35">
        <f t="shared" si="1"/>
        <v>0.14000000000000001</v>
      </c>
      <c r="I35">
        <f t="shared" si="2"/>
        <v>0.23469387755102039</v>
      </c>
    </row>
    <row r="36" spans="1:9" x14ac:dyDescent="0.25">
      <c r="A36" t="s">
        <v>29</v>
      </c>
      <c r="B36">
        <v>2009</v>
      </c>
      <c r="C36">
        <v>0.19</v>
      </c>
      <c r="D36">
        <v>-0.17</v>
      </c>
      <c r="E36">
        <v>0.55000000000000004</v>
      </c>
      <c r="F36">
        <f t="shared" si="0"/>
        <v>0.18367346938775514</v>
      </c>
      <c r="G36">
        <v>1</v>
      </c>
      <c r="H36">
        <f t="shared" si="1"/>
        <v>-0.19</v>
      </c>
      <c r="I36">
        <f t="shared" si="2"/>
        <v>0.18367346938775514</v>
      </c>
    </row>
    <row r="37" spans="1:9" x14ac:dyDescent="0.25">
      <c r="A37" t="s">
        <v>30</v>
      </c>
      <c r="B37">
        <v>2018</v>
      </c>
      <c r="C37">
        <v>-0.23</v>
      </c>
      <c r="D37">
        <v>-0.9</v>
      </c>
      <c r="E37">
        <v>0.43</v>
      </c>
      <c r="F37">
        <f t="shared" si="0"/>
        <v>0.3392857142857143</v>
      </c>
      <c r="G37">
        <v>1</v>
      </c>
      <c r="H37">
        <f t="shared" si="1"/>
        <v>0.23</v>
      </c>
      <c r="I37">
        <f t="shared" si="2"/>
        <v>0.3392857142857143</v>
      </c>
    </row>
    <row r="38" spans="1:9" x14ac:dyDescent="0.25">
      <c r="A38" t="s">
        <v>31</v>
      </c>
      <c r="B38">
        <v>2018</v>
      </c>
      <c r="C38">
        <v>-0.04</v>
      </c>
      <c r="D38">
        <v>-0.68</v>
      </c>
      <c r="E38">
        <v>0.61</v>
      </c>
      <c r="F38">
        <f t="shared" si="0"/>
        <v>0.32908163265306123</v>
      </c>
      <c r="G38">
        <v>1</v>
      </c>
      <c r="H38">
        <f t="shared" si="1"/>
        <v>0.04</v>
      </c>
      <c r="I38">
        <f t="shared" si="2"/>
        <v>0.32908163265306123</v>
      </c>
    </row>
    <row r="39" spans="1:9" x14ac:dyDescent="0.25">
      <c r="A39" t="s">
        <v>32</v>
      </c>
      <c r="B39">
        <v>2016</v>
      </c>
      <c r="C39">
        <v>0.21</v>
      </c>
      <c r="D39">
        <v>-0.49</v>
      </c>
      <c r="E39">
        <v>0.92</v>
      </c>
      <c r="F39">
        <f t="shared" si="0"/>
        <v>0.35969387755102045</v>
      </c>
      <c r="G39">
        <v>1</v>
      </c>
      <c r="H39">
        <f t="shared" si="1"/>
        <v>-0.21</v>
      </c>
      <c r="I39">
        <f t="shared" si="2"/>
        <v>0.35969387755102045</v>
      </c>
    </row>
    <row r="40" spans="1:9" x14ac:dyDescent="0.25">
      <c r="A40" t="s">
        <v>32</v>
      </c>
      <c r="B40">
        <v>2016</v>
      </c>
      <c r="C40">
        <v>0.54</v>
      </c>
      <c r="D40">
        <v>-0.18</v>
      </c>
      <c r="E40">
        <v>1.25</v>
      </c>
      <c r="F40">
        <f t="shared" si="0"/>
        <v>0.36479591836734693</v>
      </c>
      <c r="G40">
        <v>1</v>
      </c>
      <c r="H40">
        <f t="shared" si="1"/>
        <v>-0.54</v>
      </c>
      <c r="I40">
        <f t="shared" si="2"/>
        <v>0.36479591836734693</v>
      </c>
    </row>
    <row r="41" spans="1:9" x14ac:dyDescent="0.25">
      <c r="A41" t="s">
        <v>33</v>
      </c>
      <c r="B41">
        <v>2015</v>
      </c>
      <c r="C41">
        <v>0.1</v>
      </c>
      <c r="D41">
        <v>-0.35</v>
      </c>
      <c r="E41">
        <v>0.54</v>
      </c>
      <c r="F41">
        <f t="shared" si="0"/>
        <v>0.22704081632653061</v>
      </c>
      <c r="G41">
        <v>1</v>
      </c>
      <c r="H41">
        <f t="shared" si="1"/>
        <v>-0.1</v>
      </c>
      <c r="I41">
        <f t="shared" si="2"/>
        <v>0.22704081632653061</v>
      </c>
    </row>
    <row r="42" spans="1:9" x14ac:dyDescent="0.25">
      <c r="A42" t="s">
        <v>34</v>
      </c>
      <c r="B42">
        <v>2015</v>
      </c>
      <c r="C42">
        <v>-0.06</v>
      </c>
      <c r="D42">
        <v>-0.5</v>
      </c>
      <c r="E42">
        <v>0.39</v>
      </c>
      <c r="F42">
        <f t="shared" si="0"/>
        <v>0.22704081632653061</v>
      </c>
      <c r="G42">
        <v>1</v>
      </c>
      <c r="H42">
        <f t="shared" si="1"/>
        <v>0.06</v>
      </c>
      <c r="I42">
        <f t="shared" si="2"/>
        <v>0.22704081632653061</v>
      </c>
    </row>
    <row r="43" spans="1:9" x14ac:dyDescent="0.25">
      <c r="A43" t="s">
        <v>26</v>
      </c>
      <c r="B43">
        <v>2008</v>
      </c>
      <c r="C43">
        <v>-1.1200000000000001</v>
      </c>
      <c r="D43">
        <v>-2.19</v>
      </c>
      <c r="E43">
        <v>-0.06</v>
      </c>
      <c r="F43">
        <f t="shared" si="0"/>
        <v>0.54336734693877553</v>
      </c>
      <c r="G43">
        <v>1</v>
      </c>
      <c r="H43">
        <f t="shared" si="1"/>
        <v>1.1200000000000001</v>
      </c>
      <c r="I43">
        <f t="shared" si="2"/>
        <v>0.54336734693877553</v>
      </c>
    </row>
    <row r="44" spans="1:9" x14ac:dyDescent="0.25">
      <c r="A44" t="s">
        <v>27</v>
      </c>
      <c r="B44">
        <v>2008</v>
      </c>
      <c r="C44">
        <v>-0.85</v>
      </c>
      <c r="D44">
        <v>-2</v>
      </c>
      <c r="E44">
        <v>0.3</v>
      </c>
      <c r="F44">
        <f t="shared" si="0"/>
        <v>0.58673469387755095</v>
      </c>
      <c r="G44">
        <v>1</v>
      </c>
      <c r="H44">
        <f t="shared" si="1"/>
        <v>0.85</v>
      </c>
      <c r="I44">
        <f t="shared" si="2"/>
        <v>0.58673469387755095</v>
      </c>
    </row>
    <row r="45" spans="1:9" x14ac:dyDescent="0.25">
      <c r="A45" t="s">
        <v>35</v>
      </c>
      <c r="B45">
        <v>2009</v>
      </c>
      <c r="C45">
        <v>1.02</v>
      </c>
      <c r="D45">
        <v>0.2</v>
      </c>
      <c r="E45">
        <v>1.84</v>
      </c>
      <c r="F45">
        <f t="shared" si="0"/>
        <v>0.41836734693877553</v>
      </c>
      <c r="G45">
        <v>1</v>
      </c>
      <c r="H45">
        <f t="shared" si="1"/>
        <v>-1.02</v>
      </c>
      <c r="I45">
        <f t="shared" si="2"/>
        <v>0.41836734693877553</v>
      </c>
    </row>
    <row r="46" spans="1:9" x14ac:dyDescent="0.25">
      <c r="A46" t="s">
        <v>36</v>
      </c>
      <c r="B46">
        <v>2009</v>
      </c>
      <c r="C46">
        <v>-0.12</v>
      </c>
      <c r="D46">
        <v>-0.56000000000000005</v>
      </c>
      <c r="E46">
        <v>0.32</v>
      </c>
      <c r="F46">
        <f t="shared" si="0"/>
        <v>0.22448979591836737</v>
      </c>
      <c r="G46">
        <v>1</v>
      </c>
      <c r="H46">
        <f t="shared" si="1"/>
        <v>0.12</v>
      </c>
      <c r="I46">
        <f t="shared" si="2"/>
        <v>0.22448979591836737</v>
      </c>
    </row>
    <row r="47" spans="1:9" x14ac:dyDescent="0.25">
      <c r="A47" t="s">
        <v>33</v>
      </c>
      <c r="B47">
        <v>2015</v>
      </c>
      <c r="C47">
        <v>0.05</v>
      </c>
      <c r="D47">
        <v>-0.4</v>
      </c>
      <c r="E47">
        <v>0.49</v>
      </c>
      <c r="F47">
        <f t="shared" si="0"/>
        <v>0.22704081632653061</v>
      </c>
      <c r="G47">
        <v>1</v>
      </c>
      <c r="H47">
        <f t="shared" si="1"/>
        <v>-0.05</v>
      </c>
      <c r="I47">
        <f t="shared" si="2"/>
        <v>0.22704081632653061</v>
      </c>
    </row>
    <row r="48" spans="1:9" x14ac:dyDescent="0.25">
      <c r="A48" t="s">
        <v>34</v>
      </c>
      <c r="B48">
        <v>2015</v>
      </c>
      <c r="C48">
        <v>-0.18</v>
      </c>
      <c r="D48">
        <v>-0.62</v>
      </c>
      <c r="E48">
        <v>0.26</v>
      </c>
      <c r="F48">
        <f t="shared" si="0"/>
        <v>0.22448979591836735</v>
      </c>
      <c r="G48">
        <v>1</v>
      </c>
      <c r="H48">
        <f t="shared" si="1"/>
        <v>0.18</v>
      </c>
      <c r="I48">
        <f t="shared" si="2"/>
        <v>0.22448979591836735</v>
      </c>
    </row>
    <row r="49" spans="1:9" x14ac:dyDescent="0.25">
      <c r="A49" t="s">
        <v>37</v>
      </c>
      <c r="B49">
        <v>2016</v>
      </c>
      <c r="C49">
        <v>0.04</v>
      </c>
      <c r="D49">
        <v>-0.43</v>
      </c>
      <c r="E49">
        <v>0.52</v>
      </c>
      <c r="F49">
        <f t="shared" si="0"/>
        <v>0.2423469387755102</v>
      </c>
      <c r="G49">
        <v>1</v>
      </c>
      <c r="H49">
        <f t="shared" si="1"/>
        <v>-0.04</v>
      </c>
      <c r="I49">
        <f t="shared" si="2"/>
        <v>0.2423469387755102</v>
      </c>
    </row>
    <row r="50" spans="1:9" x14ac:dyDescent="0.25">
      <c r="A50" t="s">
        <v>38</v>
      </c>
      <c r="B50">
        <v>2016</v>
      </c>
      <c r="C50">
        <v>-0.09</v>
      </c>
      <c r="D50">
        <v>-0.56000000000000005</v>
      </c>
      <c r="E50">
        <v>0.38</v>
      </c>
      <c r="F50">
        <f t="shared" si="0"/>
        <v>0.23979591836734696</v>
      </c>
      <c r="G50">
        <v>1</v>
      </c>
      <c r="H50">
        <f t="shared" si="1"/>
        <v>0.09</v>
      </c>
      <c r="I50">
        <f t="shared" si="2"/>
        <v>0.23979591836734696</v>
      </c>
    </row>
    <row r="51" spans="1:9" x14ac:dyDescent="0.25">
      <c r="A51" t="s">
        <v>39</v>
      </c>
      <c r="B51">
        <v>2003</v>
      </c>
      <c r="C51">
        <v>-0.28000000000000003</v>
      </c>
      <c r="D51">
        <v>-0.95</v>
      </c>
      <c r="E51">
        <v>0.38</v>
      </c>
      <c r="F51">
        <f t="shared" si="0"/>
        <v>0.3392857142857143</v>
      </c>
      <c r="G51">
        <v>1</v>
      </c>
      <c r="H51">
        <f t="shared" si="1"/>
        <v>0.28000000000000003</v>
      </c>
      <c r="I51">
        <f t="shared" si="2"/>
        <v>0.3392857142857143</v>
      </c>
    </row>
    <row r="52" spans="1:9" x14ac:dyDescent="0.25">
      <c r="A52" t="s">
        <v>29</v>
      </c>
      <c r="B52">
        <v>2009</v>
      </c>
      <c r="C52">
        <v>-0.23</v>
      </c>
      <c r="D52">
        <v>-0.59</v>
      </c>
      <c r="E52">
        <v>0.13</v>
      </c>
      <c r="F52">
        <f t="shared" si="0"/>
        <v>0.18367346938775511</v>
      </c>
      <c r="G52">
        <v>1</v>
      </c>
      <c r="H52">
        <f t="shared" si="1"/>
        <v>0.23</v>
      </c>
      <c r="I52">
        <f t="shared" si="2"/>
        <v>0.18367346938775511</v>
      </c>
    </row>
    <row r="53" spans="1:9" x14ac:dyDescent="0.25">
      <c r="A53" t="s">
        <v>31</v>
      </c>
      <c r="B53">
        <v>2018</v>
      </c>
      <c r="C53">
        <v>0.15</v>
      </c>
      <c r="D53">
        <v>-0.49</v>
      </c>
      <c r="E53">
        <v>0.79</v>
      </c>
      <c r="F53">
        <f t="shared" si="0"/>
        <v>0.32653061224489799</v>
      </c>
      <c r="G53">
        <v>1</v>
      </c>
      <c r="H53">
        <f t="shared" si="1"/>
        <v>-0.15</v>
      </c>
      <c r="I53">
        <f t="shared" si="2"/>
        <v>0.32653061224489799</v>
      </c>
    </row>
    <row r="54" spans="1:9" x14ac:dyDescent="0.25">
      <c r="A54" t="s">
        <v>30</v>
      </c>
      <c r="B54">
        <v>2018</v>
      </c>
      <c r="C54">
        <v>-0.09</v>
      </c>
      <c r="D54">
        <v>-0.75</v>
      </c>
      <c r="E54">
        <v>0.56999999999999995</v>
      </c>
      <c r="F54">
        <f t="shared" si="0"/>
        <v>0.33673469387755101</v>
      </c>
      <c r="G54">
        <v>1</v>
      </c>
      <c r="H54">
        <f t="shared" si="1"/>
        <v>0.09</v>
      </c>
      <c r="I54">
        <f t="shared" si="2"/>
        <v>0.33673469387755101</v>
      </c>
    </row>
    <row r="55" spans="1:9" x14ac:dyDescent="0.25">
      <c r="A55" t="s">
        <v>35</v>
      </c>
      <c r="B55">
        <v>2008</v>
      </c>
      <c r="C55">
        <v>0.73</v>
      </c>
      <c r="D55">
        <v>-7.0000000000000007E-2</v>
      </c>
      <c r="E55">
        <v>1.53</v>
      </c>
      <c r="F55">
        <f t="shared" si="0"/>
        <v>0.40816326530612246</v>
      </c>
      <c r="G55">
        <v>1</v>
      </c>
      <c r="H55">
        <f t="shared" si="1"/>
        <v>-0.73</v>
      </c>
      <c r="I55">
        <f t="shared" si="2"/>
        <v>0.40816326530612246</v>
      </c>
    </row>
    <row r="56" spans="1:9" x14ac:dyDescent="0.25">
      <c r="A56" t="s">
        <v>36</v>
      </c>
      <c r="B56">
        <v>2009</v>
      </c>
      <c r="C56">
        <v>-0.25</v>
      </c>
      <c r="D56">
        <v>-0.7</v>
      </c>
      <c r="E56">
        <v>0.19</v>
      </c>
      <c r="F56">
        <f t="shared" si="0"/>
        <v>0.22704081632653059</v>
      </c>
      <c r="G56">
        <v>1</v>
      </c>
      <c r="H56">
        <f t="shared" si="1"/>
        <v>0.25</v>
      </c>
      <c r="I56">
        <f t="shared" si="2"/>
        <v>0.22704081632653059</v>
      </c>
    </row>
    <row r="57" spans="1:9" x14ac:dyDescent="0.25">
      <c r="A57" t="s">
        <v>40</v>
      </c>
      <c r="B57">
        <v>2009</v>
      </c>
      <c r="C57">
        <v>-0.92</v>
      </c>
      <c r="D57">
        <v>-1.77</v>
      </c>
      <c r="E57">
        <v>-7.0000000000000007E-2</v>
      </c>
      <c r="F57">
        <f t="shared" si="0"/>
        <v>0.43367346938775508</v>
      </c>
      <c r="G57">
        <v>1</v>
      </c>
      <c r="H57">
        <f t="shared" si="1"/>
        <v>0.92</v>
      </c>
      <c r="I57">
        <f t="shared" si="2"/>
        <v>0.43367346938775508</v>
      </c>
    </row>
    <row r="58" spans="1:9" x14ac:dyDescent="0.25">
      <c r="A58" t="s">
        <v>41</v>
      </c>
      <c r="B58">
        <v>2012</v>
      </c>
      <c r="C58">
        <v>-0.88</v>
      </c>
      <c r="D58">
        <v>-1.52</v>
      </c>
      <c r="E58">
        <v>-0.25</v>
      </c>
      <c r="F58">
        <f t="shared" si="0"/>
        <v>0.32397959183673469</v>
      </c>
      <c r="G58">
        <v>1</v>
      </c>
      <c r="H58">
        <f t="shared" si="1"/>
        <v>0.88</v>
      </c>
      <c r="I58">
        <f t="shared" si="2"/>
        <v>0.32397959183673469</v>
      </c>
    </row>
    <row r="59" spans="1:9" x14ac:dyDescent="0.25">
      <c r="A59" t="s">
        <v>42</v>
      </c>
      <c r="B59">
        <v>2016</v>
      </c>
      <c r="C59">
        <v>0.69</v>
      </c>
      <c r="D59">
        <v>0.27</v>
      </c>
      <c r="E59">
        <v>1.1100000000000001</v>
      </c>
      <c r="F59">
        <f t="shared" si="0"/>
        <v>0.2142857142857143</v>
      </c>
      <c r="G59">
        <v>1</v>
      </c>
      <c r="H59">
        <f t="shared" si="1"/>
        <v>-0.69</v>
      </c>
      <c r="I59">
        <f t="shared" si="2"/>
        <v>0.2142857142857143</v>
      </c>
    </row>
    <row r="60" spans="1:9" x14ac:dyDescent="0.25">
      <c r="A60" t="s">
        <v>43</v>
      </c>
      <c r="B60">
        <v>2022</v>
      </c>
      <c r="C60">
        <v>-0.01</v>
      </c>
      <c r="D60">
        <v>-0.28999999999999998</v>
      </c>
      <c r="E60">
        <v>0.26</v>
      </c>
      <c r="F60">
        <f t="shared" si="0"/>
        <v>0.14030612244897961</v>
      </c>
      <c r="G60">
        <v>1</v>
      </c>
      <c r="H60">
        <f t="shared" si="1"/>
        <v>0.01</v>
      </c>
      <c r="I60">
        <f t="shared" si="2"/>
        <v>0.14030612244897961</v>
      </c>
    </row>
    <row r="61" spans="1:9" x14ac:dyDescent="0.25">
      <c r="A61" t="s">
        <v>27</v>
      </c>
      <c r="B61">
        <v>2008</v>
      </c>
      <c r="C61">
        <v>-1.06</v>
      </c>
      <c r="D61">
        <v>-2.12</v>
      </c>
      <c r="E61">
        <v>0.01</v>
      </c>
      <c r="F61">
        <f t="shared" si="0"/>
        <v>0.54336734693877553</v>
      </c>
      <c r="G61">
        <v>1</v>
      </c>
      <c r="H61">
        <f t="shared" si="1"/>
        <v>1.06</v>
      </c>
      <c r="I61">
        <f t="shared" si="2"/>
        <v>0.54336734693877553</v>
      </c>
    </row>
    <row r="62" spans="1:9" x14ac:dyDescent="0.25">
      <c r="A62" t="s">
        <v>26</v>
      </c>
      <c r="B62">
        <v>2008</v>
      </c>
      <c r="C62">
        <v>-1.42</v>
      </c>
      <c r="D62">
        <v>-2.67</v>
      </c>
      <c r="E62">
        <v>-0.18</v>
      </c>
      <c r="F62">
        <f t="shared" si="0"/>
        <v>0.63520408163265296</v>
      </c>
      <c r="G62">
        <v>1</v>
      </c>
      <c r="H62">
        <f t="shared" si="1"/>
        <v>1.42</v>
      </c>
      <c r="I62">
        <f t="shared" si="2"/>
        <v>0.63520408163265296</v>
      </c>
    </row>
    <row r="63" spans="1:9" x14ac:dyDescent="0.25">
      <c r="A63" t="s">
        <v>39</v>
      </c>
      <c r="B63">
        <v>2003</v>
      </c>
      <c r="C63">
        <v>-0.42</v>
      </c>
      <c r="D63">
        <v>-1.0900000000000001</v>
      </c>
      <c r="E63">
        <v>0.25</v>
      </c>
      <c r="F63">
        <f t="shared" si="0"/>
        <v>0.3418367346938776</v>
      </c>
      <c r="G63">
        <v>1</v>
      </c>
      <c r="H63">
        <f t="shared" si="1"/>
        <v>0.42</v>
      </c>
      <c r="I63">
        <f t="shared" si="2"/>
        <v>0.3418367346938776</v>
      </c>
    </row>
    <row r="64" spans="1:9" x14ac:dyDescent="0.25">
      <c r="A64" t="s">
        <v>44</v>
      </c>
      <c r="B64">
        <v>2011</v>
      </c>
      <c r="C64">
        <v>-0.04</v>
      </c>
      <c r="D64">
        <v>-0.23</v>
      </c>
      <c r="E64">
        <v>0.15</v>
      </c>
      <c r="F64">
        <f t="shared" si="0"/>
        <v>9.6938775510204078E-2</v>
      </c>
      <c r="G64">
        <v>1</v>
      </c>
      <c r="H64">
        <f t="shared" si="1"/>
        <v>0.04</v>
      </c>
      <c r="I64">
        <f t="shared" si="2"/>
        <v>9.6938775510204078E-2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2026-01-18T03:36:09Z</dcterms:modified>
</cp:coreProperties>
</file>