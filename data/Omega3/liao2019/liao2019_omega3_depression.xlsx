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liao2019\"/>
    </mc:Choice>
  </mc:AlternateContent>
  <xr:revisionPtr revIDLastSave="0" documentId="13_ncr:1_{DF3DC0E3-31CE-4E2C-AAC7-47D80BD9E308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2" i="1"/>
  <c r="M3" i="1"/>
  <c r="M4" i="1"/>
  <c r="M5" i="1"/>
  <c r="O5" i="1"/>
  <c r="M6" i="1"/>
  <c r="O6" i="1"/>
  <c r="M7" i="1"/>
  <c r="O7" i="1"/>
  <c r="M8" i="1"/>
  <c r="M9" i="1"/>
  <c r="O9" i="1"/>
  <c r="M10" i="1"/>
  <c r="O10" i="1"/>
  <c r="M11" i="1"/>
  <c r="O11" i="1"/>
  <c r="M12" i="1"/>
  <c r="M13" i="1"/>
  <c r="O13" i="1"/>
  <c r="M14" i="1"/>
  <c r="O14" i="1"/>
  <c r="M15" i="1"/>
  <c r="O15" i="1"/>
  <c r="M16" i="1"/>
  <c r="M17" i="1"/>
  <c r="O17" i="1"/>
  <c r="M18" i="1"/>
  <c r="O18" i="1"/>
  <c r="M19" i="1"/>
  <c r="O19" i="1"/>
  <c r="M20" i="1"/>
  <c r="M21" i="1"/>
  <c r="O21" i="1"/>
  <c r="M22" i="1"/>
  <c r="O22" i="1"/>
  <c r="M23" i="1"/>
  <c r="O23" i="1"/>
  <c r="M24" i="1"/>
  <c r="M25" i="1"/>
  <c r="O25" i="1"/>
  <c r="M26" i="1"/>
  <c r="O26" i="1"/>
  <c r="M27" i="1"/>
  <c r="O27" i="1"/>
  <c r="M28" i="1"/>
  <c r="M29" i="1"/>
  <c r="M30" i="1"/>
  <c r="O30" i="1"/>
  <c r="M31" i="1"/>
  <c r="O31" i="1"/>
  <c r="M32" i="1"/>
  <c r="M33" i="1"/>
  <c r="O33" i="1"/>
  <c r="O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O29" i="1" s="1"/>
  <c r="L30" i="1"/>
  <c r="L31" i="1"/>
  <c r="L32" i="1"/>
  <c r="L33" i="1"/>
  <c r="L2" i="1"/>
  <c r="O32" i="1" l="1"/>
  <c r="O28" i="1"/>
  <c r="O24" i="1"/>
  <c r="O20" i="1"/>
  <c r="O16" i="1"/>
  <c r="O12" i="1"/>
  <c r="O8" i="1"/>
  <c r="O4" i="1"/>
  <c r="O3" i="1"/>
</calcChain>
</file>

<file path=xl/sharedStrings.xml><?xml version="1.0" encoding="utf-8"?>
<sst xmlns="http://schemas.openxmlformats.org/spreadsheetml/2006/main" count="45" uniqueCount="45">
  <si>
    <t>Antypa</t>
  </si>
  <si>
    <t>Bot</t>
  </si>
  <si>
    <t>Carney</t>
  </si>
  <si>
    <t>Gertsik</t>
  </si>
  <si>
    <t>Gharekhani</t>
  </si>
  <si>
    <t>Grenyer</t>
  </si>
  <si>
    <t>Hallahan</t>
  </si>
  <si>
    <t>Jazayeri</t>
  </si>
  <si>
    <t>Lesperance</t>
  </si>
  <si>
    <t>Lucas</t>
  </si>
  <si>
    <t>Marangell</t>
  </si>
  <si>
    <t>Mazereeuw</t>
  </si>
  <si>
    <t>Mischoulon</t>
  </si>
  <si>
    <t>Nemets</t>
  </si>
  <si>
    <t>Park</t>
  </si>
  <si>
    <t>Ravi</t>
  </si>
  <si>
    <t>Rogers</t>
  </si>
  <si>
    <t>Rondannelli</t>
  </si>
  <si>
    <t>Shinto</t>
  </si>
  <si>
    <t>SU</t>
  </si>
  <si>
    <t>Tajalizadekhoob</t>
  </si>
  <si>
    <t>Coryell(1g/d</t>
  </si>
  <si>
    <t>coryell(2gld</t>
  </si>
  <si>
    <t>Mischoulon(DHA</t>
  </si>
  <si>
    <t>Mischoulon(EPA</t>
  </si>
  <si>
    <t>Mozaffari-KhosraviH(DHA</t>
  </si>
  <si>
    <t>Mozaffari-KhosraviH(EPA</t>
  </si>
  <si>
    <t>peet&amp;horrobin(1g/d</t>
  </si>
  <si>
    <t>peet&amp;horrobin(2gld</t>
  </si>
  <si>
    <t>peet&amp;horrobin(4gld</t>
  </si>
  <si>
    <t>Rapaport(DHA</t>
  </si>
  <si>
    <t>Rapaport(EPA</t>
  </si>
  <si>
    <t>mean_treat</t>
  </si>
  <si>
    <t>sd_treat</t>
  </si>
  <si>
    <t>n_treat</t>
  </si>
  <si>
    <t>mean_control</t>
  </si>
  <si>
    <t>sd_control</t>
  </si>
  <si>
    <t>n_control</t>
  </si>
  <si>
    <t>d</t>
  </si>
  <si>
    <t>lCI</t>
  </si>
  <si>
    <t>uCI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</si>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</sst>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B1" workbookViewId="0">
      <selection activeCell="N13" sqref="N13"/>
    </sheetView>
  </sheetViews>
  <sheetFormatPr defaultRowHeight="15" x14ac:dyDescent="0.25"/>
  <cols>
    <col min="1" max="1" width="29.85546875" bestFit="1" customWidth="1"/>
    <col min="3" max="3" width="6" bestFit="1" customWidth="1"/>
    <col min="4" max="4" width="5" bestFit="1" customWidth="1"/>
    <col min="5" max="5" width="4" bestFit="1" customWidth="1"/>
    <col min="6" max="6" width="6" bestFit="1" customWidth="1"/>
    <col min="7" max="7" width="5" bestFit="1" customWidth="1"/>
    <col min="8" max="8" width="4" bestFit="1" customWidth="1"/>
    <col min="9" max="9" width="16.85546875" bestFit="1" customWidth="1"/>
  </cols>
  <sheetData>
    <row r="1" spans="1:15" x14ac:dyDescent="0.25"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</row>
    <row r="2" spans="1:15" x14ac:dyDescent="0.25">
      <c r="A2" t="s">
        <v>0</v>
      </c>
      <c r="B2">
        <v>2012</v>
      </c>
      <c r="C2">
        <v>6.6</v>
      </c>
      <c r="D2">
        <v>7.3</v>
      </c>
      <c r="E2">
        <v>36</v>
      </c>
      <c r="F2">
        <v>6.5</v>
      </c>
      <c r="G2">
        <v>6.4</v>
      </c>
      <c r="H2">
        <v>35</v>
      </c>
      <c r="I2">
        <v>0.01</v>
      </c>
      <c r="J2">
        <v>-0.45</v>
      </c>
      <c r="K2">
        <v>0.48</v>
      </c>
      <c r="L2">
        <f>(K2-J2)/2/1.96</f>
        <v>0.23724489795918366</v>
      </c>
      <c r="M2">
        <f>1-3/(4*(E2+H2-2)-1)</f>
        <v>0.98909090909090913</v>
      </c>
      <c r="N2">
        <f>-M2*I2</f>
        <v>-9.8909090909090908E-3</v>
      </c>
      <c r="O2">
        <f>M2*L2</f>
        <v>0.23465677179962893</v>
      </c>
    </row>
    <row r="3" spans="1:15" x14ac:dyDescent="0.25">
      <c r="A3" t="s">
        <v>1</v>
      </c>
      <c r="B3">
        <v>2010</v>
      </c>
      <c r="C3">
        <v>14</v>
      </c>
      <c r="D3">
        <v>6.9</v>
      </c>
      <c r="E3">
        <v>12</v>
      </c>
      <c r="F3">
        <v>11.6</v>
      </c>
      <c r="G3">
        <v>9.1</v>
      </c>
      <c r="H3">
        <v>12</v>
      </c>
      <c r="I3">
        <v>0.28999999999999998</v>
      </c>
      <c r="J3">
        <v>-0.52</v>
      </c>
      <c r="K3">
        <v>1.0900000000000001</v>
      </c>
      <c r="L3">
        <f t="shared" ref="L3:L33" si="0">(K3-J3)/2/1.96</f>
        <v>0.41071428571428575</v>
      </c>
      <c r="M3">
        <f t="shared" ref="M3:M33" si="1">1-3/(4*(E3+H3-2)-1)</f>
        <v>0.96551724137931039</v>
      </c>
      <c r="N3">
        <f t="shared" ref="N3:N33" si="2">-M3*I3</f>
        <v>-0.27999999999999997</v>
      </c>
      <c r="O3">
        <f t="shared" ref="O3:O33" si="3">M3*L3</f>
        <v>0.39655172413793111</v>
      </c>
    </row>
    <row r="4" spans="1:15" x14ac:dyDescent="0.25">
      <c r="A4" t="s">
        <v>2</v>
      </c>
      <c r="B4">
        <v>2009</v>
      </c>
      <c r="C4">
        <v>9.6999999999999993</v>
      </c>
      <c r="D4">
        <v>6.5</v>
      </c>
      <c r="E4">
        <v>62</v>
      </c>
      <c r="F4">
        <v>9.1</v>
      </c>
      <c r="G4">
        <v>6.7</v>
      </c>
      <c r="H4">
        <v>60</v>
      </c>
      <c r="I4">
        <v>0.09</v>
      </c>
      <c r="J4">
        <v>-0.26</v>
      </c>
      <c r="K4">
        <v>0.45</v>
      </c>
      <c r="L4">
        <f t="shared" si="0"/>
        <v>0.18112244897959184</v>
      </c>
      <c r="M4">
        <f t="shared" si="1"/>
        <v>0.99373695198329859</v>
      </c>
      <c r="N4">
        <f t="shared" si="2"/>
        <v>-8.9436325678496867E-2</v>
      </c>
      <c r="O4">
        <f t="shared" si="3"/>
        <v>0.17998807038473011</v>
      </c>
    </row>
    <row r="5" spans="1:15" x14ac:dyDescent="0.25">
      <c r="A5" t="s">
        <v>21</v>
      </c>
      <c r="C5">
        <v>17</v>
      </c>
      <c r="D5">
        <v>8.6999999999999993</v>
      </c>
      <c r="E5">
        <v>3</v>
      </c>
      <c r="F5">
        <v>16</v>
      </c>
      <c r="G5">
        <v>8.3000000000000007</v>
      </c>
      <c r="H5">
        <v>2</v>
      </c>
      <c r="I5">
        <v>0.08</v>
      </c>
      <c r="J5">
        <v>-1.71</v>
      </c>
      <c r="K5">
        <v>1.88</v>
      </c>
      <c r="L5">
        <f t="shared" si="0"/>
        <v>0.91581632653061218</v>
      </c>
      <c r="M5">
        <f t="shared" si="1"/>
        <v>0.72727272727272729</v>
      </c>
      <c r="N5">
        <f t="shared" si="2"/>
        <v>-5.8181818181818182E-2</v>
      </c>
      <c r="O5">
        <f t="shared" si="3"/>
        <v>0.66604823747680886</v>
      </c>
    </row>
    <row r="6" spans="1:15" x14ac:dyDescent="0.25">
      <c r="A6" t="s">
        <v>22</v>
      </c>
      <c r="C6">
        <v>20</v>
      </c>
      <c r="D6">
        <v>8.5</v>
      </c>
      <c r="E6">
        <v>4</v>
      </c>
      <c r="F6">
        <v>16</v>
      </c>
      <c r="G6">
        <v>8.3000000000000007</v>
      </c>
      <c r="H6">
        <v>2</v>
      </c>
      <c r="I6">
        <v>0.38</v>
      </c>
      <c r="J6">
        <v>-1.36</v>
      </c>
      <c r="K6">
        <v>2.11</v>
      </c>
      <c r="L6">
        <f t="shared" si="0"/>
        <v>0.88520408163265296</v>
      </c>
      <c r="M6">
        <f t="shared" si="1"/>
        <v>0.8</v>
      </c>
      <c r="N6">
        <f t="shared" si="2"/>
        <v>-0.30400000000000005</v>
      </c>
      <c r="O6">
        <f t="shared" si="3"/>
        <v>0.70816326530612239</v>
      </c>
    </row>
    <row r="7" spans="1:15" x14ac:dyDescent="0.25">
      <c r="A7" t="s">
        <v>3</v>
      </c>
      <c r="B7">
        <v>2012</v>
      </c>
      <c r="C7">
        <v>10</v>
      </c>
      <c r="D7">
        <v>7.3</v>
      </c>
      <c r="E7">
        <v>18</v>
      </c>
      <c r="F7">
        <v>15.3</v>
      </c>
      <c r="G7">
        <v>8.9</v>
      </c>
      <c r="H7">
        <v>22</v>
      </c>
      <c r="I7">
        <v>-0.63</v>
      </c>
      <c r="J7">
        <v>-1.27</v>
      </c>
      <c r="K7">
        <v>0.01</v>
      </c>
      <c r="L7">
        <f t="shared" si="0"/>
        <v>0.32653061224489799</v>
      </c>
      <c r="M7">
        <f t="shared" si="1"/>
        <v>0.98013245033112584</v>
      </c>
      <c r="N7">
        <f t="shared" si="2"/>
        <v>0.6174834437086093</v>
      </c>
      <c r="O7">
        <f t="shared" si="3"/>
        <v>0.32004324908771459</v>
      </c>
    </row>
    <row r="8" spans="1:15" x14ac:dyDescent="0.25">
      <c r="A8" t="s">
        <v>4</v>
      </c>
      <c r="B8">
        <v>2014</v>
      </c>
      <c r="C8">
        <v>14.6</v>
      </c>
      <c r="D8">
        <v>6.8</v>
      </c>
      <c r="E8">
        <v>18</v>
      </c>
      <c r="F8">
        <v>20.399999999999999</v>
      </c>
      <c r="G8">
        <v>6.69</v>
      </c>
      <c r="H8">
        <v>27</v>
      </c>
      <c r="I8">
        <v>-0.85</v>
      </c>
      <c r="J8">
        <v>-1.47</v>
      </c>
      <c r="K8">
        <v>-0.22</v>
      </c>
      <c r="L8">
        <f t="shared" si="0"/>
        <v>0.31887755102040816</v>
      </c>
      <c r="M8">
        <f t="shared" si="1"/>
        <v>0.98245614035087714</v>
      </c>
      <c r="N8">
        <f t="shared" si="2"/>
        <v>0.83508771929824555</v>
      </c>
      <c r="O8">
        <f t="shared" si="3"/>
        <v>0.31328320802005011</v>
      </c>
    </row>
    <row r="9" spans="1:15" x14ac:dyDescent="0.25">
      <c r="A9" t="s">
        <v>5</v>
      </c>
      <c r="B9">
        <v>2007</v>
      </c>
      <c r="C9">
        <v>10.9</v>
      </c>
      <c r="D9">
        <v>7.2</v>
      </c>
      <c r="E9">
        <v>40</v>
      </c>
      <c r="F9">
        <v>10.6</v>
      </c>
      <c r="G9">
        <v>5.7</v>
      </c>
      <c r="H9">
        <v>43</v>
      </c>
      <c r="I9">
        <v>0.05</v>
      </c>
      <c r="J9">
        <v>-0.38</v>
      </c>
      <c r="K9">
        <v>0.48</v>
      </c>
      <c r="L9">
        <f t="shared" si="0"/>
        <v>0.21938775510204081</v>
      </c>
      <c r="M9">
        <f t="shared" si="1"/>
        <v>0.99071207430340558</v>
      </c>
      <c r="N9">
        <f t="shared" si="2"/>
        <v>-4.9535603715170282E-2</v>
      </c>
      <c r="O9">
        <f t="shared" si="3"/>
        <v>0.21735009793391041</v>
      </c>
    </row>
    <row r="10" spans="1:15" x14ac:dyDescent="0.25">
      <c r="A10" t="s">
        <v>6</v>
      </c>
      <c r="B10">
        <v>2007</v>
      </c>
      <c r="C10">
        <v>12.2</v>
      </c>
      <c r="D10">
        <v>8.5</v>
      </c>
      <c r="E10">
        <v>22</v>
      </c>
      <c r="F10">
        <v>17.399999999999999</v>
      </c>
      <c r="G10">
        <v>8.6</v>
      </c>
      <c r="H10">
        <v>27</v>
      </c>
      <c r="I10">
        <v>-0.6</v>
      </c>
      <c r="J10">
        <v>-1.17</v>
      </c>
      <c r="K10">
        <v>-0.02</v>
      </c>
      <c r="L10">
        <f t="shared" si="0"/>
        <v>0.29336734693877548</v>
      </c>
      <c r="M10">
        <f t="shared" si="1"/>
        <v>0.98395721925133695</v>
      </c>
      <c r="N10">
        <f t="shared" si="2"/>
        <v>0.5903743315508021</v>
      </c>
      <c r="O10">
        <f t="shared" si="3"/>
        <v>0.28866091891301976</v>
      </c>
    </row>
    <row r="11" spans="1:15" x14ac:dyDescent="0.25">
      <c r="A11" t="s">
        <v>7</v>
      </c>
      <c r="B11">
        <v>2008</v>
      </c>
      <c r="C11">
        <v>15.7</v>
      </c>
      <c r="D11">
        <v>8.6</v>
      </c>
      <c r="E11">
        <v>20</v>
      </c>
      <c r="F11">
        <v>19.3</v>
      </c>
      <c r="G11">
        <v>8.1999999999999993</v>
      </c>
      <c r="H11">
        <v>20</v>
      </c>
      <c r="I11">
        <v>-0.42</v>
      </c>
      <c r="J11">
        <v>-1.05</v>
      </c>
      <c r="K11">
        <v>0.21</v>
      </c>
      <c r="L11">
        <f t="shared" si="0"/>
        <v>0.32142857142857145</v>
      </c>
      <c r="M11">
        <f t="shared" si="1"/>
        <v>0.98013245033112584</v>
      </c>
      <c r="N11">
        <f t="shared" si="2"/>
        <v>0.41165562913907283</v>
      </c>
      <c r="O11">
        <f t="shared" si="3"/>
        <v>0.31504257332071905</v>
      </c>
    </row>
    <row r="12" spans="1:15" x14ac:dyDescent="0.25">
      <c r="A12" t="s">
        <v>8</v>
      </c>
      <c r="B12">
        <v>2012</v>
      </c>
      <c r="C12">
        <v>17.899999999999999</v>
      </c>
      <c r="D12">
        <v>8.9</v>
      </c>
      <c r="E12">
        <v>218</v>
      </c>
      <c r="F12">
        <v>18.8</v>
      </c>
      <c r="G12">
        <v>8.9</v>
      </c>
      <c r="H12">
        <v>214</v>
      </c>
      <c r="I12">
        <v>-0.1</v>
      </c>
      <c r="J12">
        <v>-0.28999999999999998</v>
      </c>
      <c r="K12">
        <v>0.09</v>
      </c>
      <c r="L12">
        <f t="shared" si="0"/>
        <v>9.6938775510204078E-2</v>
      </c>
      <c r="M12">
        <f t="shared" si="1"/>
        <v>0.99825479930191974</v>
      </c>
      <c r="N12">
        <f t="shared" si="2"/>
        <v>9.9825479930191974E-2</v>
      </c>
      <c r="O12">
        <f t="shared" si="3"/>
        <v>9.6769597891512626E-2</v>
      </c>
    </row>
    <row r="13" spans="1:15" x14ac:dyDescent="0.25">
      <c r="A13" t="s">
        <v>9</v>
      </c>
      <c r="B13">
        <v>2009</v>
      </c>
      <c r="C13">
        <v>13.4</v>
      </c>
      <c r="D13">
        <v>4.9000000000000004</v>
      </c>
      <c r="E13">
        <v>12</v>
      </c>
      <c r="F13">
        <v>9.1999999999999993</v>
      </c>
      <c r="G13">
        <v>5.3</v>
      </c>
      <c r="H13">
        <v>14</v>
      </c>
      <c r="I13">
        <v>0.79</v>
      </c>
      <c r="J13">
        <v>-0.01</v>
      </c>
      <c r="K13">
        <v>1.6</v>
      </c>
      <c r="L13">
        <f t="shared" si="0"/>
        <v>0.41071428571428575</v>
      </c>
      <c r="M13">
        <f t="shared" si="1"/>
        <v>0.96842105263157896</v>
      </c>
      <c r="N13">
        <f t="shared" si="2"/>
        <v>-0.76505263157894743</v>
      </c>
      <c r="O13">
        <f t="shared" si="3"/>
        <v>0.39774436090225568</v>
      </c>
    </row>
    <row r="14" spans="1:15" x14ac:dyDescent="0.25">
      <c r="A14" t="s">
        <v>10</v>
      </c>
      <c r="B14">
        <v>2003</v>
      </c>
      <c r="C14">
        <v>15.4</v>
      </c>
      <c r="D14">
        <v>8.3000000000000007</v>
      </c>
      <c r="E14">
        <v>18</v>
      </c>
      <c r="F14">
        <v>22.7</v>
      </c>
      <c r="G14">
        <v>9.1999999999999993</v>
      </c>
      <c r="H14">
        <v>17</v>
      </c>
      <c r="I14">
        <v>-0.82</v>
      </c>
      <c r="J14">
        <v>-1.51</v>
      </c>
      <c r="K14">
        <v>-0.12</v>
      </c>
      <c r="L14">
        <f t="shared" si="0"/>
        <v>0.35459183673469391</v>
      </c>
      <c r="M14">
        <f t="shared" si="1"/>
        <v>0.97709923664122134</v>
      </c>
      <c r="N14">
        <f t="shared" si="2"/>
        <v>0.8012213740458014</v>
      </c>
      <c r="O14">
        <f t="shared" si="3"/>
        <v>0.34647141299267803</v>
      </c>
    </row>
    <row r="15" spans="1:15" x14ac:dyDescent="0.25">
      <c r="A15" t="s">
        <v>11</v>
      </c>
      <c r="B15">
        <v>2016</v>
      </c>
      <c r="C15">
        <v>11.5</v>
      </c>
      <c r="D15">
        <v>5.9</v>
      </c>
      <c r="E15">
        <v>14</v>
      </c>
      <c r="F15">
        <v>8.4</v>
      </c>
      <c r="G15">
        <v>5.5</v>
      </c>
      <c r="H15">
        <v>17</v>
      </c>
      <c r="I15">
        <v>0.53</v>
      </c>
      <c r="J15">
        <v>-0.19</v>
      </c>
      <c r="K15">
        <v>1.25</v>
      </c>
      <c r="L15">
        <f t="shared" si="0"/>
        <v>0.36734693877551022</v>
      </c>
      <c r="M15">
        <f t="shared" si="1"/>
        <v>0.97391304347826091</v>
      </c>
      <c r="N15">
        <f t="shared" si="2"/>
        <v>-0.51617391304347826</v>
      </c>
      <c r="O15">
        <f t="shared" si="3"/>
        <v>0.35776397515527952</v>
      </c>
    </row>
    <row r="16" spans="1:15" x14ac:dyDescent="0.25">
      <c r="A16" t="s">
        <v>12</v>
      </c>
      <c r="B16">
        <v>2009</v>
      </c>
      <c r="C16">
        <v>13.9</v>
      </c>
      <c r="D16">
        <v>8.9</v>
      </c>
      <c r="E16">
        <v>16</v>
      </c>
      <c r="F16">
        <v>17.5</v>
      </c>
      <c r="G16">
        <v>7.5</v>
      </c>
      <c r="H16">
        <v>19</v>
      </c>
      <c r="I16">
        <v>-0.43</v>
      </c>
      <c r="J16">
        <v>-1.1000000000000001</v>
      </c>
      <c r="K16">
        <v>0.24</v>
      </c>
      <c r="L16">
        <f t="shared" si="0"/>
        <v>0.3418367346938776</v>
      </c>
      <c r="M16">
        <f t="shared" si="1"/>
        <v>0.97709923664122134</v>
      </c>
      <c r="N16">
        <f t="shared" si="2"/>
        <v>0.42015267175572518</v>
      </c>
      <c r="O16">
        <f t="shared" si="3"/>
        <v>0.33400841252531549</v>
      </c>
    </row>
    <row r="17" spans="1:15" x14ac:dyDescent="0.25">
      <c r="A17" t="s">
        <v>23</v>
      </c>
      <c r="B17">
        <v>2015</v>
      </c>
      <c r="C17">
        <v>10.54</v>
      </c>
      <c r="D17">
        <v>7.62</v>
      </c>
      <c r="E17">
        <v>58</v>
      </c>
      <c r="F17">
        <v>9.7100000000000009</v>
      </c>
      <c r="G17">
        <v>7.69</v>
      </c>
      <c r="H17">
        <v>59</v>
      </c>
      <c r="I17">
        <v>0.11</v>
      </c>
      <c r="J17">
        <v>-0.25</v>
      </c>
      <c r="K17">
        <v>0.47</v>
      </c>
      <c r="L17">
        <f t="shared" si="0"/>
        <v>0.18367346938775511</v>
      </c>
      <c r="M17">
        <f t="shared" si="1"/>
        <v>0.99346405228758172</v>
      </c>
      <c r="N17">
        <f t="shared" si="2"/>
        <v>-0.10928104575163398</v>
      </c>
      <c r="O17">
        <f t="shared" si="3"/>
        <v>0.18247298919567828</v>
      </c>
    </row>
    <row r="18" spans="1:15" x14ac:dyDescent="0.25">
      <c r="A18" t="s">
        <v>24</v>
      </c>
      <c r="B18">
        <v>2015</v>
      </c>
      <c r="C18">
        <v>8.9600000000000009</v>
      </c>
      <c r="D18">
        <v>7.75</v>
      </c>
      <c r="E18">
        <v>60</v>
      </c>
      <c r="F18">
        <v>9.7100000000000009</v>
      </c>
      <c r="G18">
        <v>7.69</v>
      </c>
      <c r="H18">
        <v>59</v>
      </c>
      <c r="I18">
        <v>-0.1</v>
      </c>
      <c r="J18">
        <v>-0.46</v>
      </c>
      <c r="K18">
        <v>0.26</v>
      </c>
      <c r="L18">
        <f t="shared" si="0"/>
        <v>0.18367346938775511</v>
      </c>
      <c r="M18">
        <f t="shared" si="1"/>
        <v>0.99357601713062094</v>
      </c>
      <c r="N18">
        <f t="shared" si="2"/>
        <v>9.9357601713062099E-2</v>
      </c>
      <c r="O18">
        <f t="shared" si="3"/>
        <v>0.18249355416684876</v>
      </c>
    </row>
    <row r="19" spans="1:15" x14ac:dyDescent="0.25">
      <c r="A19" t="s">
        <v>25</v>
      </c>
      <c r="B19">
        <v>2012</v>
      </c>
      <c r="C19">
        <v>13.7</v>
      </c>
      <c r="D19">
        <v>2.7</v>
      </c>
      <c r="E19">
        <v>20</v>
      </c>
      <c r="F19">
        <v>13.7</v>
      </c>
      <c r="G19">
        <v>2.7</v>
      </c>
      <c r="H19">
        <v>21</v>
      </c>
      <c r="I19">
        <v>0</v>
      </c>
      <c r="J19">
        <v>-0.61</v>
      </c>
      <c r="K19">
        <v>0.61</v>
      </c>
      <c r="L19">
        <f t="shared" si="0"/>
        <v>0.31122448979591838</v>
      </c>
      <c r="M19">
        <f t="shared" si="1"/>
        <v>0.98064516129032253</v>
      </c>
      <c r="N19">
        <f t="shared" si="2"/>
        <v>0</v>
      </c>
      <c r="O19">
        <f t="shared" si="3"/>
        <v>0.30520078999341671</v>
      </c>
    </row>
    <row r="20" spans="1:15" x14ac:dyDescent="0.25">
      <c r="A20" t="s">
        <v>26</v>
      </c>
      <c r="B20">
        <v>2012</v>
      </c>
      <c r="C20">
        <v>10.3</v>
      </c>
      <c r="D20">
        <v>3.2</v>
      </c>
      <c r="E20">
        <v>21</v>
      </c>
      <c r="F20">
        <v>13.7</v>
      </c>
      <c r="G20">
        <v>2.7</v>
      </c>
      <c r="H20">
        <v>21</v>
      </c>
      <c r="I20">
        <v>-1.1299999999999999</v>
      </c>
      <c r="J20">
        <v>-1.78</v>
      </c>
      <c r="K20">
        <v>-0.47</v>
      </c>
      <c r="L20">
        <f t="shared" si="0"/>
        <v>0.33418367346938777</v>
      </c>
      <c r="M20">
        <f t="shared" si="1"/>
        <v>0.98113207547169812</v>
      </c>
      <c r="N20">
        <f t="shared" si="2"/>
        <v>1.1086792452830188</v>
      </c>
      <c r="O20">
        <f t="shared" si="3"/>
        <v>0.32787832113977666</v>
      </c>
    </row>
    <row r="21" spans="1:15" x14ac:dyDescent="0.25">
      <c r="A21" t="s">
        <v>13</v>
      </c>
      <c r="B21">
        <v>2002</v>
      </c>
      <c r="C21">
        <v>11.6</v>
      </c>
      <c r="D21">
        <v>6.2</v>
      </c>
      <c r="E21">
        <v>10</v>
      </c>
      <c r="F21">
        <v>20</v>
      </c>
      <c r="G21">
        <v>8.8000000000000007</v>
      </c>
      <c r="H21">
        <v>10</v>
      </c>
      <c r="I21">
        <v>-1.06</v>
      </c>
      <c r="J21">
        <v>-2.0099999999999998</v>
      </c>
      <c r="K21">
        <v>-0.11</v>
      </c>
      <c r="L21">
        <f t="shared" si="0"/>
        <v>0.48469387755102034</v>
      </c>
      <c r="M21">
        <f t="shared" si="1"/>
        <v>0.95774647887323949</v>
      </c>
      <c r="N21">
        <f t="shared" si="2"/>
        <v>1.015211267605634</v>
      </c>
      <c r="O21">
        <f t="shared" si="3"/>
        <v>0.4642138545559068</v>
      </c>
    </row>
    <row r="22" spans="1:15" x14ac:dyDescent="0.25">
      <c r="A22" t="s">
        <v>14</v>
      </c>
      <c r="B22">
        <v>2015</v>
      </c>
      <c r="C22">
        <v>9.92</v>
      </c>
      <c r="D22">
        <v>5.43</v>
      </c>
      <c r="E22">
        <v>12</v>
      </c>
      <c r="F22">
        <v>10.31</v>
      </c>
      <c r="G22">
        <v>7.18</v>
      </c>
      <c r="H22">
        <v>13</v>
      </c>
      <c r="I22">
        <v>-0.06</v>
      </c>
      <c r="J22">
        <v>-0.84</v>
      </c>
      <c r="K22">
        <v>0.73</v>
      </c>
      <c r="L22">
        <f t="shared" si="0"/>
        <v>0.40051020408163263</v>
      </c>
      <c r="M22">
        <f t="shared" si="1"/>
        <v>0.96703296703296704</v>
      </c>
      <c r="N22">
        <f t="shared" si="2"/>
        <v>5.8021978021978018E-2</v>
      </c>
      <c r="O22">
        <f t="shared" si="3"/>
        <v>0.38730657098004034</v>
      </c>
    </row>
    <row r="23" spans="1:15" x14ac:dyDescent="0.25">
      <c r="A23" t="s">
        <v>27</v>
      </c>
      <c r="B23">
        <v>2002</v>
      </c>
      <c r="C23">
        <v>10</v>
      </c>
      <c r="D23">
        <v>7</v>
      </c>
      <c r="E23">
        <v>17</v>
      </c>
      <c r="F23">
        <v>14.2</v>
      </c>
      <c r="G23">
        <v>6.4</v>
      </c>
      <c r="H23">
        <v>5</v>
      </c>
      <c r="I23">
        <v>-0.59</v>
      </c>
      <c r="J23">
        <v>-1.6</v>
      </c>
      <c r="K23">
        <v>0.43</v>
      </c>
      <c r="L23">
        <f t="shared" si="0"/>
        <v>0.5178571428571429</v>
      </c>
      <c r="M23">
        <f t="shared" si="1"/>
        <v>0.96202531645569622</v>
      </c>
      <c r="N23">
        <f t="shared" si="2"/>
        <v>0.56759493670886074</v>
      </c>
      <c r="O23">
        <f t="shared" si="3"/>
        <v>0.4981916817359856</v>
      </c>
    </row>
    <row r="24" spans="1:15" x14ac:dyDescent="0.25">
      <c r="A24" t="s">
        <v>28</v>
      </c>
      <c r="B24">
        <v>2002</v>
      </c>
      <c r="C24">
        <v>13.8</v>
      </c>
      <c r="D24">
        <v>7</v>
      </c>
      <c r="E24">
        <v>18</v>
      </c>
      <c r="F24">
        <v>14.2</v>
      </c>
      <c r="G24">
        <v>6.4</v>
      </c>
      <c r="H24">
        <v>6</v>
      </c>
      <c r="I24">
        <v>-0.06</v>
      </c>
      <c r="J24">
        <v>-0.98</v>
      </c>
      <c r="K24">
        <v>0.87</v>
      </c>
      <c r="L24">
        <f t="shared" si="0"/>
        <v>0.47193877551020413</v>
      </c>
      <c r="M24">
        <f t="shared" si="1"/>
        <v>0.96551724137931039</v>
      </c>
      <c r="N24">
        <f t="shared" si="2"/>
        <v>5.7931034482758624E-2</v>
      </c>
      <c r="O24">
        <f t="shared" si="3"/>
        <v>0.45566502463054193</v>
      </c>
    </row>
    <row r="25" spans="1:15" x14ac:dyDescent="0.25">
      <c r="A25" t="s">
        <v>29</v>
      </c>
      <c r="B25">
        <v>2002</v>
      </c>
      <c r="C25">
        <v>12.3</v>
      </c>
      <c r="D25">
        <v>7</v>
      </c>
      <c r="E25">
        <v>17</v>
      </c>
      <c r="F25">
        <v>14.2</v>
      </c>
      <c r="G25">
        <v>6.4</v>
      </c>
      <c r="H25">
        <v>6</v>
      </c>
      <c r="I25">
        <v>-0.27</v>
      </c>
      <c r="J25">
        <v>-1.2</v>
      </c>
      <c r="K25">
        <v>0.67</v>
      </c>
      <c r="L25">
        <f t="shared" si="0"/>
        <v>0.47704081632653067</v>
      </c>
      <c r="M25">
        <f t="shared" si="1"/>
        <v>0.96385542168674698</v>
      </c>
      <c r="N25">
        <f t="shared" si="2"/>
        <v>0.26024096385542173</v>
      </c>
      <c r="O25">
        <f t="shared" si="3"/>
        <v>0.45979837718219824</v>
      </c>
    </row>
    <row r="26" spans="1:15" x14ac:dyDescent="0.25">
      <c r="A26" t="s">
        <v>30</v>
      </c>
      <c r="B26">
        <v>2016</v>
      </c>
      <c r="C26">
        <v>9.99</v>
      </c>
      <c r="D26">
        <v>4.07</v>
      </c>
      <c r="E26">
        <v>51</v>
      </c>
      <c r="F26">
        <v>9.41</v>
      </c>
      <c r="G26">
        <v>3.97</v>
      </c>
      <c r="H26">
        <v>52</v>
      </c>
      <c r="I26">
        <v>0.14000000000000001</v>
      </c>
      <c r="J26">
        <v>-0.24</v>
      </c>
      <c r="K26">
        <v>0.53</v>
      </c>
      <c r="L26">
        <f t="shared" si="0"/>
        <v>0.19642857142857142</v>
      </c>
      <c r="M26">
        <f t="shared" si="1"/>
        <v>0.99255583126550873</v>
      </c>
      <c r="N26">
        <f t="shared" si="2"/>
        <v>-0.13895781637717122</v>
      </c>
      <c r="O26">
        <f t="shared" si="3"/>
        <v>0.19496632399858208</v>
      </c>
    </row>
    <row r="27" spans="1:15" x14ac:dyDescent="0.25">
      <c r="A27" t="s">
        <v>31</v>
      </c>
      <c r="B27">
        <v>2016</v>
      </c>
      <c r="C27">
        <v>9.06</v>
      </c>
      <c r="D27">
        <v>4.1100000000000003</v>
      </c>
      <c r="E27">
        <v>52</v>
      </c>
      <c r="F27">
        <v>9.41</v>
      </c>
      <c r="G27">
        <v>3.97</v>
      </c>
      <c r="H27">
        <v>52</v>
      </c>
      <c r="I27">
        <v>-0.09</v>
      </c>
      <c r="J27">
        <v>-0.47</v>
      </c>
      <c r="K27">
        <v>0.3</v>
      </c>
      <c r="L27">
        <f t="shared" si="0"/>
        <v>0.19642857142857142</v>
      </c>
      <c r="M27">
        <f t="shared" si="1"/>
        <v>0.99262899262899262</v>
      </c>
      <c r="N27">
        <f t="shared" si="2"/>
        <v>8.9336609336609335E-2</v>
      </c>
      <c r="O27">
        <f t="shared" si="3"/>
        <v>0.19498069498069498</v>
      </c>
    </row>
    <row r="28" spans="1:15" x14ac:dyDescent="0.25">
      <c r="A28" t="s">
        <v>15</v>
      </c>
      <c r="B28">
        <v>2016</v>
      </c>
      <c r="C28">
        <v>14.3</v>
      </c>
      <c r="D28">
        <v>5.78</v>
      </c>
      <c r="E28">
        <v>50</v>
      </c>
      <c r="F28">
        <v>26.7</v>
      </c>
      <c r="G28">
        <v>5.95</v>
      </c>
      <c r="H28">
        <v>50</v>
      </c>
      <c r="I28">
        <v>-2.1</v>
      </c>
      <c r="J28">
        <v>-2.59</v>
      </c>
      <c r="K28">
        <v>-1.61</v>
      </c>
      <c r="L28">
        <f t="shared" si="0"/>
        <v>0.24999999999999994</v>
      </c>
      <c r="M28">
        <f t="shared" si="1"/>
        <v>0.99232736572890023</v>
      </c>
      <c r="N28">
        <f t="shared" si="2"/>
        <v>2.0838874680306905</v>
      </c>
      <c r="O28">
        <f t="shared" si="3"/>
        <v>0.248081841432225</v>
      </c>
    </row>
    <row r="29" spans="1:15" x14ac:dyDescent="0.25">
      <c r="A29" t="s">
        <v>16</v>
      </c>
      <c r="B29">
        <v>2008</v>
      </c>
      <c r="C29">
        <v>10.6</v>
      </c>
      <c r="D29">
        <v>7.9</v>
      </c>
      <c r="E29">
        <v>109</v>
      </c>
      <c r="F29">
        <v>9.9</v>
      </c>
      <c r="G29">
        <v>6.5</v>
      </c>
      <c r="H29">
        <v>109</v>
      </c>
      <c r="I29">
        <v>0.1</v>
      </c>
      <c r="J29">
        <v>-0.17</v>
      </c>
      <c r="K29">
        <v>0.36</v>
      </c>
      <c r="L29">
        <f t="shared" si="0"/>
        <v>0.13520408163265307</v>
      </c>
      <c r="M29">
        <f t="shared" si="1"/>
        <v>0.99652375434530704</v>
      </c>
      <c r="N29">
        <f t="shared" si="2"/>
        <v>-9.9652375434530704E-2</v>
      </c>
      <c r="O29">
        <f t="shared" si="3"/>
        <v>0.13473407903138082</v>
      </c>
    </row>
    <row r="30" spans="1:15" x14ac:dyDescent="0.25">
      <c r="A30" t="s">
        <v>17</v>
      </c>
      <c r="B30">
        <v>2011</v>
      </c>
      <c r="C30">
        <v>12.6</v>
      </c>
      <c r="D30">
        <v>4.3</v>
      </c>
      <c r="E30">
        <v>22</v>
      </c>
      <c r="F30">
        <v>15.9</v>
      </c>
      <c r="G30">
        <v>5.4</v>
      </c>
      <c r="H30">
        <v>22</v>
      </c>
      <c r="I30">
        <v>-0.66</v>
      </c>
      <c r="J30">
        <v>-1.27</v>
      </c>
      <c r="K30">
        <v>-0.06</v>
      </c>
      <c r="L30">
        <f t="shared" si="0"/>
        <v>0.30867346938775508</v>
      </c>
      <c r="M30">
        <f t="shared" si="1"/>
        <v>0.98203592814371254</v>
      </c>
      <c r="N30">
        <f t="shared" si="2"/>
        <v>0.64814371257485026</v>
      </c>
      <c r="O30">
        <f t="shared" si="3"/>
        <v>0.30312843700354392</v>
      </c>
    </row>
    <row r="31" spans="1:15" x14ac:dyDescent="0.25">
      <c r="A31" t="s">
        <v>18</v>
      </c>
      <c r="B31">
        <v>2016</v>
      </c>
      <c r="C31">
        <v>10.87</v>
      </c>
      <c r="D31">
        <v>7.43</v>
      </c>
      <c r="E31">
        <v>15</v>
      </c>
      <c r="F31">
        <v>9</v>
      </c>
      <c r="G31">
        <v>5.19</v>
      </c>
      <c r="H31">
        <v>16</v>
      </c>
      <c r="I31">
        <v>0.28999999999999998</v>
      </c>
      <c r="J31">
        <v>-0.42</v>
      </c>
      <c r="K31">
        <v>0.99</v>
      </c>
      <c r="L31">
        <f t="shared" si="0"/>
        <v>0.35969387755102039</v>
      </c>
      <c r="M31">
        <f t="shared" si="1"/>
        <v>0.97391304347826091</v>
      </c>
      <c r="N31">
        <f t="shared" si="2"/>
        <v>-0.28243478260869564</v>
      </c>
      <c r="O31">
        <f t="shared" si="3"/>
        <v>0.35031055900621116</v>
      </c>
    </row>
    <row r="32" spans="1:15" x14ac:dyDescent="0.25">
      <c r="A32" t="s">
        <v>19</v>
      </c>
      <c r="B32">
        <v>2003</v>
      </c>
      <c r="C32">
        <v>8.9</v>
      </c>
      <c r="D32">
        <v>3.7</v>
      </c>
      <c r="E32">
        <v>12</v>
      </c>
      <c r="F32">
        <v>15.7</v>
      </c>
      <c r="G32">
        <v>3.2</v>
      </c>
      <c r="H32">
        <v>10</v>
      </c>
      <c r="I32">
        <v>-1.88</v>
      </c>
      <c r="J32">
        <v>-2.92</v>
      </c>
      <c r="K32">
        <v>-0.84</v>
      </c>
      <c r="L32">
        <f t="shared" si="0"/>
        <v>0.53061224489795922</v>
      </c>
      <c r="M32">
        <f t="shared" si="1"/>
        <v>0.96202531645569622</v>
      </c>
      <c r="N32">
        <f t="shared" si="2"/>
        <v>1.8086075949367089</v>
      </c>
      <c r="O32">
        <f t="shared" si="3"/>
        <v>0.51046241281322657</v>
      </c>
    </row>
    <row r="33" spans="1:15" x14ac:dyDescent="0.25">
      <c r="A33" t="s">
        <v>20</v>
      </c>
      <c r="B33">
        <v>2011</v>
      </c>
      <c r="C33">
        <v>6</v>
      </c>
      <c r="D33">
        <v>2.92</v>
      </c>
      <c r="E33">
        <v>32</v>
      </c>
      <c r="F33">
        <v>6.91</v>
      </c>
      <c r="G33">
        <v>3.98</v>
      </c>
      <c r="H33">
        <v>29</v>
      </c>
      <c r="I33">
        <v>-0.26</v>
      </c>
      <c r="J33">
        <v>-0.76</v>
      </c>
      <c r="K33">
        <v>0.25</v>
      </c>
      <c r="L33">
        <f t="shared" si="0"/>
        <v>0.25765306122448978</v>
      </c>
      <c r="M33">
        <f t="shared" si="1"/>
        <v>0.98723404255319147</v>
      </c>
      <c r="N33">
        <f t="shared" si="2"/>
        <v>0.25668085106382982</v>
      </c>
      <c r="O33">
        <f t="shared" si="3"/>
        <v>0.254363873208858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2026-01-24T17:38:32Z</dcterms:modified>
</cp:coreProperties>
</file>