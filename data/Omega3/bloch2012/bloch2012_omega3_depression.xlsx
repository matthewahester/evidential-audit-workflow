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bloch2012\"/>
    </mc:Choice>
  </mc:AlternateContent>
  <xr:revisionPtr revIDLastSave="0" documentId="13_ncr:1_{4107709B-AC2C-4099-B281-D2224C03ECA3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 s="1"/>
  <c r="G4" i="1"/>
  <c r="J4" i="1" s="1"/>
  <c r="H4" i="1"/>
  <c r="I4" i="1"/>
  <c r="G5" i="1"/>
  <c r="H5" i="1"/>
  <c r="I5" i="1" s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 s="1"/>
  <c r="J11" i="1"/>
  <c r="G12" i="1"/>
  <c r="H12" i="1"/>
  <c r="I12" i="1"/>
  <c r="J12" i="1"/>
  <c r="G13" i="1"/>
  <c r="H13" i="1"/>
  <c r="I13" i="1" s="1"/>
  <c r="J13" i="1"/>
  <c r="G14" i="1"/>
  <c r="H14" i="1"/>
  <c r="I14" i="1"/>
  <c r="J14" i="1"/>
  <c r="J2" i="1"/>
  <c r="I2" i="1"/>
  <c r="H2" i="1"/>
  <c r="G2" i="1"/>
  <c r="J5" i="1" l="1"/>
  <c r="J3" i="1"/>
</calcChain>
</file>

<file path=xl/sharedStrings.xml><?xml version="1.0" encoding="utf-8"?>
<sst xmlns="http://schemas.openxmlformats.org/spreadsheetml/2006/main" count="23" uniqueCount="23">
  <si>
    <t>Nemets B</t>
  </si>
  <si>
    <t>Peet</t>
  </si>
  <si>
    <t>Marangell</t>
  </si>
  <si>
    <t>Su-MDD</t>
  </si>
  <si>
    <t>Silvers</t>
  </si>
  <si>
    <t>Grenyer</t>
  </si>
  <si>
    <t>Su-PD</t>
  </si>
  <si>
    <t>Rogers</t>
  </si>
  <si>
    <t>Rees</t>
  </si>
  <si>
    <t>Freeman</t>
  </si>
  <si>
    <t>da Silva</t>
  </si>
  <si>
    <t>Lucas</t>
  </si>
  <si>
    <t>Mischoulon</t>
  </si>
  <si>
    <t>d</t>
  </si>
  <si>
    <t>lCI</t>
  </si>
  <si>
    <t>uCI</t>
  </si>
  <si>
    <t>n</t>
  </si>
  <si>
    <t>Author</t>
  </si>
  <si>
    <t>Year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</si>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</sst>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8" sqref="F8"/>
    </sheetView>
  </sheetViews>
  <sheetFormatPr defaultRowHeight="15" x14ac:dyDescent="0.25"/>
  <cols>
    <col min="1" max="1" width="11.28515625" bestFit="1" customWidth="1"/>
    <col min="2" max="2" width="5" bestFit="1" customWidth="1"/>
    <col min="3" max="3" width="5" customWidth="1"/>
    <col min="4" max="4" width="16.85546875" bestFit="1" customWidth="1"/>
  </cols>
  <sheetData>
    <row r="1" spans="1:10" x14ac:dyDescent="0.25">
      <c r="A1" t="s">
        <v>17</v>
      </c>
      <c r="B1" t="s">
        <v>18</v>
      </c>
      <c r="C1" t="s">
        <v>16</v>
      </c>
      <c r="D1" t="s">
        <v>13</v>
      </c>
      <c r="E1" t="s">
        <v>14</v>
      </c>
      <c r="F1" t="s">
        <v>15</v>
      </c>
      <c r="G1" t="s">
        <v>22</v>
      </c>
      <c r="H1" t="s">
        <v>19</v>
      </c>
      <c r="I1" t="s">
        <v>20</v>
      </c>
      <c r="J1" t="s">
        <v>21</v>
      </c>
    </row>
    <row r="2" spans="1:10" x14ac:dyDescent="0.25">
      <c r="A2" t="s">
        <v>0</v>
      </c>
      <c r="B2">
        <v>2002</v>
      </c>
      <c r="C2">
        <v>20</v>
      </c>
      <c r="D2">
        <v>1.47</v>
      </c>
      <c r="E2">
        <v>0.45</v>
      </c>
      <c r="F2">
        <v>2.48</v>
      </c>
      <c r="G2">
        <f>(F2-E2)/2/1.96</f>
        <v>0.51785714285714279</v>
      </c>
      <c r="H2">
        <f>1-3/(4*(C2-2)-1)</f>
        <v>0.95774647887323949</v>
      </c>
      <c r="I2">
        <f>H2*D2</f>
        <v>1.407887323943662</v>
      </c>
      <c r="J2">
        <f>G2*H2</f>
        <v>0.49597585513078468</v>
      </c>
    </row>
    <row r="3" spans="1:10" x14ac:dyDescent="0.25">
      <c r="A3" t="s">
        <v>1</v>
      </c>
      <c r="B3">
        <v>2002</v>
      </c>
      <c r="C3">
        <v>70</v>
      </c>
      <c r="D3">
        <v>0.28000000000000003</v>
      </c>
      <c r="E3">
        <v>-0.26</v>
      </c>
      <c r="F3">
        <v>0.82</v>
      </c>
      <c r="G3">
        <f t="shared" ref="G3:G14" si="0">(F3-E3)/2/1.96</f>
        <v>0.27551020408163268</v>
      </c>
      <c r="H3">
        <f t="shared" ref="H3:H14" si="1">1-3/(4*(C3-2)-1)</f>
        <v>0.98892988929889303</v>
      </c>
      <c r="I3">
        <f t="shared" ref="I3:I14" si="2">H3*D3</f>
        <v>0.27690036900369008</v>
      </c>
      <c r="J3">
        <f t="shared" ref="J3:J14" si="3">G3*H3</f>
        <v>0.27246027562316444</v>
      </c>
    </row>
    <row r="4" spans="1:10" x14ac:dyDescent="0.25">
      <c r="A4" t="s">
        <v>2</v>
      </c>
      <c r="B4">
        <v>2003</v>
      </c>
      <c r="C4">
        <v>36</v>
      </c>
      <c r="D4">
        <v>0.28000000000000003</v>
      </c>
      <c r="E4">
        <v>-0.39</v>
      </c>
      <c r="F4">
        <v>0.94</v>
      </c>
      <c r="G4">
        <f t="shared" si="0"/>
        <v>0.3392857142857143</v>
      </c>
      <c r="H4">
        <f t="shared" si="1"/>
        <v>0.97777777777777775</v>
      </c>
      <c r="I4">
        <f t="shared" si="2"/>
        <v>0.27377777777777779</v>
      </c>
      <c r="J4">
        <f t="shared" si="3"/>
        <v>0.33174603174603173</v>
      </c>
    </row>
    <row r="5" spans="1:10" x14ac:dyDescent="0.25">
      <c r="A5" t="s">
        <v>3</v>
      </c>
      <c r="B5">
        <v>2003</v>
      </c>
      <c r="C5">
        <v>28</v>
      </c>
      <c r="D5">
        <v>1.04</v>
      </c>
      <c r="E5">
        <v>0.13</v>
      </c>
      <c r="F5">
        <v>1.94</v>
      </c>
      <c r="G5">
        <f t="shared" si="0"/>
        <v>0.46173469387755106</v>
      </c>
      <c r="H5">
        <f t="shared" si="1"/>
        <v>0.970873786407767</v>
      </c>
      <c r="I5">
        <f t="shared" si="2"/>
        <v>1.0097087378640777</v>
      </c>
      <c r="J5">
        <f t="shared" si="3"/>
        <v>0.4482861105607292</v>
      </c>
    </row>
    <row r="6" spans="1:10" x14ac:dyDescent="0.25">
      <c r="A6" t="s">
        <v>4</v>
      </c>
      <c r="B6">
        <v>2005</v>
      </c>
      <c r="C6">
        <v>77</v>
      </c>
      <c r="D6">
        <v>-0.25</v>
      </c>
      <c r="E6">
        <v>-0.7</v>
      </c>
      <c r="F6">
        <v>0.2</v>
      </c>
      <c r="G6">
        <f t="shared" si="0"/>
        <v>0.22959183673469385</v>
      </c>
      <c r="H6">
        <f t="shared" si="1"/>
        <v>0.98996655518394649</v>
      </c>
      <c r="I6">
        <f t="shared" si="2"/>
        <v>-0.24749163879598662</v>
      </c>
      <c r="J6">
        <f t="shared" si="3"/>
        <v>0.22728823971059994</v>
      </c>
    </row>
    <row r="7" spans="1:10" x14ac:dyDescent="0.25">
      <c r="A7" t="s">
        <v>5</v>
      </c>
      <c r="B7">
        <v>2007</v>
      </c>
      <c r="C7">
        <v>83</v>
      </c>
      <c r="D7">
        <v>-0.69</v>
      </c>
      <c r="E7">
        <v>-1.1299999999999999</v>
      </c>
      <c r="F7">
        <v>-0.25</v>
      </c>
      <c r="G7">
        <f t="shared" si="0"/>
        <v>0.22448979591836732</v>
      </c>
      <c r="H7">
        <f t="shared" si="1"/>
        <v>0.99071207430340558</v>
      </c>
      <c r="I7">
        <f t="shared" si="2"/>
        <v>-0.68359133126934979</v>
      </c>
      <c r="J7">
        <f t="shared" si="3"/>
        <v>0.22240475137423388</v>
      </c>
    </row>
    <row r="8" spans="1:10" x14ac:dyDescent="0.25">
      <c r="A8" t="s">
        <v>6</v>
      </c>
      <c r="B8">
        <v>2008</v>
      </c>
      <c r="C8">
        <v>36</v>
      </c>
      <c r="D8">
        <v>0.93</v>
      </c>
      <c r="E8">
        <v>0.24</v>
      </c>
      <c r="F8">
        <v>1.62</v>
      </c>
      <c r="G8">
        <f t="shared" si="0"/>
        <v>0.35204081632653067</v>
      </c>
      <c r="H8">
        <f t="shared" si="1"/>
        <v>0.97777777777777775</v>
      </c>
      <c r="I8">
        <f t="shared" si="2"/>
        <v>0.90933333333333333</v>
      </c>
      <c r="J8">
        <f t="shared" si="3"/>
        <v>0.34421768707482997</v>
      </c>
    </row>
    <row r="9" spans="1:10" x14ac:dyDescent="0.25">
      <c r="A9" t="s">
        <v>7</v>
      </c>
      <c r="B9">
        <v>2008</v>
      </c>
      <c r="C9">
        <v>218</v>
      </c>
      <c r="D9">
        <v>0.15</v>
      </c>
      <c r="E9">
        <v>-0.12</v>
      </c>
      <c r="F9">
        <v>0.41</v>
      </c>
      <c r="G9">
        <f t="shared" si="0"/>
        <v>0.13520408163265307</v>
      </c>
      <c r="H9">
        <f t="shared" si="1"/>
        <v>0.99652375434530704</v>
      </c>
      <c r="I9">
        <f t="shared" si="2"/>
        <v>0.14947856315179606</v>
      </c>
      <c r="J9">
        <f t="shared" si="3"/>
        <v>0.13473407903138082</v>
      </c>
    </row>
    <row r="10" spans="1:10" x14ac:dyDescent="0.25">
      <c r="A10" t="s">
        <v>8</v>
      </c>
      <c r="B10">
        <v>2008</v>
      </c>
      <c r="C10">
        <v>26</v>
      </c>
      <c r="D10">
        <v>0.66</v>
      </c>
      <c r="E10">
        <v>-0.14000000000000001</v>
      </c>
      <c r="F10">
        <v>1.45</v>
      </c>
      <c r="G10">
        <f t="shared" si="0"/>
        <v>0.40561224489795916</v>
      </c>
      <c r="H10">
        <f t="shared" si="1"/>
        <v>0.96842105263157896</v>
      </c>
      <c r="I10">
        <f t="shared" si="2"/>
        <v>0.63915789473684215</v>
      </c>
      <c r="J10">
        <f t="shared" si="3"/>
        <v>0.39280343716433941</v>
      </c>
    </row>
    <row r="11" spans="1:10" x14ac:dyDescent="0.25">
      <c r="A11" t="s">
        <v>9</v>
      </c>
      <c r="B11">
        <v>2008</v>
      </c>
      <c r="C11">
        <v>51</v>
      </c>
      <c r="D11">
        <v>-0.31</v>
      </c>
      <c r="E11">
        <v>-0.86</v>
      </c>
      <c r="F11">
        <v>0.25</v>
      </c>
      <c r="G11">
        <f t="shared" si="0"/>
        <v>0.2831632653061224</v>
      </c>
      <c r="H11">
        <f t="shared" si="1"/>
        <v>0.98461538461538467</v>
      </c>
      <c r="I11">
        <f t="shared" si="2"/>
        <v>-0.30523076923076925</v>
      </c>
      <c r="J11">
        <f t="shared" si="3"/>
        <v>0.27880690737833591</v>
      </c>
    </row>
    <row r="12" spans="1:10" x14ac:dyDescent="0.25">
      <c r="A12" t="s">
        <v>10</v>
      </c>
      <c r="B12">
        <v>2008</v>
      </c>
      <c r="C12">
        <v>31</v>
      </c>
      <c r="D12">
        <v>0.43</v>
      </c>
      <c r="E12">
        <v>-0.31</v>
      </c>
      <c r="F12">
        <v>1.17</v>
      </c>
      <c r="G12">
        <f t="shared" si="0"/>
        <v>0.37755102040816324</v>
      </c>
      <c r="H12">
        <f t="shared" si="1"/>
        <v>0.97391304347826091</v>
      </c>
      <c r="I12">
        <f t="shared" si="2"/>
        <v>0.4187826086956522</v>
      </c>
      <c r="J12">
        <f t="shared" si="3"/>
        <v>0.36770186335403726</v>
      </c>
    </row>
    <row r="13" spans="1:10" x14ac:dyDescent="0.25">
      <c r="A13" t="s">
        <v>11</v>
      </c>
      <c r="B13">
        <v>2009</v>
      </c>
      <c r="C13">
        <v>29</v>
      </c>
      <c r="D13">
        <v>-0.66</v>
      </c>
      <c r="E13">
        <v>-1.41</v>
      </c>
      <c r="F13">
        <v>0.1</v>
      </c>
      <c r="G13">
        <f t="shared" si="0"/>
        <v>0.38520408163265307</v>
      </c>
      <c r="H13">
        <f t="shared" si="1"/>
        <v>0.9719626168224299</v>
      </c>
      <c r="I13">
        <f t="shared" si="2"/>
        <v>-0.64149532710280377</v>
      </c>
      <c r="J13">
        <f t="shared" si="3"/>
        <v>0.37440396719435437</v>
      </c>
    </row>
    <row r="14" spans="1:10" x14ac:dyDescent="0.25">
      <c r="A14" t="s">
        <v>12</v>
      </c>
      <c r="B14">
        <v>2009</v>
      </c>
      <c r="C14">
        <v>35</v>
      </c>
      <c r="D14">
        <v>0.88</v>
      </c>
      <c r="E14">
        <v>0.18</v>
      </c>
      <c r="F14">
        <v>1.58</v>
      </c>
      <c r="G14">
        <f t="shared" si="0"/>
        <v>0.35714285714285721</v>
      </c>
      <c r="H14">
        <f t="shared" si="1"/>
        <v>0.97709923664122134</v>
      </c>
      <c r="I14">
        <f t="shared" si="2"/>
        <v>0.85984732824427479</v>
      </c>
      <c r="J14">
        <f t="shared" si="3"/>
        <v>0.34896401308615055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2026-01-12T00:27:59Z</dcterms:modified>
</cp:coreProperties>
</file>