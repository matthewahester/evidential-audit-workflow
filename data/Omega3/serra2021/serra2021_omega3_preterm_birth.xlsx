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serra2021\"/>
    </mc:Choice>
  </mc:AlternateContent>
  <xr:revisionPtr revIDLastSave="0" documentId="13_ncr:1_{86E95F62-7CED-40FF-AD3B-1F2402AC4490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 s="1"/>
  <c r="J4" i="1"/>
  <c r="K4" i="1"/>
  <c r="L4" i="1"/>
  <c r="M4" i="1"/>
  <c r="N4" i="1"/>
  <c r="J5" i="1"/>
  <c r="K5" i="1"/>
  <c r="L5" i="1" s="1"/>
  <c r="M5" i="1"/>
  <c r="J6" i="1"/>
  <c r="L6" i="1" s="1"/>
  <c r="K6" i="1"/>
  <c r="M6" i="1"/>
  <c r="N6" i="1"/>
  <c r="J7" i="1"/>
  <c r="K7" i="1"/>
  <c r="L7" i="1"/>
  <c r="M7" i="1"/>
  <c r="N7" i="1" s="1"/>
  <c r="J8" i="1"/>
  <c r="K8" i="1"/>
  <c r="L8" i="1" s="1"/>
  <c r="M8" i="1"/>
  <c r="J9" i="1"/>
  <c r="K9" i="1"/>
  <c r="L9" i="1"/>
  <c r="M9" i="1"/>
  <c r="N9" i="1"/>
  <c r="J10" i="1"/>
  <c r="K10" i="1"/>
  <c r="L10" i="1" s="1"/>
  <c r="M10" i="1"/>
  <c r="N10" i="1" s="1"/>
  <c r="J11" i="1"/>
  <c r="K11" i="1"/>
  <c r="L11" i="1"/>
  <c r="M11" i="1"/>
  <c r="N11" i="1"/>
  <c r="J12" i="1"/>
  <c r="K12" i="1"/>
  <c r="L12" i="1"/>
  <c r="M12" i="1"/>
  <c r="N12" i="1" s="1"/>
  <c r="J13" i="1"/>
  <c r="K13" i="1"/>
  <c r="L13" i="1" s="1"/>
  <c r="M13" i="1"/>
  <c r="J14" i="1"/>
  <c r="K14" i="1"/>
  <c r="L14" i="1"/>
  <c r="M14" i="1"/>
  <c r="N14" i="1"/>
  <c r="J15" i="1"/>
  <c r="K15" i="1"/>
  <c r="L15" i="1"/>
  <c r="M15" i="1"/>
  <c r="N15" i="1" s="1"/>
  <c r="J16" i="1"/>
  <c r="K16" i="1"/>
  <c r="L16" i="1"/>
  <c r="M16" i="1"/>
  <c r="N16" i="1"/>
  <c r="J17" i="1"/>
  <c r="K17" i="1"/>
  <c r="L17" i="1" s="1"/>
  <c r="M17" i="1"/>
  <c r="J18" i="1"/>
  <c r="L18" i="1" s="1"/>
  <c r="K18" i="1"/>
  <c r="M18" i="1"/>
  <c r="N18" i="1"/>
  <c r="J19" i="1"/>
  <c r="K19" i="1"/>
  <c r="L19" i="1"/>
  <c r="M19" i="1"/>
  <c r="N19" i="1" s="1"/>
  <c r="J20" i="1"/>
  <c r="K20" i="1"/>
  <c r="N20" i="1" s="1"/>
  <c r="L20" i="1"/>
  <c r="M20" i="1"/>
  <c r="J21" i="1"/>
  <c r="K21" i="1"/>
  <c r="L21" i="1"/>
  <c r="M21" i="1"/>
  <c r="N21" i="1"/>
  <c r="J22" i="1"/>
  <c r="L22" i="1" s="1"/>
  <c r="K22" i="1"/>
  <c r="M22" i="1"/>
  <c r="N22" i="1"/>
  <c r="J23" i="1"/>
  <c r="K23" i="1"/>
  <c r="L23" i="1"/>
  <c r="M23" i="1"/>
  <c r="N23" i="1"/>
  <c r="J24" i="1"/>
  <c r="K24" i="1"/>
  <c r="L24" i="1"/>
  <c r="M24" i="1"/>
  <c r="N24" i="1" s="1"/>
  <c r="J25" i="1"/>
  <c r="K25" i="1"/>
  <c r="L25" i="1" s="1"/>
  <c r="M25" i="1"/>
  <c r="J26" i="1"/>
  <c r="K26" i="1"/>
  <c r="L26" i="1"/>
  <c r="M26" i="1"/>
  <c r="N26" i="1"/>
  <c r="J27" i="1"/>
  <c r="K27" i="1"/>
  <c r="L27" i="1"/>
  <c r="M27" i="1"/>
  <c r="N27" i="1" s="1"/>
  <c r="J28" i="1"/>
  <c r="K28" i="1"/>
  <c r="L28" i="1"/>
  <c r="M28" i="1"/>
  <c r="N28" i="1"/>
  <c r="J29" i="1"/>
  <c r="K29" i="1"/>
  <c r="L29" i="1" s="1"/>
  <c r="M29" i="1"/>
  <c r="J30" i="1"/>
  <c r="L30" i="1" s="1"/>
  <c r="K30" i="1"/>
  <c r="M30" i="1"/>
  <c r="N30" i="1"/>
  <c r="J31" i="1"/>
  <c r="K31" i="1"/>
  <c r="L31" i="1"/>
  <c r="M31" i="1"/>
  <c r="N31" i="1" s="1"/>
  <c r="J32" i="1"/>
  <c r="K32" i="1"/>
  <c r="N32" i="1" s="1"/>
  <c r="L32" i="1"/>
  <c r="M32" i="1"/>
  <c r="M2" i="1"/>
  <c r="N2" i="1" s="1"/>
  <c r="L2" i="1"/>
  <c r="J2" i="1"/>
  <c r="K2" i="1"/>
  <c r="N25" i="1" l="1"/>
  <c r="N13" i="1"/>
  <c r="N8" i="1"/>
  <c r="N17" i="1"/>
  <c r="N5" i="1"/>
  <c r="N29" i="1"/>
</calcChain>
</file>

<file path=xl/sharedStrings.xml><?xml version="1.0" encoding="utf-8"?>
<sst xmlns="http://schemas.openxmlformats.org/spreadsheetml/2006/main" count="45" uniqueCount="40">
  <si>
    <t>Bisgard</t>
  </si>
  <si>
    <t>Borod</t>
  </si>
  <si>
    <t>Bulstra-Ramakers</t>
  </si>
  <si>
    <t>Carlson</t>
  </si>
  <si>
    <t>Dilli</t>
  </si>
  <si>
    <t>Farshbaf-Khalili</t>
  </si>
  <si>
    <t>Harper</t>
  </si>
  <si>
    <t>Hauner</t>
  </si>
  <si>
    <t>Helland</t>
  </si>
  <si>
    <t>Horvaticek</t>
  </si>
  <si>
    <t>Jamilian</t>
  </si>
  <si>
    <t>Makrides</t>
  </si>
  <si>
    <t>Malcom</t>
  </si>
  <si>
    <t>Mardones</t>
  </si>
  <si>
    <t>Miller</t>
  </si>
  <si>
    <t>Min</t>
  </si>
  <si>
    <t>Olsen</t>
  </si>
  <si>
    <t>Onwude</t>
  </si>
  <si>
    <t>Pellonpera</t>
  </si>
  <si>
    <t>Ramakrishnan</t>
  </si>
  <si>
    <t>Razavi</t>
  </si>
  <si>
    <t>Soldo</t>
  </si>
  <si>
    <t>Taghizadeh</t>
  </si>
  <si>
    <t>Tofail</t>
  </si>
  <si>
    <t>Smuts1</t>
  </si>
  <si>
    <t>Smuts2</t>
  </si>
  <si>
    <t>VanGoor</t>
  </si>
  <si>
    <t>Author</t>
  </si>
  <si>
    <t>Year</t>
  </si>
  <si>
    <t>events_treat</t>
  </si>
  <si>
    <t>n_treat</t>
  </si>
  <si>
    <t>events_control</t>
  </si>
  <si>
    <t>RR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</si>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</sst>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C1" workbookViewId="0">
      <selection activeCell="G11" sqref="G11"/>
    </sheetView>
  </sheetViews>
  <sheetFormatPr defaultRowHeight="15" x14ac:dyDescent="0.25"/>
  <cols>
    <col min="1" max="1" width="16.5703125" bestFit="1" customWidth="1"/>
    <col min="2" max="2" width="5" bestFit="1" customWidth="1"/>
    <col min="3" max="3" width="12.28515625" bestFit="1" customWidth="1"/>
    <col min="4" max="4" width="7.42578125" bestFit="1" customWidth="1"/>
    <col min="5" max="5" width="14.42578125" bestFit="1" customWidth="1"/>
    <col min="6" max="6" width="12.28515625" bestFit="1" customWidth="1"/>
    <col min="7" max="9" width="5" bestFit="1" customWidth="1"/>
  </cols>
  <sheetData>
    <row r="1" spans="1:14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29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25">
      <c r="A2" t="s">
        <v>0</v>
      </c>
      <c r="B2">
        <v>2016</v>
      </c>
      <c r="C2">
        <v>15</v>
      </c>
      <c r="D2">
        <v>365</v>
      </c>
      <c r="E2">
        <v>18</v>
      </c>
      <c r="F2">
        <v>371</v>
      </c>
      <c r="G2">
        <v>0.85</v>
      </c>
      <c r="H2">
        <v>0.43</v>
      </c>
      <c r="I2">
        <v>1.65</v>
      </c>
      <c r="J2">
        <f>-LN(G2)/1.81</f>
        <v>8.9789463810925382E-2</v>
      </c>
      <c r="K2">
        <f>1-3/(4*(F2+E2-2)-1)</f>
        <v>0.99806076276664513</v>
      </c>
      <c r="L2">
        <f>K2*J2</f>
        <v>8.9615340739540264E-2</v>
      </c>
      <c r="M2">
        <f>(LN(I2)-LN(H2))/2/1.96/1.81</f>
        <v>0.18952888688226097</v>
      </c>
      <c r="N2">
        <f>M2*K2</f>
        <v>0.18916134540802257</v>
      </c>
    </row>
    <row r="3" spans="1:14" x14ac:dyDescent="0.25">
      <c r="A3" t="s">
        <v>1</v>
      </c>
      <c r="B3">
        <v>1999</v>
      </c>
      <c r="C3">
        <v>6</v>
      </c>
      <c r="D3">
        <v>37</v>
      </c>
      <c r="E3">
        <v>4</v>
      </c>
      <c r="F3">
        <v>16</v>
      </c>
      <c r="G3">
        <v>0.65</v>
      </c>
      <c r="H3">
        <v>0.21</v>
      </c>
      <c r="I3">
        <v>1.99</v>
      </c>
      <c r="J3">
        <f t="shared" ref="J3:J32" si="0">-LN(G3)/1.81</f>
        <v>0.23800161110080342</v>
      </c>
      <c r="K3">
        <f t="shared" ref="K3:K32" si="1">1-3/(4*(F3+E3-2)-1)</f>
        <v>0.95774647887323949</v>
      </c>
      <c r="L3">
        <f t="shared" ref="L3:L32" si="2">K3*J3</f>
        <v>0.22794520499795259</v>
      </c>
      <c r="M3">
        <f t="shared" ref="M3:M32" si="3">(LN(I3)-LN(H3))/2/1.96/1.81</f>
        <v>0.31694418578772537</v>
      </c>
      <c r="N3">
        <f t="shared" ref="N3:N32" si="4">M3*K3</f>
        <v>0.3035521779375398</v>
      </c>
    </row>
    <row r="4" spans="1:14" x14ac:dyDescent="0.25">
      <c r="A4" t="s">
        <v>2</v>
      </c>
      <c r="B4">
        <v>1994</v>
      </c>
      <c r="C4">
        <v>8</v>
      </c>
      <c r="D4">
        <v>32</v>
      </c>
      <c r="E4">
        <v>10</v>
      </c>
      <c r="F4">
        <v>31</v>
      </c>
      <c r="G4">
        <v>0.78</v>
      </c>
      <c r="H4">
        <v>0.35</v>
      </c>
      <c r="I4">
        <v>1.7</v>
      </c>
      <c r="J4">
        <f t="shared" si="0"/>
        <v>0.13727146922569039</v>
      </c>
      <c r="K4">
        <f t="shared" si="1"/>
        <v>0.98064516129032253</v>
      </c>
      <c r="L4">
        <f t="shared" si="2"/>
        <v>0.13461460207938669</v>
      </c>
      <c r="M4">
        <f t="shared" si="3"/>
        <v>0.22274923547762543</v>
      </c>
      <c r="N4">
        <f t="shared" si="4"/>
        <v>0.21843795995225201</v>
      </c>
    </row>
    <row r="5" spans="1:14" x14ac:dyDescent="0.25">
      <c r="A5" t="s">
        <v>3</v>
      </c>
      <c r="B5">
        <v>2013</v>
      </c>
      <c r="C5">
        <v>12</v>
      </c>
      <c r="D5">
        <v>154</v>
      </c>
      <c r="E5">
        <v>13</v>
      </c>
      <c r="F5">
        <v>147</v>
      </c>
      <c r="G5">
        <v>0.88</v>
      </c>
      <c r="H5">
        <v>0.42</v>
      </c>
      <c r="I5">
        <v>1.87</v>
      </c>
      <c r="J5">
        <f t="shared" si="0"/>
        <v>7.0626172104908777E-2</v>
      </c>
      <c r="K5">
        <f t="shared" si="1"/>
        <v>0.99524564183835185</v>
      </c>
      <c r="L5">
        <f t="shared" si="2"/>
        <v>7.029038998713584E-2</v>
      </c>
      <c r="M5">
        <f t="shared" si="3"/>
        <v>0.21048582119901038</v>
      </c>
      <c r="N5">
        <f t="shared" si="4"/>
        <v>0.20948509621708164</v>
      </c>
    </row>
    <row r="6" spans="1:14" x14ac:dyDescent="0.25">
      <c r="A6" t="s">
        <v>4</v>
      </c>
      <c r="B6">
        <v>2017</v>
      </c>
      <c r="C6">
        <v>6</v>
      </c>
      <c r="D6">
        <v>52</v>
      </c>
      <c r="E6">
        <v>9</v>
      </c>
      <c r="F6">
        <v>68</v>
      </c>
      <c r="G6">
        <v>0.87</v>
      </c>
      <c r="H6">
        <v>0.33</v>
      </c>
      <c r="I6">
        <v>2.29</v>
      </c>
      <c r="J6">
        <f t="shared" si="0"/>
        <v>7.6940368692545669E-2</v>
      </c>
      <c r="K6">
        <f t="shared" si="1"/>
        <v>0.98996655518394649</v>
      </c>
      <c r="L6">
        <f t="shared" si="2"/>
        <v>7.6168391749142195E-2</v>
      </c>
      <c r="M6">
        <f t="shared" si="3"/>
        <v>0.27303168932345234</v>
      </c>
      <c r="N6">
        <f t="shared" si="4"/>
        <v>0.27029224093559162</v>
      </c>
    </row>
    <row r="7" spans="1:14" x14ac:dyDescent="0.25">
      <c r="A7" t="s">
        <v>5</v>
      </c>
      <c r="B7">
        <v>2016</v>
      </c>
      <c r="C7">
        <v>3</v>
      </c>
      <c r="D7">
        <v>75</v>
      </c>
      <c r="E7">
        <v>4</v>
      </c>
      <c r="F7">
        <v>75</v>
      </c>
      <c r="G7">
        <v>0.75</v>
      </c>
      <c r="H7">
        <v>0.17</v>
      </c>
      <c r="I7">
        <v>3.24</v>
      </c>
      <c r="J7">
        <f t="shared" si="0"/>
        <v>0.15894037152032092</v>
      </c>
      <c r="K7">
        <f t="shared" si="1"/>
        <v>0.99022801302931596</v>
      </c>
      <c r="L7">
        <f t="shared" si="2"/>
        <v>0.15738720828070865</v>
      </c>
      <c r="M7">
        <f t="shared" si="3"/>
        <v>0.41542594595446408</v>
      </c>
      <c r="N7">
        <f t="shared" si="4"/>
        <v>0.41136640902331295</v>
      </c>
    </row>
    <row r="8" spans="1:14" x14ac:dyDescent="0.25">
      <c r="A8" t="s">
        <v>6</v>
      </c>
      <c r="B8">
        <v>2010</v>
      </c>
      <c r="C8">
        <v>167</v>
      </c>
      <c r="D8">
        <v>434</v>
      </c>
      <c r="E8">
        <v>174</v>
      </c>
      <c r="F8">
        <v>418</v>
      </c>
      <c r="G8">
        <v>0.92</v>
      </c>
      <c r="H8">
        <v>0.78</v>
      </c>
      <c r="I8">
        <v>1.0900000000000001</v>
      </c>
      <c r="J8">
        <f t="shared" si="0"/>
        <v>4.6067187259144202E-2</v>
      </c>
      <c r="K8">
        <f t="shared" si="1"/>
        <v>0.99872827469266634</v>
      </c>
      <c r="L8">
        <f t="shared" si="2"/>
        <v>4.6008602451269066E-2</v>
      </c>
      <c r="M8">
        <f t="shared" si="3"/>
        <v>4.7164146964081631E-2</v>
      </c>
      <c r="N8">
        <f t="shared" si="4"/>
        <v>4.7104167124788605E-2</v>
      </c>
    </row>
    <row r="9" spans="1:14" x14ac:dyDescent="0.25">
      <c r="A9" t="s">
        <v>7</v>
      </c>
      <c r="B9">
        <v>2012</v>
      </c>
      <c r="C9">
        <v>3</v>
      </c>
      <c r="D9">
        <v>92</v>
      </c>
      <c r="E9">
        <v>4</v>
      </c>
      <c r="F9">
        <v>96</v>
      </c>
      <c r="G9">
        <v>0.78</v>
      </c>
      <c r="H9">
        <v>0.18</v>
      </c>
      <c r="I9">
        <v>3.4</v>
      </c>
      <c r="J9">
        <f t="shared" si="0"/>
        <v>0.13727146922569039</v>
      </c>
      <c r="K9">
        <f t="shared" si="1"/>
        <v>0.99232736572890023</v>
      </c>
      <c r="L9">
        <f t="shared" si="2"/>
        <v>0.13621823544646514</v>
      </c>
      <c r="M9">
        <f t="shared" si="3"/>
        <v>0.41416364016716117</v>
      </c>
      <c r="N9">
        <f t="shared" si="4"/>
        <v>0.41098591402777118</v>
      </c>
    </row>
    <row r="10" spans="1:14" x14ac:dyDescent="0.25">
      <c r="A10" t="s">
        <v>8</v>
      </c>
      <c r="B10">
        <v>2001</v>
      </c>
      <c r="C10">
        <v>1</v>
      </c>
      <c r="D10">
        <v>301</v>
      </c>
      <c r="E10">
        <v>2</v>
      </c>
      <c r="F10">
        <v>289</v>
      </c>
      <c r="G10">
        <v>0.48</v>
      </c>
      <c r="H10">
        <v>0.04</v>
      </c>
      <c r="I10">
        <v>5.27</v>
      </c>
      <c r="J10">
        <f t="shared" si="0"/>
        <v>0.40550783153602232</v>
      </c>
      <c r="K10">
        <f t="shared" si="1"/>
        <v>0.9974025974025974</v>
      </c>
      <c r="L10">
        <f t="shared" si="2"/>
        <v>0.40445456444112354</v>
      </c>
      <c r="M10">
        <f t="shared" si="3"/>
        <v>0.68791664610179726</v>
      </c>
      <c r="N10">
        <f t="shared" si="4"/>
        <v>0.68612984961841594</v>
      </c>
    </row>
    <row r="11" spans="1:14" x14ac:dyDescent="0.25">
      <c r="A11" t="s">
        <v>9</v>
      </c>
      <c r="B11">
        <v>2017</v>
      </c>
      <c r="C11">
        <v>4</v>
      </c>
      <c r="D11">
        <v>51</v>
      </c>
      <c r="E11">
        <v>4</v>
      </c>
      <c r="F11">
        <v>47</v>
      </c>
      <c r="G11">
        <v>0.92</v>
      </c>
      <c r="H11">
        <v>0.24</v>
      </c>
      <c r="I11">
        <v>3.48</v>
      </c>
      <c r="J11">
        <f t="shared" si="0"/>
        <v>4.6067187259144202E-2</v>
      </c>
      <c r="K11">
        <f t="shared" si="1"/>
        <v>0.98461538461538467</v>
      </c>
      <c r="L11">
        <f t="shared" si="2"/>
        <v>4.5358461301311215E-2</v>
      </c>
      <c r="M11">
        <f t="shared" si="3"/>
        <v>0.37689545741156399</v>
      </c>
      <c r="N11">
        <f t="shared" si="4"/>
        <v>0.37109706575907841</v>
      </c>
    </row>
    <row r="12" spans="1:14" x14ac:dyDescent="0.25">
      <c r="A12" t="s">
        <v>10</v>
      </c>
      <c r="B12">
        <v>2018</v>
      </c>
      <c r="C12">
        <v>0</v>
      </c>
      <c r="D12">
        <v>20</v>
      </c>
      <c r="E12">
        <v>1</v>
      </c>
      <c r="F12">
        <v>20</v>
      </c>
      <c r="G12">
        <v>0.33</v>
      </c>
      <c r="H12">
        <v>0.01</v>
      </c>
      <c r="I12">
        <v>7.72</v>
      </c>
      <c r="J12">
        <f t="shared" si="0"/>
        <v>0.61252078702851442</v>
      </c>
      <c r="K12">
        <f t="shared" si="1"/>
        <v>0.96</v>
      </c>
      <c r="L12">
        <f t="shared" si="2"/>
        <v>0.58801995554737385</v>
      </c>
      <c r="M12">
        <f t="shared" si="3"/>
        <v>0.93711023650140601</v>
      </c>
      <c r="N12">
        <f t="shared" si="4"/>
        <v>0.89962582704134975</v>
      </c>
    </row>
    <row r="13" spans="1:14" x14ac:dyDescent="0.25">
      <c r="A13" t="s">
        <v>11</v>
      </c>
      <c r="B13">
        <v>2010</v>
      </c>
      <c r="C13">
        <v>67</v>
      </c>
      <c r="D13">
        <v>1197</v>
      </c>
      <c r="E13">
        <v>88</v>
      </c>
      <c r="F13">
        <v>1202</v>
      </c>
      <c r="G13">
        <v>0.76</v>
      </c>
      <c r="H13">
        <v>0.56000000000000005</v>
      </c>
      <c r="I13">
        <v>1.04</v>
      </c>
      <c r="J13">
        <f t="shared" si="0"/>
        <v>0.15162256668605542</v>
      </c>
      <c r="K13">
        <f t="shared" si="1"/>
        <v>0.99941758881770526</v>
      </c>
      <c r="L13">
        <f t="shared" si="2"/>
        <v>0.15153426000772924</v>
      </c>
      <c r="M13">
        <f t="shared" si="3"/>
        <v>8.7247605198757391E-2</v>
      </c>
      <c r="N13">
        <f t="shared" si="4"/>
        <v>8.7196791217861197E-2</v>
      </c>
    </row>
    <row r="14" spans="1:14" x14ac:dyDescent="0.25">
      <c r="A14" t="s">
        <v>11</v>
      </c>
      <c r="B14">
        <v>2019</v>
      </c>
      <c r="C14">
        <v>211</v>
      </c>
      <c r="D14">
        <v>2734</v>
      </c>
      <c r="E14">
        <v>246</v>
      </c>
      <c r="F14">
        <v>2752</v>
      </c>
      <c r="G14">
        <v>0.86</v>
      </c>
      <c r="H14">
        <v>0.72</v>
      </c>
      <c r="I14">
        <v>1.03</v>
      </c>
      <c r="J14">
        <f t="shared" si="0"/>
        <v>8.3327563389272732E-2</v>
      </c>
      <c r="K14">
        <f t="shared" si="1"/>
        <v>0.99974964533088539</v>
      </c>
      <c r="L14">
        <f t="shared" si="2"/>
        <v>8.3306701944712291E-2</v>
      </c>
      <c r="M14">
        <f t="shared" si="3"/>
        <v>5.046550755631702E-2</v>
      </c>
      <c r="N14">
        <f t="shared" si="4"/>
        <v>5.0452873280871058E-2</v>
      </c>
    </row>
    <row r="15" spans="1:14" x14ac:dyDescent="0.25">
      <c r="A15" t="s">
        <v>12</v>
      </c>
      <c r="B15">
        <v>2003</v>
      </c>
      <c r="C15">
        <v>0</v>
      </c>
      <c r="D15">
        <v>31</v>
      </c>
      <c r="E15">
        <v>1</v>
      </c>
      <c r="F15">
        <v>32</v>
      </c>
      <c r="G15">
        <v>0.34</v>
      </c>
      <c r="H15">
        <v>0.01</v>
      </c>
      <c r="I15">
        <v>8.1300000000000008</v>
      </c>
      <c r="J15">
        <f t="shared" si="0"/>
        <v>0.59602743722206064</v>
      </c>
      <c r="K15">
        <f t="shared" si="1"/>
        <v>0.97560975609756095</v>
      </c>
      <c r="L15">
        <f t="shared" si="2"/>
        <v>0.58149018265566887</v>
      </c>
      <c r="M15">
        <f t="shared" si="3"/>
        <v>0.94440341492104662</v>
      </c>
      <c r="N15">
        <f t="shared" si="4"/>
        <v>0.92136918528882594</v>
      </c>
    </row>
    <row r="16" spans="1:14" x14ac:dyDescent="0.25">
      <c r="A16" t="s">
        <v>13</v>
      </c>
      <c r="B16">
        <v>2007</v>
      </c>
      <c r="C16">
        <v>22</v>
      </c>
      <c r="D16">
        <v>493</v>
      </c>
      <c r="E16">
        <v>32</v>
      </c>
      <c r="F16">
        <v>477</v>
      </c>
      <c r="G16">
        <v>0.67</v>
      </c>
      <c r="H16">
        <v>0.39</v>
      </c>
      <c r="I16">
        <v>1.1299999999999999</v>
      </c>
      <c r="J16">
        <f t="shared" si="0"/>
        <v>0.22125832408680951</v>
      </c>
      <c r="K16">
        <f t="shared" si="1"/>
        <v>0.99851998026640354</v>
      </c>
      <c r="L16">
        <f t="shared" si="2"/>
        <v>0.22093085740093854</v>
      </c>
      <c r="M16">
        <f t="shared" si="3"/>
        <v>0.14993603740313086</v>
      </c>
      <c r="N16">
        <f t="shared" si="4"/>
        <v>0.14971412910899698</v>
      </c>
    </row>
    <row r="17" spans="1:14" x14ac:dyDescent="0.25">
      <c r="A17" t="s">
        <v>14</v>
      </c>
      <c r="B17">
        <v>2016</v>
      </c>
      <c r="C17">
        <v>3</v>
      </c>
      <c r="D17">
        <v>60</v>
      </c>
      <c r="E17">
        <v>10</v>
      </c>
      <c r="F17">
        <v>55</v>
      </c>
      <c r="G17">
        <v>0.28000000000000003</v>
      </c>
      <c r="H17">
        <v>0.08</v>
      </c>
      <c r="I17">
        <v>0.95</v>
      </c>
      <c r="J17">
        <f t="shared" si="0"/>
        <v>0.70329595348778307</v>
      </c>
      <c r="K17">
        <f t="shared" si="1"/>
        <v>0.98804780876494025</v>
      </c>
      <c r="L17">
        <f t="shared" si="2"/>
        <v>0.69489002575685344</v>
      </c>
      <c r="M17">
        <f t="shared" si="3"/>
        <v>0.34874779427228336</v>
      </c>
      <c r="N17">
        <f t="shared" si="4"/>
        <v>0.34457949394233578</v>
      </c>
    </row>
    <row r="18" spans="1:14" x14ac:dyDescent="0.25">
      <c r="A18" t="s">
        <v>15</v>
      </c>
      <c r="B18">
        <v>2014</v>
      </c>
      <c r="C18">
        <v>8</v>
      </c>
      <c r="D18">
        <v>60</v>
      </c>
      <c r="E18">
        <v>15</v>
      </c>
      <c r="F18">
        <v>57</v>
      </c>
      <c r="G18">
        <v>0.51</v>
      </c>
      <c r="H18">
        <v>0.23</v>
      </c>
      <c r="I18">
        <v>1.1000000000000001</v>
      </c>
      <c r="J18">
        <f t="shared" si="0"/>
        <v>0.37201356533909702</v>
      </c>
      <c r="K18">
        <f t="shared" si="1"/>
        <v>0.989247311827957</v>
      </c>
      <c r="L18">
        <f t="shared" si="2"/>
        <v>0.36801341947523575</v>
      </c>
      <c r="M18">
        <f t="shared" si="3"/>
        <v>0.22056970203282031</v>
      </c>
      <c r="N18">
        <f t="shared" si="4"/>
        <v>0.21819798480666094</v>
      </c>
    </row>
    <row r="19" spans="1:14" x14ac:dyDescent="0.25">
      <c r="A19" t="s">
        <v>15</v>
      </c>
      <c r="B19">
        <v>2016</v>
      </c>
      <c r="C19">
        <v>12</v>
      </c>
      <c r="D19">
        <v>58</v>
      </c>
      <c r="E19">
        <v>5</v>
      </c>
      <c r="F19">
        <v>56</v>
      </c>
      <c r="G19">
        <v>2.3199999999999998</v>
      </c>
      <c r="H19">
        <v>0.87</v>
      </c>
      <c r="I19">
        <v>6.15</v>
      </c>
      <c r="J19">
        <f t="shared" si="0"/>
        <v>-0.46495424623105996</v>
      </c>
      <c r="K19">
        <f t="shared" si="1"/>
        <v>0.98723404255319147</v>
      </c>
      <c r="L19">
        <f t="shared" si="2"/>
        <v>-0.45901866010896131</v>
      </c>
      <c r="M19">
        <f t="shared" si="3"/>
        <v>0.27563904458675359</v>
      </c>
      <c r="N19">
        <f t="shared" si="4"/>
        <v>0.27212024827288012</v>
      </c>
    </row>
    <row r="20" spans="1:14" x14ac:dyDescent="0.25">
      <c r="A20" t="s">
        <v>16</v>
      </c>
      <c r="B20">
        <v>1992</v>
      </c>
      <c r="C20">
        <v>9</v>
      </c>
      <c r="D20">
        <v>266</v>
      </c>
      <c r="E20">
        <v>15</v>
      </c>
      <c r="F20">
        <v>267</v>
      </c>
      <c r="G20">
        <v>0.6</v>
      </c>
      <c r="H20">
        <v>0.27</v>
      </c>
      <c r="I20">
        <v>1.35</v>
      </c>
      <c r="J20">
        <f t="shared" si="0"/>
        <v>0.28222410152817168</v>
      </c>
      <c r="K20">
        <f t="shared" si="1"/>
        <v>0.99731903485254692</v>
      </c>
      <c r="L20">
        <f t="shared" si="2"/>
        <v>0.28146746854820337</v>
      </c>
      <c r="M20">
        <f t="shared" si="3"/>
        <v>0.22683474918735208</v>
      </c>
      <c r="N20">
        <f t="shared" si="4"/>
        <v>0.22622661313054954</v>
      </c>
    </row>
    <row r="21" spans="1:14" x14ac:dyDescent="0.25">
      <c r="A21" t="s">
        <v>16</v>
      </c>
      <c r="B21">
        <v>2000</v>
      </c>
      <c r="C21">
        <v>152</v>
      </c>
      <c r="D21">
        <v>394</v>
      </c>
      <c r="E21">
        <v>167</v>
      </c>
      <c r="F21">
        <v>403</v>
      </c>
      <c r="G21">
        <v>0.93</v>
      </c>
      <c r="H21">
        <v>0.79</v>
      </c>
      <c r="I21">
        <v>1.1000000000000001</v>
      </c>
      <c r="J21">
        <f t="shared" si="0"/>
        <v>4.00943054336107E-2</v>
      </c>
      <c r="K21">
        <f t="shared" si="1"/>
        <v>0.99867899603698806</v>
      </c>
      <c r="L21">
        <f t="shared" si="2"/>
        <v>4.0041340697238692E-2</v>
      </c>
      <c r="M21">
        <f t="shared" si="3"/>
        <v>4.665583962755028E-2</v>
      </c>
      <c r="N21">
        <f t="shared" si="4"/>
        <v>4.6594207078504639E-2</v>
      </c>
    </row>
    <row r="22" spans="1:14" x14ac:dyDescent="0.25">
      <c r="A22" t="s">
        <v>16</v>
      </c>
      <c r="B22">
        <v>2019</v>
      </c>
      <c r="C22">
        <v>96</v>
      </c>
      <c r="D22">
        <v>3401</v>
      </c>
      <c r="E22">
        <v>50</v>
      </c>
      <c r="F22">
        <v>1717</v>
      </c>
      <c r="G22">
        <v>0.97</v>
      </c>
      <c r="H22">
        <v>0.69</v>
      </c>
      <c r="I22">
        <v>1.36</v>
      </c>
      <c r="J22">
        <f t="shared" si="0"/>
        <v>1.6828291428015785E-2</v>
      </c>
      <c r="K22">
        <f t="shared" si="1"/>
        <v>0.99957501062473442</v>
      </c>
      <c r="L22">
        <f t="shared" si="2"/>
        <v>1.6821139582955006E-2</v>
      </c>
      <c r="M22">
        <f t="shared" si="3"/>
        <v>9.5634849072442324E-2</v>
      </c>
      <c r="N22">
        <f t="shared" si="4"/>
        <v>9.5594205277681407E-2</v>
      </c>
    </row>
    <row r="23" spans="1:14" x14ac:dyDescent="0.25">
      <c r="A23" t="s">
        <v>17</v>
      </c>
      <c r="B23">
        <v>1995</v>
      </c>
      <c r="C23">
        <v>21</v>
      </c>
      <c r="D23">
        <v>113</v>
      </c>
      <c r="E23">
        <v>19</v>
      </c>
      <c r="F23">
        <v>119</v>
      </c>
      <c r="G23">
        <v>1.1599999999999999</v>
      </c>
      <c r="H23">
        <v>0.66</v>
      </c>
      <c r="I23">
        <v>2.0499999999999998</v>
      </c>
      <c r="J23">
        <f t="shared" si="0"/>
        <v>-8.2000002827775254E-2</v>
      </c>
      <c r="K23">
        <f t="shared" si="1"/>
        <v>0.99447513812154698</v>
      </c>
      <c r="L23">
        <f t="shared" si="2"/>
        <v>-8.1546964138119044E-2</v>
      </c>
      <c r="M23">
        <f t="shared" si="3"/>
        <v>0.15973548837410961</v>
      </c>
      <c r="N23">
        <f t="shared" si="4"/>
        <v>0.15885297186375541</v>
      </c>
    </row>
    <row r="24" spans="1:14" x14ac:dyDescent="0.25">
      <c r="A24" t="s">
        <v>18</v>
      </c>
      <c r="B24">
        <v>2019</v>
      </c>
      <c r="C24">
        <v>15</v>
      </c>
      <c r="D24">
        <v>191</v>
      </c>
      <c r="E24">
        <v>7</v>
      </c>
      <c r="F24">
        <v>188</v>
      </c>
      <c r="G24">
        <v>2.11</v>
      </c>
      <c r="H24">
        <v>0.88</v>
      </c>
      <c r="I24">
        <v>5.0599999999999996</v>
      </c>
      <c r="J24">
        <f t="shared" si="0"/>
        <v>-0.41253477761766577</v>
      </c>
      <c r="K24">
        <f t="shared" si="1"/>
        <v>0.99610894941634243</v>
      </c>
      <c r="L24">
        <f t="shared" si="2"/>
        <v>-0.41092958393043749</v>
      </c>
      <c r="M24">
        <f t="shared" si="3"/>
        <v>0.24653284682732821</v>
      </c>
      <c r="N24">
        <f t="shared" si="4"/>
        <v>0.24557357504978997</v>
      </c>
    </row>
    <row r="25" spans="1:14" x14ac:dyDescent="0.25">
      <c r="A25" t="s">
        <v>19</v>
      </c>
      <c r="B25">
        <v>2010</v>
      </c>
      <c r="C25">
        <v>49</v>
      </c>
      <c r="D25">
        <v>487</v>
      </c>
      <c r="E25">
        <v>40</v>
      </c>
      <c r="F25">
        <v>486</v>
      </c>
      <c r="G25">
        <v>1.22</v>
      </c>
      <c r="H25">
        <v>0.82</v>
      </c>
      <c r="I25">
        <v>1.82</v>
      </c>
      <c r="J25">
        <f t="shared" si="0"/>
        <v>-0.10986235289788131</v>
      </c>
      <c r="K25">
        <f t="shared" si="1"/>
        <v>0.9985680190930788</v>
      </c>
      <c r="L25">
        <f t="shared" si="2"/>
        <v>-0.1097050321061421</v>
      </c>
      <c r="M25">
        <f t="shared" si="3"/>
        <v>0.11236997404055452</v>
      </c>
      <c r="N25">
        <f t="shared" si="4"/>
        <v>0.11220906238321721</v>
      </c>
    </row>
    <row r="26" spans="1:14" x14ac:dyDescent="0.25">
      <c r="A26" t="s">
        <v>20</v>
      </c>
      <c r="B26">
        <v>2017</v>
      </c>
      <c r="C26">
        <v>0</v>
      </c>
      <c r="D26">
        <v>60</v>
      </c>
      <c r="E26">
        <v>1</v>
      </c>
      <c r="F26">
        <v>60</v>
      </c>
      <c r="G26">
        <v>0.33</v>
      </c>
      <c r="H26">
        <v>0.01</v>
      </c>
      <c r="I26">
        <v>8.02</v>
      </c>
      <c r="J26">
        <f t="shared" si="0"/>
        <v>0.61252078702851442</v>
      </c>
      <c r="K26">
        <f t="shared" si="1"/>
        <v>0.98723404255319147</v>
      </c>
      <c r="L26">
        <f t="shared" si="2"/>
        <v>0.60470137272602276</v>
      </c>
      <c r="M26">
        <f t="shared" si="3"/>
        <v>0.9424834547111447</v>
      </c>
      <c r="N26">
        <f t="shared" si="4"/>
        <v>0.93045175103398114</v>
      </c>
    </row>
    <row r="27" spans="1:14" x14ac:dyDescent="0.25">
      <c r="A27" t="s">
        <v>24</v>
      </c>
      <c r="B27">
        <v>2003</v>
      </c>
      <c r="C27">
        <v>14</v>
      </c>
      <c r="D27">
        <v>142</v>
      </c>
      <c r="E27">
        <v>17</v>
      </c>
      <c r="F27">
        <v>149</v>
      </c>
      <c r="G27">
        <v>0.86</v>
      </c>
      <c r="H27">
        <v>0.44</v>
      </c>
      <c r="I27">
        <v>1.69</v>
      </c>
      <c r="J27">
        <f t="shared" si="0"/>
        <v>8.3327563389272732E-2</v>
      </c>
      <c r="K27">
        <f t="shared" si="1"/>
        <v>0.99541984732824429</v>
      </c>
      <c r="L27">
        <f t="shared" si="2"/>
        <v>8.2945910427184466E-2</v>
      </c>
      <c r="M27">
        <f t="shared" si="3"/>
        <v>0.18966471431458062</v>
      </c>
      <c r="N27">
        <f t="shared" si="4"/>
        <v>0.18879602096657491</v>
      </c>
    </row>
    <row r="28" spans="1:14" x14ac:dyDescent="0.25">
      <c r="A28" t="s">
        <v>25</v>
      </c>
      <c r="B28">
        <v>2003</v>
      </c>
      <c r="C28">
        <v>1</v>
      </c>
      <c r="D28">
        <v>18</v>
      </c>
      <c r="E28">
        <v>5</v>
      </c>
      <c r="F28">
        <v>19</v>
      </c>
      <c r="G28">
        <v>0.21</v>
      </c>
      <c r="H28">
        <v>0.03</v>
      </c>
      <c r="I28">
        <v>1.64</v>
      </c>
      <c r="J28">
        <f t="shared" si="0"/>
        <v>0.86223632500810399</v>
      </c>
      <c r="K28">
        <f t="shared" si="1"/>
        <v>0.96551724137931039</v>
      </c>
      <c r="L28">
        <f t="shared" si="2"/>
        <v>0.83250403793885908</v>
      </c>
      <c r="M28">
        <f t="shared" si="3"/>
        <v>0.5639381749853547</v>
      </c>
      <c r="N28">
        <f t="shared" si="4"/>
        <v>0.54449203102034249</v>
      </c>
    </row>
    <row r="29" spans="1:14" x14ac:dyDescent="0.25">
      <c r="A29" t="s">
        <v>21</v>
      </c>
      <c r="B29">
        <v>2018</v>
      </c>
      <c r="C29">
        <v>0</v>
      </c>
      <c r="D29">
        <v>45</v>
      </c>
      <c r="E29">
        <v>1</v>
      </c>
      <c r="F29">
        <v>45</v>
      </c>
      <c r="G29">
        <v>0.33</v>
      </c>
      <c r="H29">
        <v>0.01</v>
      </c>
      <c r="I29">
        <v>7.97</v>
      </c>
      <c r="J29">
        <f t="shared" si="0"/>
        <v>0.61252078702851442</v>
      </c>
      <c r="K29">
        <f t="shared" si="1"/>
        <v>0.98285714285714287</v>
      </c>
      <c r="L29">
        <f t="shared" si="2"/>
        <v>0.60202043067945421</v>
      </c>
      <c r="M29">
        <f t="shared" si="3"/>
        <v>0.94160202373297652</v>
      </c>
      <c r="N29">
        <f t="shared" si="4"/>
        <v>0.92546027475469694</v>
      </c>
    </row>
    <row r="30" spans="1:14" x14ac:dyDescent="0.25">
      <c r="A30" t="s">
        <v>22</v>
      </c>
      <c r="B30">
        <v>2016</v>
      </c>
      <c r="C30">
        <v>3</v>
      </c>
      <c r="D30">
        <v>29</v>
      </c>
      <c r="E30">
        <v>2</v>
      </c>
      <c r="F30">
        <v>30</v>
      </c>
      <c r="G30">
        <v>1.55</v>
      </c>
      <c r="H30">
        <v>0.28000000000000003</v>
      </c>
      <c r="I30">
        <v>8.6199999999999992</v>
      </c>
      <c r="J30">
        <f t="shared" si="0"/>
        <v>-0.24212979609456092</v>
      </c>
      <c r="K30">
        <f t="shared" si="1"/>
        <v>0.97478991596638653</v>
      </c>
      <c r="L30">
        <f t="shared" si="2"/>
        <v>-0.23602568358797535</v>
      </c>
      <c r="M30">
        <f t="shared" si="3"/>
        <v>0.48300974750373327</v>
      </c>
      <c r="N30">
        <f t="shared" si="4"/>
        <v>0.47083303118010972</v>
      </c>
    </row>
    <row r="31" spans="1:14" x14ac:dyDescent="0.25">
      <c r="A31" t="s">
        <v>23</v>
      </c>
      <c r="B31">
        <v>2006</v>
      </c>
      <c r="C31">
        <v>30</v>
      </c>
      <c r="D31">
        <v>125</v>
      </c>
      <c r="E31">
        <v>27</v>
      </c>
      <c r="F31">
        <v>124</v>
      </c>
      <c r="G31">
        <v>1.1000000000000001</v>
      </c>
      <c r="H31">
        <v>0.7</v>
      </c>
      <c r="I31">
        <v>1.74</v>
      </c>
      <c r="J31">
        <f t="shared" si="0"/>
        <v>-5.2657557902941951E-2</v>
      </c>
      <c r="K31">
        <f t="shared" si="1"/>
        <v>0.99495798319327733</v>
      </c>
      <c r="L31">
        <f t="shared" si="2"/>
        <v>-5.2392057610994344E-2</v>
      </c>
      <c r="M31">
        <f t="shared" si="3"/>
        <v>0.12833465683351702</v>
      </c>
      <c r="N31">
        <f t="shared" si="4"/>
        <v>0.12768759133687743</v>
      </c>
    </row>
    <row r="32" spans="1:14" x14ac:dyDescent="0.25">
      <c r="A32" t="s">
        <v>26</v>
      </c>
      <c r="B32">
        <v>2009</v>
      </c>
      <c r="C32">
        <v>1</v>
      </c>
      <c r="D32">
        <v>86</v>
      </c>
      <c r="E32">
        <v>3</v>
      </c>
      <c r="F32">
        <v>39</v>
      </c>
      <c r="G32">
        <v>0.15</v>
      </c>
      <c r="H32">
        <v>0.02</v>
      </c>
      <c r="I32">
        <v>1.41</v>
      </c>
      <c r="J32">
        <f t="shared" si="0"/>
        <v>1.048132588334741</v>
      </c>
      <c r="K32">
        <f t="shared" si="1"/>
        <v>0.98113207547169812</v>
      </c>
      <c r="L32">
        <f t="shared" si="2"/>
        <v>1.0283565017623875</v>
      </c>
      <c r="M32">
        <f t="shared" si="3"/>
        <v>0.5997875619881361</v>
      </c>
      <c r="N32">
        <f t="shared" si="4"/>
        <v>0.58847081553552971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2026-01-24T18:22:15Z</dcterms:modified>
</cp:coreProperties>
</file>