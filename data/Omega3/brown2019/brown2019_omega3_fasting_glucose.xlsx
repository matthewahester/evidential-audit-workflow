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Omega3\brown2019\"/>
    </mc:Choice>
  </mc:AlternateContent>
  <xr:revisionPtr revIDLastSave="0" documentId="13_ncr:1_{8D19FFFF-B198-433A-A827-7BECE70F219B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2" i="1"/>
  <c r="P2" i="1" s="1"/>
  <c r="L3" i="1"/>
  <c r="M3" i="1" s="1"/>
  <c r="O3" i="1"/>
  <c r="L4" i="1"/>
  <c r="M4" i="1" s="1"/>
  <c r="O4" i="1"/>
  <c r="L5" i="1"/>
  <c r="M5" i="1" s="1"/>
  <c r="P5" i="1" s="1"/>
  <c r="O5" i="1"/>
  <c r="L6" i="1"/>
  <c r="M6" i="1" s="1"/>
  <c r="P6" i="1" s="1"/>
  <c r="O6" i="1"/>
  <c r="L7" i="1"/>
  <c r="M7" i="1" s="1"/>
  <c r="P7" i="1" s="1"/>
  <c r="O7" i="1"/>
  <c r="L8" i="1"/>
  <c r="M8" i="1" s="1"/>
  <c r="P8" i="1" s="1"/>
  <c r="O8" i="1"/>
  <c r="L9" i="1"/>
  <c r="M9" i="1" s="1"/>
  <c r="P9" i="1" s="1"/>
  <c r="O9" i="1"/>
  <c r="L10" i="1"/>
  <c r="M10" i="1" s="1"/>
  <c r="P10" i="1" s="1"/>
  <c r="O10" i="1"/>
  <c r="L11" i="1"/>
  <c r="M11" i="1" s="1"/>
  <c r="O11" i="1"/>
  <c r="L12" i="1"/>
  <c r="M12" i="1" s="1"/>
  <c r="O12" i="1"/>
  <c r="L13" i="1"/>
  <c r="M13" i="1" s="1"/>
  <c r="O13" i="1"/>
  <c r="L14" i="1"/>
  <c r="M14" i="1" s="1"/>
  <c r="O14" i="1"/>
  <c r="L15" i="1"/>
  <c r="M15" i="1" s="1"/>
  <c r="P15" i="1" s="1"/>
  <c r="O15" i="1"/>
  <c r="L16" i="1"/>
  <c r="M16" i="1" s="1"/>
  <c r="P16" i="1" s="1"/>
  <c r="O16" i="1"/>
  <c r="L17" i="1"/>
  <c r="M17" i="1" s="1"/>
  <c r="P17" i="1" s="1"/>
  <c r="O17" i="1"/>
  <c r="L18" i="1"/>
  <c r="M18" i="1" s="1"/>
  <c r="P18" i="1" s="1"/>
  <c r="O18" i="1"/>
  <c r="Q18" i="1" s="1"/>
  <c r="L19" i="1"/>
  <c r="M19" i="1" s="1"/>
  <c r="P19" i="1" s="1"/>
  <c r="O19" i="1"/>
  <c r="L20" i="1"/>
  <c r="M20" i="1" s="1"/>
  <c r="P20" i="1" s="1"/>
  <c r="O20" i="1"/>
  <c r="Q20" i="1" s="1"/>
  <c r="L21" i="1"/>
  <c r="M21" i="1" s="1"/>
  <c r="P21" i="1" s="1"/>
  <c r="O21" i="1"/>
  <c r="L22" i="1"/>
  <c r="M22" i="1" s="1"/>
  <c r="P22" i="1" s="1"/>
  <c r="O22" i="1"/>
  <c r="L23" i="1"/>
  <c r="M23" i="1" s="1"/>
  <c r="O23" i="1"/>
  <c r="L24" i="1"/>
  <c r="M24" i="1" s="1"/>
  <c r="O24" i="1"/>
  <c r="L25" i="1"/>
  <c r="M25" i="1" s="1"/>
  <c r="O25" i="1"/>
  <c r="L26" i="1"/>
  <c r="M26" i="1" s="1"/>
  <c r="O26" i="1"/>
  <c r="Q26" i="1" s="1"/>
  <c r="L27" i="1"/>
  <c r="M27" i="1" s="1"/>
  <c r="O27" i="1"/>
  <c r="L28" i="1"/>
  <c r="M28" i="1" s="1"/>
  <c r="P28" i="1" s="1"/>
  <c r="O28" i="1"/>
  <c r="L29" i="1"/>
  <c r="M29" i="1" s="1"/>
  <c r="O29" i="1"/>
  <c r="L30" i="1"/>
  <c r="M30" i="1" s="1"/>
  <c r="P30" i="1" s="1"/>
  <c r="O30" i="1"/>
  <c r="Q30" i="1" s="1"/>
  <c r="L31" i="1"/>
  <c r="M31" i="1" s="1"/>
  <c r="O31" i="1"/>
  <c r="L32" i="1"/>
  <c r="M32" i="1" s="1"/>
  <c r="P32" i="1" s="1"/>
  <c r="O32" i="1"/>
  <c r="Q32" i="1" s="1"/>
  <c r="L33" i="1"/>
  <c r="M33" i="1" s="1"/>
  <c r="O33" i="1"/>
  <c r="L34" i="1"/>
  <c r="M34" i="1" s="1"/>
  <c r="P34" i="1" s="1"/>
  <c r="O34" i="1"/>
  <c r="L35" i="1"/>
  <c r="M35" i="1" s="1"/>
  <c r="O35" i="1"/>
  <c r="Q2" i="1"/>
  <c r="O2" i="1"/>
  <c r="M2" i="1"/>
  <c r="L2" i="1"/>
  <c r="P13" i="1" l="1"/>
  <c r="P12" i="1"/>
  <c r="P26" i="1"/>
  <c r="P24" i="1"/>
  <c r="P23" i="1"/>
  <c r="P11" i="1"/>
  <c r="P14" i="1"/>
  <c r="P25" i="1"/>
  <c r="P4" i="1"/>
  <c r="P35" i="1"/>
  <c r="P29" i="1"/>
  <c r="Q34" i="1"/>
  <c r="Q28" i="1"/>
  <c r="Q22" i="1"/>
  <c r="Q16" i="1"/>
  <c r="Q24" i="1"/>
  <c r="P31" i="1"/>
  <c r="P33" i="1"/>
  <c r="P27" i="1"/>
  <c r="P3" i="1"/>
  <c r="Q14" i="1"/>
  <c r="Q12" i="1"/>
  <c r="Q10" i="1"/>
  <c r="Q8" i="1"/>
  <c r="Q6" i="1"/>
  <c r="Q4" i="1"/>
  <c r="Q35" i="1"/>
  <c r="Q33" i="1"/>
  <c r="Q31" i="1"/>
  <c r="Q29" i="1"/>
  <c r="Q27" i="1"/>
  <c r="Q25" i="1"/>
  <c r="Q23" i="1"/>
  <c r="Q21" i="1"/>
  <c r="Q19" i="1"/>
  <c r="Q17" i="1"/>
  <c r="Q15" i="1"/>
  <c r="Q13" i="1"/>
  <c r="Q11" i="1"/>
  <c r="Q9" i="1"/>
  <c r="Q7" i="1"/>
  <c r="Q5" i="1"/>
  <c r="Q3" i="1"/>
</calcChain>
</file>

<file path=xl/sharedStrings.xml><?xml version="1.0" encoding="utf-8"?>
<sst xmlns="http://schemas.openxmlformats.org/spreadsheetml/2006/main" count="51" uniqueCount="48">
  <si>
    <t>author</t>
  </si>
  <si>
    <t>year</t>
  </si>
  <si>
    <t>mean_treat</t>
  </si>
  <si>
    <t>sd_treat</t>
  </si>
  <si>
    <t>n_treat</t>
  </si>
  <si>
    <t>mean_control</t>
  </si>
  <si>
    <t>sd_control</t>
  </si>
  <si>
    <t>n_control</t>
  </si>
  <si>
    <t>md</t>
  </si>
  <si>
    <t>lCI</t>
  </si>
  <si>
    <t>uCI</t>
  </si>
  <si>
    <t>Balfego</t>
  </si>
  <si>
    <t>Bonnema</t>
  </si>
  <si>
    <t>Clark</t>
  </si>
  <si>
    <t>Connor</t>
  </si>
  <si>
    <t>Dasarathy</t>
  </si>
  <si>
    <t>de Luis</t>
  </si>
  <si>
    <t>DeFina</t>
  </si>
  <si>
    <t>Derosa</t>
  </si>
  <si>
    <t>DIPP: Tokudome</t>
  </si>
  <si>
    <t>DO IT: Einvik</t>
  </si>
  <si>
    <t>Ebrahimi</t>
  </si>
  <si>
    <t>Finnegan</t>
  </si>
  <si>
    <t>IFOMS: Sirtori</t>
  </si>
  <si>
    <t>JELIS</t>
  </si>
  <si>
    <t>Lalia</t>
  </si>
  <si>
    <t>Niki</t>
  </si>
  <si>
    <t>Nodari</t>
  </si>
  <si>
    <t>OFAMI: Nilsen</t>
  </si>
  <si>
    <t>Patch</t>
  </si>
  <si>
    <t>Risk &amp; Prevention</t>
  </si>
  <si>
    <t>Sasaki</t>
  </si>
  <si>
    <t>SHOT: Eritsland</t>
  </si>
  <si>
    <t>SMART: Tapsell</t>
  </si>
  <si>
    <t>Smith</t>
  </si>
  <si>
    <t>Sofi</t>
  </si>
  <si>
    <t>Tande</t>
  </si>
  <si>
    <t>Tardivo</t>
  </si>
  <si>
    <t>Wang</t>
  </si>
  <si>
    <t>WELCOME</t>
  </si>
  <si>
    <t>Witte</t>
  </si>
  <si>
    <t>Zheng</t>
  </si>
  <si>
    <t>se_md</t>
  </si>
  <si>
    <t>pooled_sd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</si>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</sst>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tabSelected="1" topLeftCell="D1" workbookViewId="0">
      <selection activeCell="N4" sqref="N4"/>
    </sheetView>
  </sheetViews>
  <sheetFormatPr defaultRowHeight="15" x14ac:dyDescent="0.25"/>
  <cols>
    <col min="1" max="1" width="16.85546875" bestFit="1" customWidth="1"/>
    <col min="2" max="2" width="5" bestFit="1" customWidth="1"/>
    <col min="3" max="3" width="11.28515625" bestFit="1" customWidth="1"/>
    <col min="4" max="4" width="8.28515625" bestFit="1" customWidth="1"/>
    <col min="5" max="5" width="7.42578125" bestFit="1" customWidth="1"/>
    <col min="6" max="6" width="13.42578125" bestFit="1" customWidth="1"/>
    <col min="7" max="7" width="10.28515625" bestFit="1" customWidth="1"/>
    <col min="8" max="8" width="9.42578125" bestFit="1" customWidth="1"/>
    <col min="9" max="10" width="5.7109375" bestFit="1" customWidth="1"/>
    <col min="11" max="11" width="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</row>
    <row r="2" spans="1:17" x14ac:dyDescent="0.25">
      <c r="A2" t="s">
        <v>11</v>
      </c>
      <c r="B2">
        <v>2016</v>
      </c>
      <c r="C2">
        <v>7.14</v>
      </c>
      <c r="D2">
        <v>0.99</v>
      </c>
      <c r="E2">
        <v>17</v>
      </c>
      <c r="F2">
        <v>7.17</v>
      </c>
      <c r="G2">
        <v>1.1599999999999999</v>
      </c>
      <c r="H2">
        <v>15</v>
      </c>
      <c r="I2">
        <v>-0.03</v>
      </c>
      <c r="J2">
        <v>-0.78</v>
      </c>
      <c r="K2">
        <v>0.72</v>
      </c>
      <c r="L2">
        <f>(K2-J2)/2/1.96</f>
        <v>0.38265306122448978</v>
      </c>
      <c r="M2">
        <f>L2*SQRT((E2+H2)/4)</f>
        <v>1.0823062977345115</v>
      </c>
      <c r="N2">
        <f>I2/M2</f>
        <v>-2.7718585822512663E-2</v>
      </c>
      <c r="O2">
        <f>1-3/(4*(E2+H2-2)-1)</f>
        <v>0.97478991596638653</v>
      </c>
      <c r="P2">
        <f>O2*N2</f>
        <v>-2.7019797944634192E-2</v>
      </c>
      <c r="Q2">
        <f>O2*L2/M2</f>
        <v>0.3446402799060484</v>
      </c>
    </row>
    <row r="3" spans="1:17" x14ac:dyDescent="0.25">
      <c r="A3" t="s">
        <v>12</v>
      </c>
      <c r="B3">
        <v>1995</v>
      </c>
      <c r="C3">
        <v>9.1999999999999993</v>
      </c>
      <c r="D3">
        <v>4.0999999999999996</v>
      </c>
      <c r="E3">
        <v>14</v>
      </c>
      <c r="F3">
        <v>8.6</v>
      </c>
      <c r="G3">
        <v>4.9000000000000004</v>
      </c>
      <c r="H3">
        <v>13</v>
      </c>
      <c r="I3">
        <v>0.6</v>
      </c>
      <c r="J3">
        <v>-2.82</v>
      </c>
      <c r="K3">
        <v>4.0199999999999996</v>
      </c>
      <c r="L3">
        <f t="shared" ref="L3:L35" si="0">(K3-J3)/2/1.96</f>
        <v>1.7448979591836735</v>
      </c>
      <c r="M3">
        <f t="shared" ref="M3:M35" si="1">L3*SQRT((E3+H3)/4)</f>
        <v>4.5333778789940515</v>
      </c>
      <c r="N3">
        <f t="shared" ref="N3:N35" si="2">I3/M3</f>
        <v>0.13235164065633526</v>
      </c>
      <c r="O3">
        <f t="shared" ref="O3:O35" si="3">1-3/(4*(E3+H3-2)-1)</f>
        <v>0.96969696969696972</v>
      </c>
      <c r="P3">
        <f t="shared" ref="P3:P35" si="4">O3*N3</f>
        <v>0.12834098487887055</v>
      </c>
      <c r="Q3">
        <f t="shared" ref="Q3:Q35" si="5">O3*L3/M3</f>
        <v>0.3732365376579399</v>
      </c>
    </row>
    <row r="4" spans="1:17" x14ac:dyDescent="0.25">
      <c r="A4" t="s">
        <v>13</v>
      </c>
      <c r="B4">
        <v>2016</v>
      </c>
      <c r="C4">
        <v>0.13</v>
      </c>
      <c r="D4">
        <v>0.54</v>
      </c>
      <c r="E4">
        <v>16</v>
      </c>
      <c r="F4">
        <v>0.12</v>
      </c>
      <c r="G4">
        <v>0.85</v>
      </c>
      <c r="H4">
        <v>17</v>
      </c>
      <c r="I4">
        <v>0</v>
      </c>
      <c r="J4">
        <v>-0.48</v>
      </c>
      <c r="K4">
        <v>0.48</v>
      </c>
      <c r="L4">
        <f t="shared" si="0"/>
        <v>0.24489795918367346</v>
      </c>
      <c r="M4">
        <f t="shared" si="1"/>
        <v>0.70341583426996268</v>
      </c>
      <c r="N4">
        <f t="shared" si="2"/>
        <v>0</v>
      </c>
      <c r="O4">
        <f t="shared" si="3"/>
        <v>0.97560975609756095</v>
      </c>
      <c r="P4">
        <f t="shared" si="4"/>
        <v>0</v>
      </c>
      <c r="Q4">
        <f t="shared" si="5"/>
        <v>0.339663718937947</v>
      </c>
    </row>
    <row r="5" spans="1:17" x14ac:dyDescent="0.25">
      <c r="A5" t="s">
        <v>14</v>
      </c>
      <c r="B5">
        <v>1993</v>
      </c>
      <c r="C5">
        <v>9.89</v>
      </c>
      <c r="D5">
        <v>11.56</v>
      </c>
      <c r="E5">
        <v>16</v>
      </c>
      <c r="F5">
        <v>9.56</v>
      </c>
      <c r="G5">
        <v>9.56</v>
      </c>
      <c r="H5">
        <v>16</v>
      </c>
      <c r="I5">
        <v>0.33</v>
      </c>
      <c r="J5">
        <v>-7.02</v>
      </c>
      <c r="K5">
        <v>7.68</v>
      </c>
      <c r="L5">
        <f t="shared" si="0"/>
        <v>3.75</v>
      </c>
      <c r="M5">
        <f t="shared" si="1"/>
        <v>10.606601717798213</v>
      </c>
      <c r="N5">
        <f t="shared" si="2"/>
        <v>3.1112698372208092E-2</v>
      </c>
      <c r="O5">
        <f t="shared" si="3"/>
        <v>0.97478991596638653</v>
      </c>
      <c r="P5">
        <f t="shared" si="4"/>
        <v>3.0328344631732257E-2</v>
      </c>
      <c r="Q5">
        <f t="shared" si="5"/>
        <v>0.34464027990604834</v>
      </c>
    </row>
    <row r="6" spans="1:17" x14ac:dyDescent="0.25">
      <c r="A6" t="s">
        <v>15</v>
      </c>
      <c r="B6">
        <v>2015</v>
      </c>
      <c r="C6">
        <v>8.4</v>
      </c>
      <c r="D6">
        <v>2.4</v>
      </c>
      <c r="E6">
        <v>18</v>
      </c>
      <c r="F6">
        <v>6.9</v>
      </c>
      <c r="G6">
        <v>1.3</v>
      </c>
      <c r="H6">
        <v>19</v>
      </c>
      <c r="I6">
        <v>1.5</v>
      </c>
      <c r="J6">
        <v>0.25</v>
      </c>
      <c r="K6">
        <v>2.75</v>
      </c>
      <c r="L6">
        <f t="shared" si="0"/>
        <v>0.63775510204081631</v>
      </c>
      <c r="M6">
        <f t="shared" si="1"/>
        <v>1.9396564191001975</v>
      </c>
      <c r="N6">
        <f t="shared" si="2"/>
        <v>0.77333283628440075</v>
      </c>
      <c r="O6">
        <f t="shared" si="3"/>
        <v>0.97841726618705038</v>
      </c>
      <c r="P6">
        <f t="shared" si="4"/>
        <v>0.75664219953006118</v>
      </c>
      <c r="Q6">
        <f t="shared" si="5"/>
        <v>0.32170161544645459</v>
      </c>
    </row>
    <row r="7" spans="1:17" x14ac:dyDescent="0.25">
      <c r="A7" t="s">
        <v>16</v>
      </c>
      <c r="B7">
        <v>2016</v>
      </c>
      <c r="C7">
        <v>4.9400000000000004</v>
      </c>
      <c r="D7">
        <v>0.43</v>
      </c>
      <c r="E7">
        <v>14</v>
      </c>
      <c r="F7">
        <v>4.9400000000000004</v>
      </c>
      <c r="G7">
        <v>0.42</v>
      </c>
      <c r="H7">
        <v>15</v>
      </c>
      <c r="I7">
        <v>0</v>
      </c>
      <c r="J7">
        <v>-0.31</v>
      </c>
      <c r="K7">
        <v>0.31</v>
      </c>
      <c r="L7">
        <f t="shared" si="0"/>
        <v>0.15816326530612246</v>
      </c>
      <c r="M7">
        <f t="shared" si="1"/>
        <v>0.42586762505400416</v>
      </c>
      <c r="N7">
        <f t="shared" si="2"/>
        <v>0</v>
      </c>
      <c r="O7">
        <f t="shared" si="3"/>
        <v>0.9719626168224299</v>
      </c>
      <c r="P7">
        <f t="shared" si="4"/>
        <v>0</v>
      </c>
      <c r="Q7">
        <f t="shared" si="5"/>
        <v>0.36097785365258683</v>
      </c>
    </row>
    <row r="8" spans="1:17" x14ac:dyDescent="0.25">
      <c r="A8" t="s">
        <v>17</v>
      </c>
      <c r="B8">
        <v>2010</v>
      </c>
      <c r="C8">
        <v>4.93</v>
      </c>
      <c r="D8">
        <v>0.55000000000000004</v>
      </c>
      <c r="E8">
        <v>64</v>
      </c>
      <c r="F8">
        <v>4.96</v>
      </c>
      <c r="G8">
        <v>0.55000000000000004</v>
      </c>
      <c r="H8">
        <v>64</v>
      </c>
      <c r="I8">
        <v>-0.03</v>
      </c>
      <c r="J8">
        <v>-0.22</v>
      </c>
      <c r="K8">
        <v>0.16</v>
      </c>
      <c r="L8">
        <f t="shared" si="0"/>
        <v>9.6938775510204078E-2</v>
      </c>
      <c r="M8">
        <f t="shared" si="1"/>
        <v>0.54836852418548587</v>
      </c>
      <c r="N8">
        <f t="shared" si="2"/>
        <v>-5.4707735176011831E-2</v>
      </c>
      <c r="O8">
        <f t="shared" si="3"/>
        <v>0.99403578528827041</v>
      </c>
      <c r="P8">
        <f t="shared" si="4"/>
        <v>-5.4381446497029653E-2</v>
      </c>
      <c r="Q8">
        <f t="shared" si="5"/>
        <v>0.17572236112985773</v>
      </c>
    </row>
    <row r="9" spans="1:17" x14ac:dyDescent="0.25">
      <c r="A9" t="s">
        <v>18</v>
      </c>
      <c r="B9">
        <v>2009</v>
      </c>
      <c r="C9">
        <v>4.8</v>
      </c>
      <c r="D9">
        <v>5.89</v>
      </c>
      <c r="E9">
        <v>164</v>
      </c>
      <c r="F9">
        <v>4.8</v>
      </c>
      <c r="G9">
        <v>5.98</v>
      </c>
      <c r="H9">
        <v>162</v>
      </c>
      <c r="I9">
        <v>0</v>
      </c>
      <c r="J9">
        <v>-1.29</v>
      </c>
      <c r="K9">
        <v>1.29</v>
      </c>
      <c r="L9">
        <f t="shared" si="0"/>
        <v>0.65816326530612246</v>
      </c>
      <c r="M9">
        <f t="shared" si="1"/>
        <v>5.9417235739784307</v>
      </c>
      <c r="N9">
        <f t="shared" si="2"/>
        <v>0</v>
      </c>
      <c r="O9">
        <f t="shared" si="3"/>
        <v>0.99768339768339764</v>
      </c>
      <c r="P9">
        <f t="shared" si="4"/>
        <v>0</v>
      </c>
      <c r="Q9">
        <f t="shared" si="5"/>
        <v>0.11051314565301174</v>
      </c>
    </row>
    <row r="10" spans="1:17" x14ac:dyDescent="0.25">
      <c r="A10" t="s">
        <v>18</v>
      </c>
      <c r="B10">
        <v>2011</v>
      </c>
      <c r="C10">
        <v>4.4400000000000004</v>
      </c>
      <c r="D10">
        <v>1.94</v>
      </c>
      <c r="E10">
        <v>78</v>
      </c>
      <c r="F10">
        <v>4.6100000000000003</v>
      </c>
      <c r="G10">
        <v>2.4900000000000002</v>
      </c>
      <c r="H10">
        <v>79</v>
      </c>
      <c r="I10">
        <v>-0.17</v>
      </c>
      <c r="J10">
        <v>-0.87</v>
      </c>
      <c r="K10">
        <v>0.53</v>
      </c>
      <c r="L10">
        <f t="shared" si="0"/>
        <v>0.35714285714285715</v>
      </c>
      <c r="M10">
        <f t="shared" si="1"/>
        <v>2.237493586811012</v>
      </c>
      <c r="N10">
        <f t="shared" si="2"/>
        <v>-7.5977871401317634E-2</v>
      </c>
      <c r="O10">
        <f t="shared" si="3"/>
        <v>0.99515347334410342</v>
      </c>
      <c r="P10">
        <f t="shared" si="4"/>
        <v>-7.5609642622312873E-2</v>
      </c>
      <c r="Q10">
        <f t="shared" si="5"/>
        <v>0.15884378702166568</v>
      </c>
    </row>
    <row r="11" spans="1:17" x14ac:dyDescent="0.25">
      <c r="A11" t="s">
        <v>18</v>
      </c>
      <c r="B11">
        <v>2016</v>
      </c>
      <c r="C11">
        <v>5.69</v>
      </c>
      <c r="D11">
        <v>3.28</v>
      </c>
      <c r="E11">
        <v>128</v>
      </c>
      <c r="F11">
        <v>6.77</v>
      </c>
      <c r="G11">
        <v>6.04</v>
      </c>
      <c r="H11">
        <v>130</v>
      </c>
      <c r="I11">
        <v>-1.08</v>
      </c>
      <c r="J11">
        <v>-2.2599999999999998</v>
      </c>
      <c r="K11">
        <v>0.1</v>
      </c>
      <c r="L11">
        <f t="shared" si="0"/>
        <v>0.60204081632653061</v>
      </c>
      <c r="M11">
        <f t="shared" si="1"/>
        <v>4.8351037033078139</v>
      </c>
      <c r="N11">
        <f t="shared" si="2"/>
        <v>-0.22336646042589436</v>
      </c>
      <c r="O11">
        <f t="shared" si="3"/>
        <v>0.99706744868035191</v>
      </c>
      <c r="P11">
        <f t="shared" si="4"/>
        <v>-0.22271142681760728</v>
      </c>
      <c r="Q11">
        <f t="shared" si="5"/>
        <v>0.12414941593196172</v>
      </c>
    </row>
    <row r="12" spans="1:17" x14ac:dyDescent="0.25">
      <c r="A12" t="s">
        <v>19</v>
      </c>
      <c r="B12">
        <v>2015</v>
      </c>
      <c r="C12">
        <v>5.66</v>
      </c>
      <c r="D12">
        <v>1.07</v>
      </c>
      <c r="E12">
        <v>91</v>
      </c>
      <c r="F12">
        <v>5.79</v>
      </c>
      <c r="G12">
        <v>1.28</v>
      </c>
      <c r="H12">
        <v>74</v>
      </c>
      <c r="I12">
        <v>-0.13</v>
      </c>
      <c r="J12">
        <v>-0.5</v>
      </c>
      <c r="K12">
        <v>0.24</v>
      </c>
      <c r="L12">
        <f t="shared" si="0"/>
        <v>0.18877551020408162</v>
      </c>
      <c r="M12">
        <f t="shared" si="1"/>
        <v>1.2124326668638004</v>
      </c>
      <c r="N12">
        <f t="shared" si="2"/>
        <v>-0.10722244917424653</v>
      </c>
      <c r="O12">
        <f t="shared" si="3"/>
        <v>0.99539170506912444</v>
      </c>
      <c r="P12">
        <f t="shared" si="4"/>
        <v>-0.10672833650524079</v>
      </c>
      <c r="Q12">
        <f t="shared" si="5"/>
        <v>0.1549822782846903</v>
      </c>
    </row>
    <row r="13" spans="1:17" x14ac:dyDescent="0.25">
      <c r="A13" t="s">
        <v>20</v>
      </c>
      <c r="B13">
        <v>2010</v>
      </c>
      <c r="C13">
        <v>5.7</v>
      </c>
      <c r="D13">
        <v>1.1000000000000001</v>
      </c>
      <c r="E13">
        <v>248</v>
      </c>
      <c r="F13">
        <v>5.9</v>
      </c>
      <c r="G13">
        <v>1.7</v>
      </c>
      <c r="H13">
        <v>239</v>
      </c>
      <c r="I13">
        <v>-0.2</v>
      </c>
      <c r="J13">
        <v>-0.46</v>
      </c>
      <c r="K13">
        <v>0.06</v>
      </c>
      <c r="L13">
        <f t="shared" si="0"/>
        <v>0.1326530612244898</v>
      </c>
      <c r="M13">
        <f t="shared" si="1"/>
        <v>1.4636989509146983</v>
      </c>
      <c r="N13">
        <f t="shared" si="2"/>
        <v>-0.13664011979718613</v>
      </c>
      <c r="O13">
        <f t="shared" si="3"/>
        <v>0.99845281072717895</v>
      </c>
      <c r="P13">
        <f t="shared" si="4"/>
        <v>-0.13642871166959894</v>
      </c>
      <c r="Q13">
        <f t="shared" si="5"/>
        <v>9.0488431209427858E-2</v>
      </c>
    </row>
    <row r="14" spans="1:17" x14ac:dyDescent="0.25">
      <c r="A14" t="s">
        <v>21</v>
      </c>
      <c r="B14">
        <v>2009</v>
      </c>
      <c r="C14">
        <v>6.34</v>
      </c>
      <c r="D14">
        <v>3.16</v>
      </c>
      <c r="E14">
        <v>47</v>
      </c>
      <c r="F14">
        <v>6.11</v>
      </c>
      <c r="G14">
        <v>2.72</v>
      </c>
      <c r="H14">
        <v>42</v>
      </c>
      <c r="I14">
        <v>0.23</v>
      </c>
      <c r="J14">
        <v>-0.99</v>
      </c>
      <c r="K14">
        <v>1.45</v>
      </c>
      <c r="L14">
        <f t="shared" si="0"/>
        <v>0.62244897959183676</v>
      </c>
      <c r="M14">
        <f t="shared" si="1"/>
        <v>2.9360859645686368</v>
      </c>
      <c r="N14">
        <f t="shared" si="2"/>
        <v>7.8335581033912638E-2</v>
      </c>
      <c r="O14">
        <f t="shared" si="3"/>
        <v>0.99135446685878958</v>
      </c>
      <c r="P14">
        <f t="shared" si="4"/>
        <v>7.7658328171947968E-2</v>
      </c>
      <c r="Q14">
        <f t="shared" si="5"/>
        <v>0.21016672664103045</v>
      </c>
    </row>
    <row r="15" spans="1:17" x14ac:dyDescent="0.25">
      <c r="A15" t="s">
        <v>22</v>
      </c>
      <c r="B15">
        <v>2003</v>
      </c>
      <c r="C15">
        <v>0.04</v>
      </c>
      <c r="D15">
        <v>0.39</v>
      </c>
      <c r="E15">
        <v>31</v>
      </c>
      <c r="F15">
        <v>0.18</v>
      </c>
      <c r="G15">
        <v>0.49</v>
      </c>
      <c r="H15">
        <v>30</v>
      </c>
      <c r="I15">
        <v>-0.14000000000000001</v>
      </c>
      <c r="J15">
        <v>-0.36</v>
      </c>
      <c r="K15">
        <v>0.08</v>
      </c>
      <c r="L15">
        <f t="shared" si="0"/>
        <v>0.11224489795918367</v>
      </c>
      <c r="M15">
        <f t="shared" si="1"/>
        <v>0.43833033895394485</v>
      </c>
      <c r="N15">
        <f t="shared" si="2"/>
        <v>-0.31939381685078783</v>
      </c>
      <c r="O15">
        <f t="shared" si="3"/>
        <v>0.98723404255319147</v>
      </c>
      <c r="P15">
        <f t="shared" si="4"/>
        <v>-0.3153164489760969</v>
      </c>
      <c r="Q15">
        <f t="shared" si="5"/>
        <v>0.25280473314410101</v>
      </c>
    </row>
    <row r="16" spans="1:17" x14ac:dyDescent="0.25">
      <c r="A16" t="s">
        <v>23</v>
      </c>
      <c r="B16">
        <v>1997</v>
      </c>
      <c r="C16">
        <v>8.16</v>
      </c>
      <c r="D16">
        <v>2.0499999999999998</v>
      </c>
      <c r="E16">
        <v>203</v>
      </c>
      <c r="F16">
        <v>7.93</v>
      </c>
      <c r="G16">
        <v>2.0499999999999998</v>
      </c>
      <c r="H16">
        <v>211</v>
      </c>
      <c r="I16">
        <v>0.23</v>
      </c>
      <c r="J16">
        <v>-0.17</v>
      </c>
      <c r="K16">
        <v>0.63</v>
      </c>
      <c r="L16">
        <f t="shared" si="0"/>
        <v>0.20408163265306123</v>
      </c>
      <c r="M16">
        <f t="shared" si="1"/>
        <v>2.076223464222021</v>
      </c>
      <c r="N16">
        <f t="shared" si="2"/>
        <v>0.11077805639104604</v>
      </c>
      <c r="O16">
        <f t="shared" si="3"/>
        <v>0.99817850637522765</v>
      </c>
      <c r="P16">
        <f t="shared" si="4"/>
        <v>0.11057627486756508</v>
      </c>
      <c r="Q16">
        <f t="shared" si="5"/>
        <v>9.8115594381158008E-2</v>
      </c>
    </row>
    <row r="17" spans="1:17" x14ac:dyDescent="0.25">
      <c r="A17" t="s">
        <v>24</v>
      </c>
      <c r="B17">
        <v>2007</v>
      </c>
      <c r="C17">
        <v>7.89</v>
      </c>
      <c r="D17">
        <v>2.5</v>
      </c>
      <c r="E17">
        <v>2303</v>
      </c>
      <c r="F17">
        <v>7.83</v>
      </c>
      <c r="G17">
        <v>2.56</v>
      </c>
      <c r="H17">
        <v>2262</v>
      </c>
      <c r="I17">
        <v>0.06</v>
      </c>
      <c r="J17">
        <v>-0.09</v>
      </c>
      <c r="K17">
        <v>0.21</v>
      </c>
      <c r="L17">
        <f t="shared" si="0"/>
        <v>7.6530612244897961E-2</v>
      </c>
      <c r="M17">
        <f t="shared" si="1"/>
        <v>2.5853871323891129</v>
      </c>
      <c r="N17">
        <f t="shared" si="2"/>
        <v>2.320735616277126E-2</v>
      </c>
      <c r="O17">
        <f t="shared" si="3"/>
        <v>0.99983562544518112</v>
      </c>
      <c r="P17">
        <f t="shared" si="4"/>
        <v>2.3203541463933483E-2</v>
      </c>
      <c r="Q17">
        <f t="shared" si="5"/>
        <v>2.9596353908078424E-2</v>
      </c>
    </row>
    <row r="18" spans="1:17" x14ac:dyDescent="0.25">
      <c r="A18" t="s">
        <v>24</v>
      </c>
      <c r="B18">
        <v>2007</v>
      </c>
      <c r="C18">
        <v>5.44</v>
      </c>
      <c r="D18">
        <v>0.83</v>
      </c>
      <c r="E18">
        <v>7023</v>
      </c>
      <c r="F18">
        <v>5.39</v>
      </c>
      <c r="G18">
        <v>0.94</v>
      </c>
      <c r="H18">
        <v>7057</v>
      </c>
      <c r="I18">
        <v>0.05</v>
      </c>
      <c r="J18">
        <v>0.02</v>
      </c>
      <c r="K18">
        <v>0.08</v>
      </c>
      <c r="L18">
        <f t="shared" si="0"/>
        <v>1.5306122448979591E-2</v>
      </c>
      <c r="M18">
        <f t="shared" si="1"/>
        <v>0.90810593719538724</v>
      </c>
      <c r="N18">
        <f t="shared" si="2"/>
        <v>5.505965543449811E-2</v>
      </c>
      <c r="O18">
        <f t="shared" si="3"/>
        <v>0.99994672444105059</v>
      </c>
      <c r="P18">
        <f t="shared" si="4"/>
        <v>5.5056722100579276E-2</v>
      </c>
      <c r="Q18">
        <f t="shared" si="5"/>
        <v>1.6854098602218145E-2</v>
      </c>
    </row>
    <row r="19" spans="1:17" x14ac:dyDescent="0.25">
      <c r="A19" t="s">
        <v>25</v>
      </c>
      <c r="B19">
        <v>2015</v>
      </c>
      <c r="C19">
        <v>5.2</v>
      </c>
      <c r="D19">
        <v>0.7</v>
      </c>
      <c r="E19">
        <v>14</v>
      </c>
      <c r="F19">
        <v>5.3</v>
      </c>
      <c r="G19">
        <v>1</v>
      </c>
      <c r="H19">
        <v>11</v>
      </c>
      <c r="I19">
        <v>-0.1</v>
      </c>
      <c r="J19">
        <v>-0.8</v>
      </c>
      <c r="K19">
        <v>0.6</v>
      </c>
      <c r="L19">
        <f t="shared" si="0"/>
        <v>0.35714285714285715</v>
      </c>
      <c r="M19">
        <f t="shared" si="1"/>
        <v>0.8928571428571429</v>
      </c>
      <c r="N19">
        <f t="shared" si="2"/>
        <v>-0.112</v>
      </c>
      <c r="O19">
        <f t="shared" si="3"/>
        <v>0.96703296703296704</v>
      </c>
      <c r="P19">
        <f t="shared" si="4"/>
        <v>-0.10830769230769231</v>
      </c>
      <c r="Q19">
        <f t="shared" si="5"/>
        <v>0.38681318681318677</v>
      </c>
    </row>
    <row r="20" spans="1:17" x14ac:dyDescent="0.25">
      <c r="A20" t="s">
        <v>26</v>
      </c>
      <c r="B20">
        <v>2016</v>
      </c>
      <c r="C20">
        <v>7</v>
      </c>
      <c r="D20">
        <v>2.8</v>
      </c>
      <c r="E20">
        <v>29</v>
      </c>
      <c r="F20">
        <v>6.6</v>
      </c>
      <c r="G20">
        <v>1.9</v>
      </c>
      <c r="H20">
        <v>30</v>
      </c>
      <c r="I20">
        <v>0.4</v>
      </c>
      <c r="J20">
        <v>-0.83</v>
      </c>
      <c r="K20">
        <v>1.63</v>
      </c>
      <c r="L20">
        <f t="shared" si="0"/>
        <v>0.62755102040816324</v>
      </c>
      <c r="M20">
        <f t="shared" si="1"/>
        <v>2.4101554259893847</v>
      </c>
      <c r="N20">
        <f t="shared" si="2"/>
        <v>0.16596440033978199</v>
      </c>
      <c r="O20">
        <f t="shared" si="3"/>
        <v>0.986784140969163</v>
      </c>
      <c r="P20">
        <f t="shared" si="4"/>
        <v>0.16377103822075403</v>
      </c>
      <c r="Q20">
        <f t="shared" si="5"/>
        <v>0.25693670537184621</v>
      </c>
    </row>
    <row r="21" spans="1:17" x14ac:dyDescent="0.25">
      <c r="A21" t="s">
        <v>27</v>
      </c>
      <c r="B21">
        <v>2011</v>
      </c>
      <c r="C21">
        <v>5.8</v>
      </c>
      <c r="D21">
        <v>0.72</v>
      </c>
      <c r="E21">
        <v>67</v>
      </c>
      <c r="F21">
        <v>6.1</v>
      </c>
      <c r="G21">
        <v>1.1000000000000001</v>
      </c>
      <c r="H21">
        <v>66</v>
      </c>
      <c r="I21">
        <v>-0.3</v>
      </c>
      <c r="J21">
        <v>-0.62</v>
      </c>
      <c r="K21">
        <v>0.02</v>
      </c>
      <c r="L21">
        <f t="shared" si="0"/>
        <v>0.16326530612244899</v>
      </c>
      <c r="M21">
        <f t="shared" si="1"/>
        <v>0.94143368119761617</v>
      </c>
      <c r="N21">
        <f t="shared" si="2"/>
        <v>-0.31866291380011402</v>
      </c>
      <c r="O21">
        <f t="shared" si="3"/>
        <v>0.99426386233269604</v>
      </c>
      <c r="P21">
        <f t="shared" si="4"/>
        <v>-0.31683501945709236</v>
      </c>
      <c r="Q21">
        <f t="shared" si="5"/>
        <v>0.17242722147324757</v>
      </c>
    </row>
    <row r="22" spans="1:17" x14ac:dyDescent="0.25">
      <c r="A22" t="s">
        <v>28</v>
      </c>
      <c r="B22">
        <v>2001</v>
      </c>
      <c r="C22">
        <v>6</v>
      </c>
      <c r="D22">
        <v>1.3</v>
      </c>
      <c r="E22">
        <v>124</v>
      </c>
      <c r="F22">
        <v>5.9</v>
      </c>
      <c r="G22">
        <v>1.3</v>
      </c>
      <c r="H22">
        <v>129</v>
      </c>
      <c r="I22">
        <v>0.1</v>
      </c>
      <c r="J22">
        <v>-0.22</v>
      </c>
      <c r="K22">
        <v>0.42</v>
      </c>
      <c r="L22">
        <f t="shared" si="0"/>
        <v>0.16326530612244899</v>
      </c>
      <c r="M22">
        <f t="shared" si="1"/>
        <v>1.2984468343336217</v>
      </c>
      <c r="N22">
        <f t="shared" si="2"/>
        <v>7.7015090149086612E-2</v>
      </c>
      <c r="O22">
        <f t="shared" si="3"/>
        <v>0.99700897308075775</v>
      </c>
      <c r="P22">
        <f t="shared" si="4"/>
        <v>7.6784735941262824E-2</v>
      </c>
      <c r="Q22">
        <f t="shared" si="5"/>
        <v>0.12536283418981686</v>
      </c>
    </row>
    <row r="23" spans="1:17" x14ac:dyDescent="0.25">
      <c r="A23" t="s">
        <v>29</v>
      </c>
      <c r="B23">
        <v>2005</v>
      </c>
      <c r="C23">
        <v>5.5</v>
      </c>
      <c r="D23">
        <v>0.62</v>
      </c>
      <c r="E23">
        <v>38</v>
      </c>
      <c r="F23">
        <v>5.5</v>
      </c>
      <c r="G23">
        <v>0.6</v>
      </c>
      <c r="H23">
        <v>36</v>
      </c>
      <c r="I23">
        <v>0</v>
      </c>
      <c r="J23">
        <v>-0.28000000000000003</v>
      </c>
      <c r="K23">
        <v>0.28000000000000003</v>
      </c>
      <c r="L23">
        <f t="shared" si="0"/>
        <v>0.14285714285714288</v>
      </c>
      <c r="M23">
        <f t="shared" si="1"/>
        <v>0.61445180478875916</v>
      </c>
      <c r="N23">
        <f t="shared" si="2"/>
        <v>0</v>
      </c>
      <c r="O23">
        <f t="shared" si="3"/>
        <v>0.98954703832752611</v>
      </c>
      <c r="P23">
        <f t="shared" si="4"/>
        <v>0</v>
      </c>
      <c r="Q23">
        <f t="shared" si="5"/>
        <v>0.23006501326302908</v>
      </c>
    </row>
    <row r="24" spans="1:17" x14ac:dyDescent="0.25">
      <c r="A24" t="s">
        <v>30</v>
      </c>
      <c r="B24">
        <v>2013</v>
      </c>
      <c r="C24">
        <v>7.17</v>
      </c>
      <c r="D24">
        <v>2.31</v>
      </c>
      <c r="E24">
        <v>6239</v>
      </c>
      <c r="F24">
        <v>7.08</v>
      </c>
      <c r="G24">
        <v>2.31</v>
      </c>
      <c r="H24">
        <v>6266</v>
      </c>
      <c r="I24">
        <v>0.09</v>
      </c>
      <c r="J24">
        <v>0.01</v>
      </c>
      <c r="K24">
        <v>0.17</v>
      </c>
      <c r="L24">
        <f t="shared" si="0"/>
        <v>4.0816326530612249E-2</v>
      </c>
      <c r="M24">
        <f t="shared" si="1"/>
        <v>2.282158312635584</v>
      </c>
      <c r="N24">
        <f t="shared" si="2"/>
        <v>3.9436352641137408E-2</v>
      </c>
      <c r="O24">
        <f t="shared" si="3"/>
        <v>0.99994001319709669</v>
      </c>
      <c r="P24">
        <f t="shared" si="4"/>
        <v>3.9433986980424302E-2</v>
      </c>
      <c r="Q24">
        <f t="shared" si="5"/>
        <v>1.7883894322187888E-2</v>
      </c>
    </row>
    <row r="25" spans="1:17" x14ac:dyDescent="0.25">
      <c r="A25" t="s">
        <v>31</v>
      </c>
      <c r="B25">
        <v>2012</v>
      </c>
      <c r="C25">
        <v>7.89</v>
      </c>
      <c r="D25">
        <v>1.89</v>
      </c>
      <c r="E25">
        <v>15</v>
      </c>
      <c r="F25">
        <v>7.78</v>
      </c>
      <c r="G25">
        <v>1.44</v>
      </c>
      <c r="H25">
        <v>13</v>
      </c>
      <c r="I25">
        <v>0.11</v>
      </c>
      <c r="J25">
        <v>-1.1299999999999999</v>
      </c>
      <c r="K25">
        <v>1.35</v>
      </c>
      <c r="L25">
        <f t="shared" si="0"/>
        <v>0.63265306122448983</v>
      </c>
      <c r="M25">
        <f t="shared" si="1"/>
        <v>1.6738426661837207</v>
      </c>
      <c r="N25">
        <f t="shared" si="2"/>
        <v>6.5717048694184987E-2</v>
      </c>
      <c r="O25">
        <f t="shared" si="3"/>
        <v>0.970873786407767</v>
      </c>
      <c r="P25">
        <f t="shared" si="4"/>
        <v>6.3802959897266975E-2</v>
      </c>
      <c r="Q25">
        <f t="shared" si="5"/>
        <v>0.36695579903808473</v>
      </c>
    </row>
    <row r="26" spans="1:17" x14ac:dyDescent="0.25">
      <c r="A26" t="s">
        <v>32</v>
      </c>
      <c r="B26">
        <v>1996</v>
      </c>
      <c r="C26">
        <v>4.95</v>
      </c>
      <c r="D26">
        <v>1.29</v>
      </c>
      <c r="E26">
        <v>255</v>
      </c>
      <c r="F26">
        <v>5.0199999999999996</v>
      </c>
      <c r="G26">
        <v>1.18</v>
      </c>
      <c r="H26">
        <v>245</v>
      </c>
      <c r="I26">
        <v>-7.0000000000000007E-2</v>
      </c>
      <c r="J26">
        <v>-0.28999999999999998</v>
      </c>
      <c r="K26">
        <v>0.15</v>
      </c>
      <c r="L26">
        <f t="shared" si="0"/>
        <v>0.11224489795918366</v>
      </c>
      <c r="M26">
        <f t="shared" si="1"/>
        <v>1.2549361098213105</v>
      </c>
      <c r="N26">
        <f t="shared" si="2"/>
        <v>-5.5779732093267489E-2</v>
      </c>
      <c r="O26">
        <f t="shared" si="3"/>
        <v>0.99849321948769465</v>
      </c>
      <c r="P26">
        <f t="shared" si="4"/>
        <v>-5.5695684279967739E-2</v>
      </c>
      <c r="Q26">
        <f t="shared" si="5"/>
        <v>8.9307948553884103E-2</v>
      </c>
    </row>
    <row r="27" spans="1:17" x14ac:dyDescent="0.25">
      <c r="A27" t="s">
        <v>33</v>
      </c>
      <c r="B27">
        <v>2013</v>
      </c>
      <c r="C27">
        <v>4.8</v>
      </c>
      <c r="D27">
        <v>0.4</v>
      </c>
      <c r="E27">
        <v>21</v>
      </c>
      <c r="F27">
        <v>4.9000000000000004</v>
      </c>
      <c r="G27">
        <v>0.7</v>
      </c>
      <c r="H27">
        <v>24</v>
      </c>
      <c r="I27">
        <v>-0.1</v>
      </c>
      <c r="J27">
        <v>-0.43</v>
      </c>
      <c r="K27">
        <v>0.23</v>
      </c>
      <c r="L27">
        <f t="shared" si="0"/>
        <v>0.16836734693877553</v>
      </c>
      <c r="M27">
        <f t="shared" si="1"/>
        <v>0.56472124941958979</v>
      </c>
      <c r="N27">
        <f t="shared" si="2"/>
        <v>-0.17707851458180152</v>
      </c>
      <c r="O27">
        <f t="shared" si="3"/>
        <v>0.98245614035087714</v>
      </c>
      <c r="P27">
        <f t="shared" si="4"/>
        <v>-0.17397187397510325</v>
      </c>
      <c r="Q27">
        <f t="shared" si="5"/>
        <v>0.29291182863155141</v>
      </c>
    </row>
    <row r="28" spans="1:17" x14ac:dyDescent="0.25">
      <c r="A28" t="s">
        <v>34</v>
      </c>
      <c r="B28">
        <v>2015</v>
      </c>
      <c r="C28">
        <v>0.26</v>
      </c>
      <c r="D28">
        <v>0.39</v>
      </c>
      <c r="E28">
        <v>29</v>
      </c>
      <c r="F28">
        <v>0.06</v>
      </c>
      <c r="G28">
        <v>0.42</v>
      </c>
      <c r="H28">
        <v>15</v>
      </c>
      <c r="I28">
        <v>0.2</v>
      </c>
      <c r="J28">
        <v>-0.06</v>
      </c>
      <c r="K28">
        <v>0.46</v>
      </c>
      <c r="L28">
        <f t="shared" si="0"/>
        <v>0.1326530612244898</v>
      </c>
      <c r="M28">
        <f t="shared" si="1"/>
        <v>0.43996043137367552</v>
      </c>
      <c r="N28">
        <f t="shared" si="2"/>
        <v>0.45458633490185901</v>
      </c>
      <c r="O28">
        <f t="shared" si="3"/>
        <v>0.98203592814371254</v>
      </c>
      <c r="P28">
        <f t="shared" si="4"/>
        <v>0.44642011331679565</v>
      </c>
      <c r="Q28">
        <f t="shared" si="5"/>
        <v>0.29609497311828287</v>
      </c>
    </row>
    <row r="29" spans="1:17" x14ac:dyDescent="0.25">
      <c r="A29" t="s">
        <v>35</v>
      </c>
      <c r="B29">
        <v>2010</v>
      </c>
      <c r="C29">
        <v>5.5</v>
      </c>
      <c r="D29">
        <v>3.89</v>
      </c>
      <c r="E29">
        <v>6</v>
      </c>
      <c r="F29">
        <v>5.72</v>
      </c>
      <c r="G29">
        <v>1.67</v>
      </c>
      <c r="H29">
        <v>5</v>
      </c>
      <c r="I29">
        <v>-0.22</v>
      </c>
      <c r="J29">
        <v>-3.66</v>
      </c>
      <c r="K29">
        <v>3.22</v>
      </c>
      <c r="L29">
        <f t="shared" si="0"/>
        <v>1.7551020408163267</v>
      </c>
      <c r="M29">
        <f t="shared" si="1"/>
        <v>2.910507469087392</v>
      </c>
      <c r="N29">
        <f t="shared" si="2"/>
        <v>-7.5588192896471895E-2</v>
      </c>
      <c r="O29">
        <f t="shared" si="3"/>
        <v>0.91428571428571426</v>
      </c>
      <c r="P29">
        <f t="shared" si="4"/>
        <v>-6.9109204933917159E-2</v>
      </c>
      <c r="Q29">
        <f t="shared" si="5"/>
        <v>0.55133503008505347</v>
      </c>
    </row>
    <row r="30" spans="1:17" x14ac:dyDescent="0.25">
      <c r="A30" t="s">
        <v>36</v>
      </c>
      <c r="B30">
        <v>2016</v>
      </c>
      <c r="C30">
        <v>-0.02</v>
      </c>
      <c r="D30">
        <v>0.39</v>
      </c>
      <c r="E30">
        <v>50</v>
      </c>
      <c r="F30">
        <v>-0.03</v>
      </c>
      <c r="G30">
        <v>0.35</v>
      </c>
      <c r="H30">
        <v>50</v>
      </c>
      <c r="I30">
        <v>0.01</v>
      </c>
      <c r="J30">
        <v>-0.14000000000000001</v>
      </c>
      <c r="K30">
        <v>0.16</v>
      </c>
      <c r="L30">
        <f t="shared" si="0"/>
        <v>7.6530612244897975E-2</v>
      </c>
      <c r="M30">
        <f t="shared" si="1"/>
        <v>0.38265306122448989</v>
      </c>
      <c r="N30">
        <f t="shared" si="2"/>
        <v>2.6133333333333328E-2</v>
      </c>
      <c r="O30">
        <f t="shared" si="3"/>
        <v>0.99232736572890023</v>
      </c>
      <c r="P30">
        <f t="shared" si="4"/>
        <v>2.5932821824381922E-2</v>
      </c>
      <c r="Q30">
        <f t="shared" si="5"/>
        <v>0.19846547314578003</v>
      </c>
    </row>
    <row r="31" spans="1:17" x14ac:dyDescent="0.25">
      <c r="A31" t="s">
        <v>37</v>
      </c>
      <c r="B31">
        <v>2015</v>
      </c>
      <c r="C31">
        <v>5.6</v>
      </c>
      <c r="D31">
        <v>1.5</v>
      </c>
      <c r="E31">
        <v>44</v>
      </c>
      <c r="F31">
        <v>5.9</v>
      </c>
      <c r="G31">
        <v>1.5</v>
      </c>
      <c r="H31">
        <v>43</v>
      </c>
      <c r="I31">
        <v>-0.3</v>
      </c>
      <c r="J31">
        <v>-0.93</v>
      </c>
      <c r="K31">
        <v>0.33</v>
      </c>
      <c r="L31">
        <f t="shared" si="0"/>
        <v>0.32142857142857145</v>
      </c>
      <c r="M31">
        <f t="shared" si="1"/>
        <v>1.4990430621035598</v>
      </c>
      <c r="N31">
        <f t="shared" si="2"/>
        <v>-0.20012767316972166</v>
      </c>
      <c r="O31">
        <f t="shared" si="3"/>
        <v>0.99115044247787609</v>
      </c>
      <c r="P31">
        <f t="shared" si="4"/>
        <v>-0.19835663181423741</v>
      </c>
      <c r="Q31">
        <f t="shared" si="5"/>
        <v>0.21252496265811152</v>
      </c>
    </row>
    <row r="32" spans="1:17" x14ac:dyDescent="0.25">
      <c r="A32" t="s">
        <v>38</v>
      </c>
      <c r="B32">
        <v>2016</v>
      </c>
      <c r="C32">
        <v>8.89</v>
      </c>
      <c r="D32">
        <v>2.46</v>
      </c>
      <c r="E32">
        <v>49</v>
      </c>
      <c r="F32">
        <v>8.8800000000000008</v>
      </c>
      <c r="G32">
        <v>2.02</v>
      </c>
      <c r="H32">
        <v>50</v>
      </c>
      <c r="I32">
        <v>0.01</v>
      </c>
      <c r="J32">
        <v>-0.88</v>
      </c>
      <c r="K32">
        <v>0.9</v>
      </c>
      <c r="L32">
        <f t="shared" si="0"/>
        <v>0.45408163265306123</v>
      </c>
      <c r="M32">
        <f t="shared" si="1"/>
        <v>2.2590275995532951</v>
      </c>
      <c r="N32">
        <f t="shared" si="2"/>
        <v>4.4266834110293389E-3</v>
      </c>
      <c r="O32">
        <f t="shared" si="3"/>
        <v>0.99224806201550386</v>
      </c>
      <c r="P32">
        <f t="shared" si="4"/>
        <v>4.3923680357500416E-3</v>
      </c>
      <c r="Q32">
        <f t="shared" si="5"/>
        <v>0.19944936488864984</v>
      </c>
    </row>
    <row r="33" spans="1:17" x14ac:dyDescent="0.25">
      <c r="A33" t="s">
        <v>39</v>
      </c>
      <c r="B33">
        <v>2014</v>
      </c>
      <c r="C33">
        <v>6.1</v>
      </c>
      <c r="D33">
        <v>2</v>
      </c>
      <c r="E33">
        <v>47</v>
      </c>
      <c r="F33">
        <v>6.1</v>
      </c>
      <c r="G33">
        <v>2</v>
      </c>
      <c r="H33">
        <v>48</v>
      </c>
      <c r="I33">
        <v>0</v>
      </c>
      <c r="J33">
        <v>-0.8</v>
      </c>
      <c r="K33">
        <v>0.8</v>
      </c>
      <c r="L33">
        <f t="shared" si="0"/>
        <v>0.40816326530612246</v>
      </c>
      <c r="M33">
        <f t="shared" si="1"/>
        <v>1.9891417030222374</v>
      </c>
      <c r="N33">
        <f t="shared" si="2"/>
        <v>0</v>
      </c>
      <c r="O33">
        <f t="shared" si="3"/>
        <v>0.99191374663072773</v>
      </c>
      <c r="P33">
        <f t="shared" si="4"/>
        <v>0</v>
      </c>
      <c r="Q33">
        <f t="shared" si="5"/>
        <v>0.20353640623576105</v>
      </c>
    </row>
    <row r="34" spans="1:17" x14ac:dyDescent="0.25">
      <c r="A34" t="s">
        <v>40</v>
      </c>
      <c r="B34">
        <v>2012</v>
      </c>
      <c r="C34">
        <v>5.2</v>
      </c>
      <c r="D34">
        <v>0.5</v>
      </c>
      <c r="E34">
        <v>32</v>
      </c>
      <c r="F34">
        <v>5.0999999999999996</v>
      </c>
      <c r="G34">
        <v>0.5</v>
      </c>
      <c r="H34">
        <v>33</v>
      </c>
      <c r="I34">
        <v>0.1</v>
      </c>
      <c r="J34">
        <v>-0.14000000000000001</v>
      </c>
      <c r="K34">
        <v>0.34</v>
      </c>
      <c r="L34">
        <f t="shared" si="0"/>
        <v>0.12244897959183675</v>
      </c>
      <c r="M34">
        <f t="shared" si="1"/>
        <v>0.49360761724276836</v>
      </c>
      <c r="N34">
        <f t="shared" si="2"/>
        <v>0.20259006649570716</v>
      </c>
      <c r="O34">
        <f t="shared" si="3"/>
        <v>0.98804780876494025</v>
      </c>
      <c r="P34">
        <f t="shared" si="4"/>
        <v>0.200168671278627</v>
      </c>
      <c r="Q34">
        <f t="shared" si="5"/>
        <v>0.24510449544321675</v>
      </c>
    </row>
    <row r="35" spans="1:17" x14ac:dyDescent="0.25">
      <c r="A35" t="s">
        <v>41</v>
      </c>
      <c r="B35">
        <v>2016</v>
      </c>
      <c r="C35">
        <v>8.4600000000000009</v>
      </c>
      <c r="D35">
        <v>3.02</v>
      </c>
      <c r="E35">
        <v>58</v>
      </c>
      <c r="F35">
        <v>8.2200000000000006</v>
      </c>
      <c r="G35">
        <v>2.5099999999999998</v>
      </c>
      <c r="H35">
        <v>55</v>
      </c>
      <c r="I35">
        <v>0.24</v>
      </c>
      <c r="J35">
        <v>-0.78</v>
      </c>
      <c r="K35">
        <v>1.26</v>
      </c>
      <c r="L35">
        <f t="shared" si="0"/>
        <v>0.52040816326530615</v>
      </c>
      <c r="M35">
        <f t="shared" si="1"/>
        <v>2.7660073288238123</v>
      </c>
      <c r="N35">
        <f t="shared" si="2"/>
        <v>8.6767665977969421E-2</v>
      </c>
      <c r="O35">
        <f t="shared" si="3"/>
        <v>0.99322799097065462</v>
      </c>
      <c r="P35">
        <f t="shared" si="4"/>
        <v>8.6180074560511383E-2</v>
      </c>
      <c r="Q35">
        <f t="shared" si="5"/>
        <v>0.18687005963376196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2026-01-13T02:21:11Z</dcterms:modified>
</cp:coreProperties>
</file>