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Omega3\grosso2014\"/>
    </mc:Choice>
  </mc:AlternateContent>
  <xr:revisionPtr revIDLastSave="0" documentId="13_ncr:1_{6216E2F9-C7EB-40FE-A3CC-A4B73323A94A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2" i="1"/>
  <c r="L3" i="1"/>
  <c r="M3" i="1"/>
  <c r="O3" i="1"/>
  <c r="L4" i="1"/>
  <c r="M4" i="1"/>
  <c r="O4" i="1"/>
  <c r="L5" i="1"/>
  <c r="M5" i="1"/>
  <c r="L6" i="1"/>
  <c r="M6" i="1"/>
  <c r="O6" i="1"/>
  <c r="L7" i="1"/>
  <c r="M7" i="1"/>
  <c r="O7" i="1"/>
  <c r="L8" i="1"/>
  <c r="M8" i="1"/>
  <c r="L9" i="1"/>
  <c r="M9" i="1"/>
  <c r="O9" i="1"/>
  <c r="L10" i="1"/>
  <c r="M10" i="1"/>
  <c r="O10" i="1"/>
  <c r="L11" i="1"/>
  <c r="M11" i="1"/>
  <c r="O11" i="1"/>
  <c r="L12" i="1"/>
  <c r="M12" i="1"/>
  <c r="O12" i="1"/>
  <c r="L13" i="1"/>
  <c r="M13" i="1"/>
  <c r="O13" i="1"/>
  <c r="O2" i="1"/>
  <c r="M2" i="1"/>
  <c r="L2" i="1"/>
  <c r="O5" i="1" l="1"/>
  <c r="O8" i="1"/>
</calcChain>
</file>

<file path=xl/sharedStrings.xml><?xml version="1.0" encoding="utf-8"?>
<sst xmlns="http://schemas.openxmlformats.org/spreadsheetml/2006/main" count="27" uniqueCount="25">
  <si>
    <t>Nemets</t>
  </si>
  <si>
    <t>Marangell</t>
  </si>
  <si>
    <t>Su</t>
  </si>
  <si>
    <t>Grenyer</t>
  </si>
  <si>
    <t>Jazayeri</t>
  </si>
  <si>
    <t>Mischoulon</t>
  </si>
  <si>
    <t>Lucas</t>
  </si>
  <si>
    <t>Rondanelli</t>
  </si>
  <si>
    <t>Rizzo</t>
  </si>
  <si>
    <t>Gertsik</t>
  </si>
  <si>
    <t>author</t>
  </si>
  <si>
    <t>year</t>
  </si>
  <si>
    <t>mean_treat</t>
  </si>
  <si>
    <t>sd_treat</t>
  </si>
  <si>
    <t>n_treat</t>
  </si>
  <si>
    <t>mean_control</t>
  </si>
  <si>
    <t>sd_control</t>
  </si>
  <si>
    <t>n_control</t>
  </si>
  <si>
    <t>lCI</t>
  </si>
  <si>
    <t>uCI</t>
  </si>
  <si>
    <t>d</t>
  </si>
  <si>
    <t>J</t>
  </si>
  <si>
    <t>g</t>
  </si>
  <si>
    <t>se_g</t>
  </si>
  <si>
    <t>se_d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</si>
</sst>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D1" workbookViewId="0">
      <selection activeCell="G8" sqref="G8"/>
    </sheetView>
  </sheetViews>
  <sheetFormatPr defaultRowHeight="15" x14ac:dyDescent="0.25"/>
  <cols>
    <col min="1" max="1" width="11.28515625" bestFit="1" customWidth="1"/>
    <col min="2" max="2" width="5" bestFit="1" customWidth="1"/>
    <col min="3" max="3" width="13.42578125" bestFit="1" customWidth="1"/>
    <col min="4" max="4" width="10.28515625" bestFit="1" customWidth="1"/>
    <col min="5" max="5" width="9.42578125" bestFit="1" customWidth="1"/>
    <col min="6" max="6" width="11.28515625" bestFit="1" customWidth="1"/>
    <col min="7" max="7" width="8.28515625" bestFit="1" customWidth="1"/>
    <col min="8" max="8" width="7.42578125" bestFit="1" customWidth="1"/>
    <col min="9" max="10" width="5.7109375" bestFit="1" customWidth="1"/>
    <col min="11" max="11" width="5" bestFit="1" customWidth="1"/>
  </cols>
  <sheetData>
    <row r="1" spans="1:15" x14ac:dyDescent="0.25">
      <c r="A1" t="s">
        <v>10</v>
      </c>
      <c r="B1" t="s">
        <v>11</v>
      </c>
      <c r="C1" t="s">
        <v>15</v>
      </c>
      <c r="D1" t="s">
        <v>16</v>
      </c>
      <c r="E1" t="s">
        <v>17</v>
      </c>
      <c r="F1" t="s">
        <v>12</v>
      </c>
      <c r="G1" t="s">
        <v>13</v>
      </c>
      <c r="H1" t="s">
        <v>14</v>
      </c>
      <c r="I1" t="s">
        <v>20</v>
      </c>
      <c r="J1" t="s">
        <v>18</v>
      </c>
      <c r="K1" t="s">
        <v>19</v>
      </c>
      <c r="L1" t="s">
        <v>24</v>
      </c>
      <c r="M1" t="s">
        <v>21</v>
      </c>
      <c r="N1" t="s">
        <v>22</v>
      </c>
      <c r="O1" t="s">
        <v>23</v>
      </c>
    </row>
    <row r="2" spans="1:15" x14ac:dyDescent="0.25">
      <c r="A2" t="s">
        <v>0</v>
      </c>
      <c r="B2">
        <v>2002</v>
      </c>
      <c r="C2">
        <v>20</v>
      </c>
      <c r="D2">
        <v>8.8000000000000007</v>
      </c>
      <c r="E2">
        <v>10</v>
      </c>
      <c r="F2">
        <v>11.6</v>
      </c>
      <c r="G2">
        <v>6.2</v>
      </c>
      <c r="H2">
        <v>10</v>
      </c>
      <c r="I2">
        <v>1.06</v>
      </c>
      <c r="J2">
        <v>0.11</v>
      </c>
      <c r="K2">
        <v>2.0099999999999998</v>
      </c>
      <c r="L2">
        <f>(K2-J2)/2/1.96</f>
        <v>0.48469387755102034</v>
      </c>
      <c r="M2">
        <f>1-3/(4*(E2+H2-2)-1)</f>
        <v>0.95774647887323949</v>
      </c>
      <c r="N2">
        <f>M2*I2</f>
        <v>1.015211267605634</v>
      </c>
      <c r="O2">
        <f>M2*L2</f>
        <v>0.4642138545559068</v>
      </c>
    </row>
    <row r="3" spans="1:15" x14ac:dyDescent="0.25">
      <c r="A3" t="s">
        <v>1</v>
      </c>
      <c r="B3">
        <v>2003</v>
      </c>
      <c r="C3">
        <v>22.7</v>
      </c>
      <c r="D3">
        <v>9.1999999999999993</v>
      </c>
      <c r="E3">
        <v>18</v>
      </c>
      <c r="F3">
        <v>15.4</v>
      </c>
      <c r="G3">
        <v>8.3000000000000007</v>
      </c>
      <c r="H3">
        <v>18</v>
      </c>
      <c r="I3">
        <v>0.81</v>
      </c>
      <c r="J3">
        <v>0.13</v>
      </c>
      <c r="K3">
        <v>1.5</v>
      </c>
      <c r="L3">
        <f t="shared" ref="L3:L13" si="0">(K3-J3)/2/1.96</f>
        <v>0.34948979591836737</v>
      </c>
      <c r="M3">
        <f t="shared" ref="M3:M13" si="1">1-3/(4*(E3+H3-2)-1)</f>
        <v>0.97777777777777775</v>
      </c>
      <c r="N3">
        <f t="shared" ref="N3:N13" si="2">M3*I3</f>
        <v>0.79200000000000004</v>
      </c>
      <c r="O3">
        <f t="shared" ref="O3:O13" si="3">M3*L3</f>
        <v>0.34172335600907033</v>
      </c>
    </row>
    <row r="4" spans="1:15" x14ac:dyDescent="0.25">
      <c r="A4" t="s">
        <v>2</v>
      </c>
      <c r="B4">
        <v>2003</v>
      </c>
      <c r="C4">
        <v>15.7</v>
      </c>
      <c r="D4">
        <v>3.2</v>
      </c>
      <c r="E4">
        <v>14</v>
      </c>
      <c r="F4">
        <v>8.9</v>
      </c>
      <c r="G4">
        <v>3.7</v>
      </c>
      <c r="H4">
        <v>14</v>
      </c>
      <c r="I4">
        <v>1.91</v>
      </c>
      <c r="J4">
        <v>0.99</v>
      </c>
      <c r="K4">
        <v>2.82</v>
      </c>
      <c r="L4">
        <f t="shared" si="0"/>
        <v>0.46683673469387754</v>
      </c>
      <c r="M4">
        <f t="shared" si="1"/>
        <v>0.970873786407767</v>
      </c>
      <c r="N4">
        <f t="shared" si="2"/>
        <v>1.8543689320388348</v>
      </c>
      <c r="O4">
        <f t="shared" si="3"/>
        <v>0.45323954824648305</v>
      </c>
    </row>
    <row r="5" spans="1:15" x14ac:dyDescent="0.25">
      <c r="A5" t="s">
        <v>3</v>
      </c>
      <c r="B5">
        <v>2007</v>
      </c>
      <c r="C5">
        <v>11</v>
      </c>
      <c r="D5">
        <v>12.5</v>
      </c>
      <c r="E5">
        <v>43</v>
      </c>
      <c r="F5">
        <v>14</v>
      </c>
      <c r="G5">
        <v>12.5</v>
      </c>
      <c r="H5">
        <v>40</v>
      </c>
      <c r="I5">
        <v>-0.24</v>
      </c>
      <c r="J5">
        <v>-0.67</v>
      </c>
      <c r="K5">
        <v>0.19</v>
      </c>
      <c r="L5">
        <f t="shared" si="0"/>
        <v>0.21938775510204084</v>
      </c>
      <c r="M5">
        <f t="shared" si="1"/>
        <v>0.99071207430340558</v>
      </c>
      <c r="N5">
        <f t="shared" si="2"/>
        <v>-0.23777089783281732</v>
      </c>
      <c r="O5">
        <f t="shared" si="3"/>
        <v>0.21735009793391044</v>
      </c>
    </row>
    <row r="6" spans="1:15" x14ac:dyDescent="0.25">
      <c r="A6" t="s">
        <v>4</v>
      </c>
      <c r="B6">
        <v>2008</v>
      </c>
      <c r="C6">
        <v>18</v>
      </c>
      <c r="D6">
        <v>6.5</v>
      </c>
      <c r="E6">
        <v>20</v>
      </c>
      <c r="F6">
        <v>14</v>
      </c>
      <c r="G6">
        <v>5.8</v>
      </c>
      <c r="H6">
        <v>20</v>
      </c>
      <c r="I6">
        <v>0.64</v>
      </c>
      <c r="J6">
        <v>0</v>
      </c>
      <c r="K6">
        <v>1.27</v>
      </c>
      <c r="L6">
        <f t="shared" si="0"/>
        <v>0.32397959183673469</v>
      </c>
      <c r="M6">
        <f t="shared" si="1"/>
        <v>0.98013245033112584</v>
      </c>
      <c r="N6">
        <f t="shared" si="2"/>
        <v>0.62728476821192058</v>
      </c>
      <c r="O6">
        <f t="shared" si="3"/>
        <v>0.31754291120421679</v>
      </c>
    </row>
    <row r="7" spans="1:15" x14ac:dyDescent="0.25">
      <c r="A7" t="s">
        <v>4</v>
      </c>
      <c r="B7">
        <v>2008</v>
      </c>
      <c r="C7">
        <v>18</v>
      </c>
      <c r="D7">
        <v>6.5</v>
      </c>
      <c r="E7">
        <v>20</v>
      </c>
      <c r="F7">
        <v>17</v>
      </c>
      <c r="G7">
        <v>4.9000000000000004</v>
      </c>
      <c r="H7">
        <v>20</v>
      </c>
      <c r="I7">
        <v>0.17</v>
      </c>
      <c r="J7">
        <v>-0.45</v>
      </c>
      <c r="K7">
        <v>0.79</v>
      </c>
      <c r="L7">
        <f t="shared" si="0"/>
        <v>0.31632653061224492</v>
      </c>
      <c r="M7">
        <f t="shared" si="1"/>
        <v>0.98013245033112584</v>
      </c>
      <c r="N7">
        <f t="shared" si="2"/>
        <v>0.1666225165562914</v>
      </c>
      <c r="O7">
        <f t="shared" si="3"/>
        <v>0.31004189755372352</v>
      </c>
    </row>
    <row r="8" spans="1:15" x14ac:dyDescent="0.25">
      <c r="A8" t="s">
        <v>5</v>
      </c>
      <c r="B8">
        <v>2009</v>
      </c>
      <c r="C8">
        <v>16</v>
      </c>
      <c r="D8">
        <v>7.6</v>
      </c>
      <c r="E8">
        <v>13</v>
      </c>
      <c r="F8">
        <v>11.2</v>
      </c>
      <c r="G8">
        <v>7.6</v>
      </c>
      <c r="H8">
        <v>11</v>
      </c>
      <c r="I8">
        <v>0.61</v>
      </c>
      <c r="J8">
        <v>-0.22</v>
      </c>
      <c r="K8">
        <v>1.43</v>
      </c>
      <c r="L8">
        <f t="shared" si="0"/>
        <v>0.42091836734693877</v>
      </c>
      <c r="M8">
        <f t="shared" si="1"/>
        <v>0.96551724137931039</v>
      </c>
      <c r="N8">
        <f t="shared" si="2"/>
        <v>0.58896551724137935</v>
      </c>
      <c r="O8">
        <f t="shared" si="3"/>
        <v>0.40640394088669951</v>
      </c>
    </row>
    <row r="9" spans="1:15" x14ac:dyDescent="0.25">
      <c r="A9" t="s">
        <v>6</v>
      </c>
      <c r="B9">
        <v>2009</v>
      </c>
      <c r="C9">
        <v>9.1999999999999993</v>
      </c>
      <c r="D9">
        <v>5.3</v>
      </c>
      <c r="E9">
        <v>14</v>
      </c>
      <c r="F9">
        <v>13.4</v>
      </c>
      <c r="G9">
        <v>4.9000000000000004</v>
      </c>
      <c r="H9">
        <v>12</v>
      </c>
      <c r="I9">
        <v>-0.79</v>
      </c>
      <c r="J9">
        <v>-1.6</v>
      </c>
      <c r="K9">
        <v>0.01</v>
      </c>
      <c r="L9">
        <f t="shared" si="0"/>
        <v>0.41071428571428575</v>
      </c>
      <c r="M9">
        <f t="shared" si="1"/>
        <v>0.96842105263157896</v>
      </c>
      <c r="N9">
        <f t="shared" si="2"/>
        <v>-0.76505263157894743</v>
      </c>
      <c r="O9">
        <f t="shared" si="3"/>
        <v>0.39774436090225568</v>
      </c>
    </row>
    <row r="10" spans="1:15" x14ac:dyDescent="0.25">
      <c r="A10" t="s">
        <v>7</v>
      </c>
      <c r="B10">
        <v>2010</v>
      </c>
      <c r="C10">
        <v>15.9</v>
      </c>
      <c r="D10">
        <v>5.4</v>
      </c>
      <c r="E10">
        <v>24</v>
      </c>
      <c r="F10">
        <v>12.6</v>
      </c>
      <c r="G10">
        <v>4.3</v>
      </c>
      <c r="H10">
        <v>22</v>
      </c>
      <c r="I10">
        <v>0.66</v>
      </c>
      <c r="J10">
        <v>7.0000000000000007E-2</v>
      </c>
      <c r="K10">
        <v>1.26</v>
      </c>
      <c r="L10">
        <f t="shared" si="0"/>
        <v>0.30357142857142855</v>
      </c>
      <c r="M10">
        <f t="shared" si="1"/>
        <v>0.98285714285714287</v>
      </c>
      <c r="N10">
        <f t="shared" si="2"/>
        <v>0.64868571428571431</v>
      </c>
      <c r="O10">
        <f t="shared" si="3"/>
        <v>0.29836734693877548</v>
      </c>
    </row>
    <row r="11" spans="1:15" x14ac:dyDescent="0.25">
      <c r="A11" t="s">
        <v>7</v>
      </c>
      <c r="B11">
        <v>2011</v>
      </c>
      <c r="C11">
        <v>15.9</v>
      </c>
      <c r="D11">
        <v>4.5</v>
      </c>
      <c r="E11">
        <v>24</v>
      </c>
      <c r="F11">
        <v>12.7</v>
      </c>
      <c r="G11">
        <v>4.5</v>
      </c>
      <c r="H11">
        <v>22</v>
      </c>
      <c r="I11">
        <v>0.7</v>
      </c>
      <c r="J11">
        <v>0.1</v>
      </c>
      <c r="K11">
        <v>1.3</v>
      </c>
      <c r="L11">
        <f t="shared" si="0"/>
        <v>0.30612244897959184</v>
      </c>
      <c r="M11">
        <f t="shared" si="1"/>
        <v>0.98285714285714287</v>
      </c>
      <c r="N11">
        <f t="shared" si="2"/>
        <v>0.68799999999999994</v>
      </c>
      <c r="O11">
        <f t="shared" si="3"/>
        <v>0.30087463556851313</v>
      </c>
    </row>
    <row r="12" spans="1:15" x14ac:dyDescent="0.25">
      <c r="A12" t="s">
        <v>8</v>
      </c>
      <c r="B12">
        <v>2012</v>
      </c>
      <c r="C12">
        <v>16.399999999999999</v>
      </c>
      <c r="D12">
        <v>4</v>
      </c>
      <c r="E12">
        <v>24</v>
      </c>
      <c r="F12">
        <v>11.6</v>
      </c>
      <c r="G12">
        <v>4.3</v>
      </c>
      <c r="H12">
        <v>22</v>
      </c>
      <c r="I12">
        <v>1.1399999999999999</v>
      </c>
      <c r="J12">
        <v>0.51</v>
      </c>
      <c r="K12">
        <v>1.77</v>
      </c>
      <c r="L12">
        <f t="shared" si="0"/>
        <v>0.32142857142857145</v>
      </c>
      <c r="M12">
        <f t="shared" si="1"/>
        <v>0.98285714285714287</v>
      </c>
      <c r="N12">
        <f t="shared" si="2"/>
        <v>1.1204571428571428</v>
      </c>
      <c r="O12">
        <f t="shared" si="3"/>
        <v>0.31591836734693879</v>
      </c>
    </row>
    <row r="13" spans="1:15" x14ac:dyDescent="0.25">
      <c r="A13" t="s">
        <v>9</v>
      </c>
      <c r="B13">
        <v>2012</v>
      </c>
      <c r="C13">
        <v>15</v>
      </c>
      <c r="D13">
        <v>11</v>
      </c>
      <c r="E13">
        <v>22</v>
      </c>
      <c r="F13">
        <v>9.9</v>
      </c>
      <c r="G13">
        <v>10</v>
      </c>
      <c r="H13">
        <v>18</v>
      </c>
      <c r="I13">
        <v>0.47</v>
      </c>
      <c r="J13">
        <v>-0.16</v>
      </c>
      <c r="K13">
        <v>1.1100000000000001</v>
      </c>
      <c r="L13">
        <f t="shared" si="0"/>
        <v>0.32397959183673469</v>
      </c>
      <c r="M13">
        <f t="shared" si="1"/>
        <v>0.98013245033112584</v>
      </c>
      <c r="N13">
        <f t="shared" si="2"/>
        <v>0.46066225165562913</v>
      </c>
      <c r="O13">
        <f t="shared" si="3"/>
        <v>0.31754291120421679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2026-01-13T12:27:51Z</dcterms:modified>
</cp:coreProperties>
</file>