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wang2012\"/>
    </mc:Choice>
  </mc:AlternateContent>
  <xr:revisionPtr revIDLastSave="0" documentId="13_ncr:1_{C3BFCE0F-8AA6-49D3-980D-3174D6A4EC09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J3" i="1" s="1"/>
  <c r="K3" i="1"/>
  <c r="H4" i="1"/>
  <c r="I4" i="1" s="1"/>
  <c r="K4" i="1"/>
  <c r="H5" i="1"/>
  <c r="I5" i="1" s="1"/>
  <c r="J5" i="1" s="1"/>
  <c r="K5" i="1"/>
  <c r="H6" i="1"/>
  <c r="I6" i="1"/>
  <c r="J6" i="1" s="1"/>
  <c r="L6" i="1" s="1"/>
  <c r="K6" i="1"/>
  <c r="M6" i="1"/>
  <c r="H7" i="1"/>
  <c r="I7" i="1" s="1"/>
  <c r="J7" i="1" s="1"/>
  <c r="K7" i="1"/>
  <c r="H8" i="1"/>
  <c r="I8" i="1"/>
  <c r="J8" i="1"/>
  <c r="K8" i="1"/>
  <c r="L8" i="1"/>
  <c r="M8" i="1"/>
  <c r="H9" i="1"/>
  <c r="I9" i="1" s="1"/>
  <c r="J9" i="1" s="1"/>
  <c r="K9" i="1"/>
  <c r="H10" i="1"/>
  <c r="I10" i="1"/>
  <c r="J10" i="1"/>
  <c r="K10" i="1"/>
  <c r="L10" i="1"/>
  <c r="M10" i="1"/>
  <c r="H11" i="1"/>
  <c r="I11" i="1" s="1"/>
  <c r="J11" i="1" s="1"/>
  <c r="K11" i="1"/>
  <c r="L11" i="1" s="1"/>
  <c r="H12" i="1"/>
  <c r="I12" i="1"/>
  <c r="J12" i="1"/>
  <c r="K12" i="1"/>
  <c r="L12" i="1"/>
  <c r="M12" i="1"/>
  <c r="H13" i="1"/>
  <c r="I13" i="1" s="1"/>
  <c r="J13" i="1" s="1"/>
  <c r="K13" i="1"/>
  <c r="L2" i="1"/>
  <c r="J2" i="1"/>
  <c r="I2" i="1"/>
  <c r="H2" i="1"/>
  <c r="K2" i="1"/>
  <c r="L9" i="1" l="1"/>
  <c r="L13" i="1"/>
  <c r="L5" i="1"/>
  <c r="J4" i="1"/>
  <c r="L4" i="1" s="1"/>
  <c r="M4" i="1"/>
  <c r="L3" i="1"/>
  <c r="L7" i="1"/>
  <c r="M9" i="1"/>
  <c r="M3" i="1"/>
  <c r="M13" i="1"/>
  <c r="M11" i="1"/>
  <c r="M7" i="1"/>
  <c r="M5" i="1"/>
  <c r="M2" i="1"/>
</calcChain>
</file>

<file path=xl/sharedStrings.xml><?xml version="1.0" encoding="utf-8"?>
<sst xmlns="http://schemas.openxmlformats.org/spreadsheetml/2006/main" count="25" uniqueCount="24">
  <si>
    <t>Author</t>
  </si>
  <si>
    <t>Year</t>
  </si>
  <si>
    <t>n_treat</t>
  </si>
  <si>
    <t>n_control</t>
  </si>
  <si>
    <t>wmd</t>
  </si>
  <si>
    <t>lCI</t>
  </si>
  <si>
    <t>uCI</t>
  </si>
  <si>
    <t>Woodman</t>
  </si>
  <si>
    <t>Dyerberg</t>
  </si>
  <si>
    <t>Ros</t>
  </si>
  <si>
    <t>Keogh</t>
  </si>
  <si>
    <t>Shah</t>
  </si>
  <si>
    <t>Wright</t>
  </si>
  <si>
    <t>Mindrescu</t>
  </si>
  <si>
    <t>Rizza</t>
  </si>
  <si>
    <t>Stirban</t>
  </si>
  <si>
    <t>Sanders</t>
  </si>
  <si>
    <t>Haberka</t>
  </si>
  <si>
    <t>se_wmd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</si>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</sst>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6" sqref="K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t="s">
        <v>7</v>
      </c>
      <c r="B2">
        <v>2003</v>
      </c>
      <c r="C2">
        <v>10</v>
      </c>
      <c r="D2">
        <v>8</v>
      </c>
      <c r="E2">
        <v>3.3</v>
      </c>
      <c r="F2">
        <v>-0.82</v>
      </c>
      <c r="G2">
        <v>7.42</v>
      </c>
      <c r="H2">
        <f>(G2-F2)/2/1.96</f>
        <v>2.1020408163265305</v>
      </c>
      <c r="I2">
        <f>H2/SQRT(1/C2+1/D2)</f>
        <v>4.4314911428209944</v>
      </c>
      <c r="J2">
        <f>E2/I2</f>
        <v>0.74467033638236924</v>
      </c>
      <c r="K2">
        <f>1-3/(4*(D2+C2-2)-1)</f>
        <v>0.95238095238095233</v>
      </c>
      <c r="L2">
        <f>K2*J2</f>
        <v>0.70920984417368493</v>
      </c>
      <c r="M2">
        <f>K2*H2/I2</f>
        <v>0.45175395145262548</v>
      </c>
    </row>
    <row r="3" spans="1:13" x14ac:dyDescent="0.25">
      <c r="A3" t="s">
        <v>7</v>
      </c>
      <c r="B3">
        <v>2003</v>
      </c>
      <c r="C3">
        <v>12</v>
      </c>
      <c r="D3">
        <v>8</v>
      </c>
      <c r="E3">
        <v>-0.3</v>
      </c>
      <c r="F3">
        <v>-5.25</v>
      </c>
      <c r="G3">
        <v>4.6500000000000004</v>
      </c>
      <c r="H3">
        <f t="shared" ref="H3:H13" si="0">(G3-F3)/2/1.96</f>
        <v>2.5255102040816326</v>
      </c>
      <c r="I3">
        <f t="shared" ref="I3:I13" si="1">H3/SQRT(1/C3+1/D3)</f>
        <v>5.5331156319399435</v>
      </c>
      <c r="J3">
        <f t="shared" ref="J3:J13" si="2">E3/I3</f>
        <v>-5.421900064192553E-2</v>
      </c>
      <c r="K3">
        <f t="shared" ref="K3:K13" si="3">1-3/(4*(D3+C3-2)-1)</f>
        <v>0.95774647887323949</v>
      </c>
      <c r="L3">
        <f t="shared" ref="L3:L13" si="4">K3*J3</f>
        <v>-5.1928056952830086E-2</v>
      </c>
      <c r="M3">
        <f t="shared" ref="M3:M13" si="5">K3*H3/I3</f>
        <v>0.43714945904168184</v>
      </c>
    </row>
    <row r="4" spans="1:13" x14ac:dyDescent="0.25">
      <c r="A4" t="s">
        <v>8</v>
      </c>
      <c r="B4">
        <v>2004</v>
      </c>
      <c r="C4">
        <v>24</v>
      </c>
      <c r="D4">
        <v>27</v>
      </c>
      <c r="E4">
        <v>-2.4</v>
      </c>
      <c r="F4">
        <v>-4.9000000000000004</v>
      </c>
      <c r="G4">
        <v>0.1</v>
      </c>
      <c r="H4">
        <f t="shared" si="0"/>
        <v>1.2755102040816326</v>
      </c>
      <c r="I4">
        <f t="shared" si="1"/>
        <v>4.5465958606071775</v>
      </c>
      <c r="J4">
        <f t="shared" si="2"/>
        <v>-0.52786745811172464</v>
      </c>
      <c r="K4">
        <f t="shared" si="3"/>
        <v>0.98461538461538467</v>
      </c>
      <c r="L4">
        <f t="shared" si="4"/>
        <v>-0.51974642029462126</v>
      </c>
      <c r="M4">
        <f t="shared" si="5"/>
        <v>0.27622577609195431</v>
      </c>
    </row>
    <row r="5" spans="1:13" x14ac:dyDescent="0.25">
      <c r="A5" t="s">
        <v>9</v>
      </c>
      <c r="B5">
        <v>2004</v>
      </c>
      <c r="C5">
        <v>20</v>
      </c>
      <c r="D5">
        <v>20</v>
      </c>
      <c r="E5">
        <v>-0.3</v>
      </c>
      <c r="F5">
        <v>-3.64</v>
      </c>
      <c r="G5">
        <v>3.04</v>
      </c>
      <c r="H5">
        <f t="shared" si="0"/>
        <v>1.7040816326530612</v>
      </c>
      <c r="I5">
        <f t="shared" si="1"/>
        <v>5.3887792780420343</v>
      </c>
      <c r="J5">
        <f t="shared" si="2"/>
        <v>-5.5671235454461288E-2</v>
      </c>
      <c r="K5">
        <f t="shared" si="3"/>
        <v>0.98013245033112584</v>
      </c>
      <c r="L5">
        <f t="shared" si="4"/>
        <v>-5.4565184418942189E-2</v>
      </c>
      <c r="M5">
        <f t="shared" si="5"/>
        <v>0.30994509516882129</v>
      </c>
    </row>
    <row r="6" spans="1:13" x14ac:dyDescent="0.25">
      <c r="A6" t="s">
        <v>10</v>
      </c>
      <c r="B6">
        <v>2005</v>
      </c>
      <c r="C6">
        <v>40</v>
      </c>
      <c r="D6">
        <v>40</v>
      </c>
      <c r="E6">
        <v>0.8</v>
      </c>
      <c r="F6">
        <v>-0.71</v>
      </c>
      <c r="G6">
        <v>2.31</v>
      </c>
      <c r="H6">
        <f t="shared" si="0"/>
        <v>0.77040816326530615</v>
      </c>
      <c r="I6">
        <f t="shared" si="1"/>
        <v>3.4453700469639617</v>
      </c>
      <c r="J6">
        <f t="shared" si="2"/>
        <v>0.23219566812713049</v>
      </c>
      <c r="K6">
        <f t="shared" si="3"/>
        <v>0.99035369774919613</v>
      </c>
      <c r="L6">
        <f t="shared" si="4"/>
        <v>0.22995583853104884</v>
      </c>
      <c r="M6">
        <f t="shared" si="5"/>
        <v>0.22144981899354832</v>
      </c>
    </row>
    <row r="7" spans="1:13" x14ac:dyDescent="0.25">
      <c r="A7" t="s">
        <v>11</v>
      </c>
      <c r="B7">
        <v>2007</v>
      </c>
      <c r="C7">
        <v>14</v>
      </c>
      <c r="D7">
        <v>12</v>
      </c>
      <c r="E7">
        <v>14.6</v>
      </c>
      <c r="F7">
        <v>2.73</v>
      </c>
      <c r="G7">
        <v>26.47</v>
      </c>
      <c r="H7">
        <f t="shared" si="0"/>
        <v>6.0561224489795915</v>
      </c>
      <c r="I7">
        <f t="shared" si="1"/>
        <v>15.394394598811465</v>
      </c>
      <c r="J7">
        <f t="shared" si="2"/>
        <v>0.94839715237176025</v>
      </c>
      <c r="K7">
        <f t="shared" si="3"/>
        <v>0.96842105263157896</v>
      </c>
      <c r="L7">
        <f t="shared" si="4"/>
        <v>0.91844776861265209</v>
      </c>
      <c r="M7">
        <f t="shared" si="5"/>
        <v>0.38097480477467782</v>
      </c>
    </row>
    <row r="8" spans="1:13" x14ac:dyDescent="0.25">
      <c r="A8" t="s">
        <v>12</v>
      </c>
      <c r="B8">
        <v>2008</v>
      </c>
      <c r="C8">
        <v>27</v>
      </c>
      <c r="D8">
        <v>29</v>
      </c>
      <c r="E8">
        <v>-1.8</v>
      </c>
      <c r="F8">
        <v>-4.5</v>
      </c>
      <c r="G8">
        <v>0.9</v>
      </c>
      <c r="H8">
        <f t="shared" si="0"/>
        <v>1.3775510204081634</v>
      </c>
      <c r="I8">
        <f t="shared" si="1"/>
        <v>5.1510357058885825</v>
      </c>
      <c r="J8">
        <f t="shared" si="2"/>
        <v>-0.34944428708623948</v>
      </c>
      <c r="K8">
        <f t="shared" si="3"/>
        <v>0.98604651162790702</v>
      </c>
      <c r="L8">
        <f t="shared" si="4"/>
        <v>-0.34456832028968731</v>
      </c>
      <c r="M8">
        <f t="shared" si="5"/>
        <v>0.26370024511965867</v>
      </c>
    </row>
    <row r="9" spans="1:13" x14ac:dyDescent="0.25">
      <c r="A9" t="s">
        <v>13</v>
      </c>
      <c r="B9">
        <v>2008</v>
      </c>
      <c r="C9">
        <v>14</v>
      </c>
      <c r="D9">
        <v>16</v>
      </c>
      <c r="E9">
        <v>13.26</v>
      </c>
      <c r="F9">
        <v>6.59</v>
      </c>
      <c r="G9">
        <v>19.93</v>
      </c>
      <c r="H9">
        <f t="shared" si="0"/>
        <v>3.4030612244897958</v>
      </c>
      <c r="I9">
        <f t="shared" si="1"/>
        <v>9.2989335522381662</v>
      </c>
      <c r="J9">
        <f t="shared" si="2"/>
        <v>1.425969970159475</v>
      </c>
      <c r="K9">
        <f t="shared" si="3"/>
        <v>0.97297297297297303</v>
      </c>
      <c r="L9">
        <f t="shared" si="4"/>
        <v>1.387430241236246</v>
      </c>
      <c r="M9">
        <f t="shared" si="5"/>
        <v>0.35607164823797832</v>
      </c>
    </row>
    <row r="10" spans="1:13" x14ac:dyDescent="0.25">
      <c r="A10" t="s">
        <v>14</v>
      </c>
      <c r="B10">
        <v>2009</v>
      </c>
      <c r="C10">
        <v>26</v>
      </c>
      <c r="D10">
        <v>24</v>
      </c>
      <c r="E10">
        <v>-0.1</v>
      </c>
      <c r="F10">
        <v>-3.18</v>
      </c>
      <c r="G10">
        <v>2.98</v>
      </c>
      <c r="H10">
        <f t="shared" si="0"/>
        <v>1.5714285714285714</v>
      </c>
      <c r="I10">
        <f t="shared" si="1"/>
        <v>5.5513925445489321</v>
      </c>
      <c r="J10">
        <f t="shared" si="2"/>
        <v>-1.8013498270482205E-2</v>
      </c>
      <c r="K10">
        <f t="shared" si="3"/>
        <v>0.98429319371727753</v>
      </c>
      <c r="L10">
        <f t="shared" si="4"/>
        <v>-1.7730563742673584E-2</v>
      </c>
      <c r="M10">
        <f t="shared" si="5"/>
        <v>0.27862314452772774</v>
      </c>
    </row>
    <row r="11" spans="1:13" x14ac:dyDescent="0.25">
      <c r="A11" t="s">
        <v>15</v>
      </c>
      <c r="B11">
        <v>2010</v>
      </c>
      <c r="C11">
        <v>16</v>
      </c>
      <c r="D11">
        <v>16</v>
      </c>
      <c r="E11">
        <v>-0.01</v>
      </c>
      <c r="F11">
        <v>-4.12</v>
      </c>
      <c r="G11">
        <v>4.0999999999999996</v>
      </c>
      <c r="H11">
        <f t="shared" si="0"/>
        <v>2.0969387755102038</v>
      </c>
      <c r="I11">
        <f t="shared" si="1"/>
        <v>5.9310385115851219</v>
      </c>
      <c r="J11">
        <f t="shared" si="2"/>
        <v>-1.6860453663328874E-3</v>
      </c>
      <c r="K11">
        <f t="shared" si="3"/>
        <v>0.97478991596638653</v>
      </c>
      <c r="L11">
        <f t="shared" si="4"/>
        <v>-1.6435400209631507E-3</v>
      </c>
      <c r="M11">
        <f t="shared" si="5"/>
        <v>0.3446402799060484</v>
      </c>
    </row>
    <row r="12" spans="1:13" x14ac:dyDescent="0.25">
      <c r="A12" t="s">
        <v>16</v>
      </c>
      <c r="B12">
        <v>2011</v>
      </c>
      <c r="C12">
        <v>239</v>
      </c>
      <c r="D12">
        <v>71</v>
      </c>
      <c r="E12">
        <v>-0.27</v>
      </c>
      <c r="F12">
        <v>-1.17</v>
      </c>
      <c r="G12">
        <v>0.63</v>
      </c>
      <c r="H12">
        <f t="shared" si="0"/>
        <v>0.45918367346938771</v>
      </c>
      <c r="I12">
        <f t="shared" si="1"/>
        <v>3.3972985675286069</v>
      </c>
      <c r="J12">
        <f t="shared" si="2"/>
        <v>-7.9474910618884398E-2</v>
      </c>
      <c r="K12">
        <f t="shared" si="3"/>
        <v>0.99756295694557273</v>
      </c>
      <c r="L12">
        <f t="shared" si="4"/>
        <v>-7.9281226839959418E-2</v>
      </c>
      <c r="M12">
        <f t="shared" si="5"/>
        <v>0.1348320184353051</v>
      </c>
    </row>
    <row r="13" spans="1:13" x14ac:dyDescent="0.25">
      <c r="A13" t="s">
        <v>17</v>
      </c>
      <c r="B13">
        <v>2011</v>
      </c>
      <c r="C13">
        <v>20</v>
      </c>
      <c r="D13">
        <v>20</v>
      </c>
      <c r="E13">
        <v>2.6</v>
      </c>
      <c r="F13">
        <v>-4.4400000000000004</v>
      </c>
      <c r="G13">
        <v>9.64</v>
      </c>
      <c r="H13">
        <f t="shared" si="0"/>
        <v>3.591836734693878</v>
      </c>
      <c r="I13">
        <f t="shared" si="1"/>
        <v>11.358385065094588</v>
      </c>
      <c r="J13">
        <f t="shared" si="2"/>
        <v>0.22890578062809747</v>
      </c>
      <c r="K13">
        <f t="shared" si="3"/>
        <v>0.98013245033112584</v>
      </c>
      <c r="L13">
        <f t="shared" si="4"/>
        <v>0.22435798366197632</v>
      </c>
      <c r="M13">
        <f t="shared" si="5"/>
        <v>0.30994509516882129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2026-01-25T03:17:54Z</dcterms:modified>
</cp:coreProperties>
</file>