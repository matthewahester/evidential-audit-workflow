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wang2012\"/>
    </mc:Choice>
  </mc:AlternateContent>
  <xr:revisionPtr revIDLastSave="0" documentId="13_ncr:1_{77BB8F3C-EA43-47BA-A396-E94CE3236EB8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 s="1"/>
  <c r="M3" i="1"/>
  <c r="J4" i="1"/>
  <c r="K4" i="1"/>
  <c r="L4" i="1" s="1"/>
  <c r="J5" i="1"/>
  <c r="K5" i="1"/>
  <c r="L5" i="1"/>
  <c r="M5" i="1"/>
  <c r="J6" i="1"/>
  <c r="K6" i="1"/>
  <c r="L6" i="1" s="1"/>
  <c r="M6" i="1"/>
  <c r="J7" i="1"/>
  <c r="K7" i="1"/>
  <c r="L7" i="1" s="1"/>
  <c r="J8" i="1"/>
  <c r="K8" i="1"/>
  <c r="L8" i="1" s="1"/>
  <c r="M8" i="1"/>
  <c r="J9" i="1"/>
  <c r="K9" i="1"/>
  <c r="L9" i="1" s="1"/>
  <c r="M9" i="1"/>
  <c r="J10" i="1"/>
  <c r="K10" i="1"/>
  <c r="L10" i="1" s="1"/>
  <c r="J11" i="1"/>
  <c r="K11" i="1"/>
  <c r="L11" i="1"/>
  <c r="M11" i="1"/>
  <c r="J12" i="1"/>
  <c r="K12" i="1"/>
  <c r="L12" i="1" s="1"/>
  <c r="M12" i="1"/>
  <c r="J13" i="1"/>
  <c r="K13" i="1"/>
  <c r="L13" i="1" s="1"/>
  <c r="J14" i="1"/>
  <c r="K14" i="1"/>
  <c r="L14" i="1"/>
  <c r="M14" i="1"/>
  <c r="J15" i="1"/>
  <c r="K15" i="1"/>
  <c r="L15" i="1" s="1"/>
  <c r="M15" i="1"/>
  <c r="J16" i="1"/>
  <c r="K16" i="1"/>
  <c r="L16" i="1" s="1"/>
  <c r="J17" i="1"/>
  <c r="K17" i="1"/>
  <c r="L17" i="1"/>
  <c r="M17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M16" i="1" l="1"/>
  <c r="M13" i="1"/>
  <c r="M10" i="1"/>
  <c r="M7" i="1"/>
  <c r="M4" i="1"/>
</calcChain>
</file>

<file path=xl/sharedStrings.xml><?xml version="1.0" encoding="utf-8"?>
<sst xmlns="http://schemas.openxmlformats.org/spreadsheetml/2006/main" count="29" uniqueCount="28">
  <si>
    <t>Author</t>
  </si>
  <si>
    <t>Year</t>
  </si>
  <si>
    <t>n_treat</t>
  </si>
  <si>
    <t>n_control</t>
  </si>
  <si>
    <t>wmd</t>
  </si>
  <si>
    <t>lCI</t>
  </si>
  <si>
    <t>uCI</t>
  </si>
  <si>
    <t>Woodman</t>
  </si>
  <si>
    <t>Dyerberg</t>
  </si>
  <si>
    <t>Engler</t>
  </si>
  <si>
    <t>Ros</t>
  </si>
  <si>
    <t>Shah</t>
  </si>
  <si>
    <t>Wright</t>
  </si>
  <si>
    <t>Schiano</t>
  </si>
  <si>
    <t>Mindrescu</t>
  </si>
  <si>
    <t>Rizza</t>
  </si>
  <si>
    <t>Wong</t>
  </si>
  <si>
    <t>Stirban</t>
  </si>
  <si>
    <t>Skulas-Ray</t>
  </si>
  <si>
    <t>Moertl</t>
  </si>
  <si>
    <t>Haberka</t>
  </si>
  <si>
    <t>Sanders</t>
  </si>
  <si>
    <t>pooled_sd</t>
  </si>
  <si>
    <t>d</t>
  </si>
  <si>
    <t>J</t>
  </si>
  <si>
    <t>g</t>
  </si>
  <si>
    <t>se_g</t>
  </si>
  <si>
    <t>se_wmd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</si>
</sst>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7.42578125" bestFit="1" customWidth="1"/>
    <col min="4" max="4" width="9.42578125" bestFit="1" customWidth="1"/>
    <col min="5" max="5" width="6" bestFit="1" customWidth="1"/>
    <col min="6" max="6" width="5.7109375" bestFit="1" customWidth="1"/>
    <col min="7" max="7" width="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5">
      <c r="A2" t="s">
        <v>7</v>
      </c>
      <c r="B2">
        <v>2003</v>
      </c>
      <c r="C2">
        <v>10</v>
      </c>
      <c r="D2">
        <v>8</v>
      </c>
      <c r="E2">
        <v>-0.6</v>
      </c>
      <c r="F2">
        <v>-2.3199999999999998</v>
      </c>
      <c r="G2">
        <v>1.1200000000000001</v>
      </c>
      <c r="H2">
        <f>(G2-F2)/2/1.96</f>
        <v>0.87755102040816324</v>
      </c>
      <c r="I2">
        <f>H2/SQRT(1/C2+1/D2)</f>
        <v>1.8500399916631336</v>
      </c>
      <c r="J2">
        <f>E2/I2</f>
        <v>-0.3243173135195942</v>
      </c>
      <c r="K2">
        <f>1-3/(4*(D2+C2-2)-1)</f>
        <v>0.95238095238095233</v>
      </c>
      <c r="L2">
        <f>K2*J2</f>
        <v>-0.30887363192342304</v>
      </c>
      <c r="M2">
        <f>K2*H2/I2</f>
        <v>0.45175395145262554</v>
      </c>
    </row>
    <row r="3" spans="1:13" x14ac:dyDescent="0.25">
      <c r="A3" t="s">
        <v>7</v>
      </c>
      <c r="B3">
        <v>2003</v>
      </c>
      <c r="C3">
        <v>12</v>
      </c>
      <c r="D3">
        <v>8</v>
      </c>
      <c r="E3">
        <v>-2.7</v>
      </c>
      <c r="F3">
        <v>-5.13</v>
      </c>
      <c r="G3">
        <v>-0.27</v>
      </c>
      <c r="H3">
        <f t="shared" ref="H3:H17" si="0">(G3-F3)/2/1.96</f>
        <v>1.2397959183673468</v>
      </c>
      <c r="I3">
        <f t="shared" ref="I3:I17" si="1">H3/SQRT(1/C3+1/D3)</f>
        <v>2.7162567647705176</v>
      </c>
      <c r="J3">
        <f t="shared" ref="J3:J17" si="2">E3/I3</f>
        <v>-0.99401501176863494</v>
      </c>
      <c r="K3">
        <f t="shared" ref="K3:K17" si="3">1-3/(4*(D3+C3-2)-1)</f>
        <v>0.95774647887323949</v>
      </c>
      <c r="L3">
        <f t="shared" ref="L3:L17" si="4">K3*J3</f>
        <v>-0.95201437746855178</v>
      </c>
      <c r="M3">
        <f t="shared" ref="M3:M17" si="5">K3*H3/I3</f>
        <v>0.43714945904168184</v>
      </c>
    </row>
    <row r="4" spans="1:13" x14ac:dyDescent="0.25">
      <c r="A4" t="s">
        <v>8</v>
      </c>
      <c r="B4">
        <v>2004</v>
      </c>
      <c r="C4">
        <v>26</v>
      </c>
      <c r="D4">
        <v>24</v>
      </c>
      <c r="E4">
        <v>0.2</v>
      </c>
      <c r="F4">
        <v>-1.0900000000000001</v>
      </c>
      <c r="G4">
        <v>1.49</v>
      </c>
      <c r="H4">
        <f t="shared" si="0"/>
        <v>0.65816326530612246</v>
      </c>
      <c r="I4">
        <f t="shared" si="1"/>
        <v>2.3250962280740657</v>
      </c>
      <c r="J4">
        <f t="shared" si="2"/>
        <v>8.6017945229589457E-2</v>
      </c>
      <c r="K4">
        <f t="shared" si="3"/>
        <v>0.98429319371727753</v>
      </c>
      <c r="L4">
        <f t="shared" si="4"/>
        <v>8.4666878027030462E-2</v>
      </c>
      <c r="M4">
        <f t="shared" si="5"/>
        <v>0.27862314452772774</v>
      </c>
    </row>
    <row r="5" spans="1:13" x14ac:dyDescent="0.25">
      <c r="A5" t="s">
        <v>9</v>
      </c>
      <c r="B5">
        <v>2004</v>
      </c>
      <c r="C5">
        <v>20</v>
      </c>
      <c r="D5">
        <v>20</v>
      </c>
      <c r="E5">
        <v>1.1000000000000001</v>
      </c>
      <c r="F5">
        <v>-0.32</v>
      </c>
      <c r="G5">
        <v>2.52</v>
      </c>
      <c r="H5">
        <f t="shared" si="0"/>
        <v>0.72448979591836737</v>
      </c>
      <c r="I5">
        <f t="shared" si="1"/>
        <v>2.2910378966526013</v>
      </c>
      <c r="J5">
        <f t="shared" si="2"/>
        <v>0.4801317348819033</v>
      </c>
      <c r="K5">
        <f t="shared" si="3"/>
        <v>0.98013245033112584</v>
      </c>
      <c r="L5">
        <f t="shared" si="4"/>
        <v>0.47059269379153434</v>
      </c>
      <c r="M5">
        <f t="shared" si="5"/>
        <v>0.30994509516882135</v>
      </c>
    </row>
    <row r="6" spans="1:13" x14ac:dyDescent="0.25">
      <c r="A6" t="s">
        <v>10</v>
      </c>
      <c r="B6">
        <v>2004</v>
      </c>
      <c r="C6">
        <v>20</v>
      </c>
      <c r="D6">
        <v>20</v>
      </c>
      <c r="E6">
        <v>2.2999999999999998</v>
      </c>
      <c r="F6">
        <v>0.4</v>
      </c>
      <c r="G6">
        <v>4.2</v>
      </c>
      <c r="H6">
        <f t="shared" si="0"/>
        <v>0.96938775510204089</v>
      </c>
      <c r="I6">
        <f t="shared" si="1"/>
        <v>3.0654732419999595</v>
      </c>
      <c r="J6">
        <f t="shared" si="2"/>
        <v>0.75029198379152906</v>
      </c>
      <c r="K6">
        <f t="shared" si="3"/>
        <v>0.98013245033112584</v>
      </c>
      <c r="L6">
        <f t="shared" si="4"/>
        <v>0.7353855205373927</v>
      </c>
      <c r="M6">
        <f t="shared" si="5"/>
        <v>0.30994509516882129</v>
      </c>
    </row>
    <row r="7" spans="1:13" x14ac:dyDescent="0.25">
      <c r="A7" t="s">
        <v>11</v>
      </c>
      <c r="B7">
        <v>2007</v>
      </c>
      <c r="C7">
        <v>14</v>
      </c>
      <c r="D7">
        <v>12</v>
      </c>
      <c r="E7">
        <v>10.5</v>
      </c>
      <c r="F7">
        <v>4.3</v>
      </c>
      <c r="G7">
        <v>16.7</v>
      </c>
      <c r="H7">
        <f t="shared" si="0"/>
        <v>3.1632653061224487</v>
      </c>
      <c r="I7">
        <f t="shared" si="1"/>
        <v>8.0408800768855162</v>
      </c>
      <c r="J7">
        <f t="shared" si="2"/>
        <v>1.3058272104049309</v>
      </c>
      <c r="K7">
        <f t="shared" si="3"/>
        <v>0.96842105263157896</v>
      </c>
      <c r="L7">
        <f t="shared" si="4"/>
        <v>1.2645905616553015</v>
      </c>
      <c r="M7">
        <f t="shared" si="5"/>
        <v>0.38097480477467782</v>
      </c>
    </row>
    <row r="8" spans="1:13" x14ac:dyDescent="0.25">
      <c r="A8" t="s">
        <v>12</v>
      </c>
      <c r="B8">
        <v>2008</v>
      </c>
      <c r="C8">
        <v>27</v>
      </c>
      <c r="D8">
        <v>29</v>
      </c>
      <c r="E8">
        <v>5.9</v>
      </c>
      <c r="F8">
        <v>4.3</v>
      </c>
      <c r="G8">
        <v>7.5</v>
      </c>
      <c r="H8">
        <f t="shared" si="0"/>
        <v>0.81632653061224492</v>
      </c>
      <c r="I8">
        <f t="shared" si="1"/>
        <v>3.0524656034895306</v>
      </c>
      <c r="J8">
        <f t="shared" si="2"/>
        <v>1.932863712945762</v>
      </c>
      <c r="K8">
        <f t="shared" si="3"/>
        <v>0.98604651162790702</v>
      </c>
      <c r="L8">
        <f t="shared" si="4"/>
        <v>1.9058935216023327</v>
      </c>
      <c r="M8">
        <f t="shared" si="5"/>
        <v>0.26370024511965862</v>
      </c>
    </row>
    <row r="9" spans="1:13" x14ac:dyDescent="0.25">
      <c r="A9" t="s">
        <v>13</v>
      </c>
      <c r="B9">
        <v>2008</v>
      </c>
      <c r="C9">
        <v>16</v>
      </c>
      <c r="D9">
        <v>16</v>
      </c>
      <c r="E9">
        <v>3.6</v>
      </c>
      <c r="F9">
        <v>0.74</v>
      </c>
      <c r="G9">
        <v>6.46</v>
      </c>
      <c r="H9">
        <f t="shared" si="0"/>
        <v>1.4591836734693877</v>
      </c>
      <c r="I9">
        <f t="shared" si="1"/>
        <v>4.1271946820276035</v>
      </c>
      <c r="J9">
        <f t="shared" si="2"/>
        <v>0.87226319021893006</v>
      </c>
      <c r="K9">
        <f t="shared" si="3"/>
        <v>0.97478991596638653</v>
      </c>
      <c r="L9">
        <f t="shared" si="4"/>
        <v>0.85027336189408309</v>
      </c>
      <c r="M9">
        <f t="shared" si="5"/>
        <v>0.3446402799060484</v>
      </c>
    </row>
    <row r="10" spans="1:13" x14ac:dyDescent="0.25">
      <c r="A10" t="s">
        <v>14</v>
      </c>
      <c r="B10">
        <v>2008</v>
      </c>
      <c r="C10">
        <v>14</v>
      </c>
      <c r="D10">
        <v>16</v>
      </c>
      <c r="E10">
        <v>10.95</v>
      </c>
      <c r="F10">
        <v>7.9</v>
      </c>
      <c r="G10">
        <v>14</v>
      </c>
      <c r="H10">
        <f t="shared" si="0"/>
        <v>1.5561224489795917</v>
      </c>
      <c r="I10">
        <f t="shared" si="1"/>
        <v>4.2521360321328938</v>
      </c>
      <c r="J10">
        <f t="shared" si="2"/>
        <v>2.5751763154452569</v>
      </c>
      <c r="K10">
        <f t="shared" si="3"/>
        <v>0.97297297297297303</v>
      </c>
      <c r="L10">
        <f t="shared" si="4"/>
        <v>2.5055769555683582</v>
      </c>
      <c r="M10">
        <f t="shared" si="5"/>
        <v>0.35607164823797838</v>
      </c>
    </row>
    <row r="11" spans="1:13" x14ac:dyDescent="0.25">
      <c r="A11" t="s">
        <v>15</v>
      </c>
      <c r="B11">
        <v>2009</v>
      </c>
      <c r="C11">
        <v>26</v>
      </c>
      <c r="D11">
        <v>24</v>
      </c>
      <c r="E11">
        <v>4</v>
      </c>
      <c r="F11">
        <v>2.11</v>
      </c>
      <c r="G11">
        <v>5.89</v>
      </c>
      <c r="H11">
        <f t="shared" si="0"/>
        <v>0.9642857142857143</v>
      </c>
      <c r="I11">
        <f t="shared" si="1"/>
        <v>3.4065363341550268</v>
      </c>
      <c r="J11">
        <f t="shared" si="2"/>
        <v>1.1742132205943956</v>
      </c>
      <c r="K11">
        <f t="shared" si="3"/>
        <v>0.98429319371727753</v>
      </c>
      <c r="L11">
        <f t="shared" si="4"/>
        <v>1.1557700810039078</v>
      </c>
      <c r="M11">
        <f t="shared" si="5"/>
        <v>0.27862314452772774</v>
      </c>
    </row>
    <row r="12" spans="1:13" x14ac:dyDescent="0.25">
      <c r="A12" t="s">
        <v>16</v>
      </c>
      <c r="B12">
        <v>2010</v>
      </c>
      <c r="C12">
        <v>49</v>
      </c>
      <c r="D12">
        <v>48</v>
      </c>
      <c r="E12">
        <v>0.2</v>
      </c>
      <c r="F12">
        <v>-1.31</v>
      </c>
      <c r="G12">
        <v>1.71</v>
      </c>
      <c r="H12">
        <f t="shared" si="0"/>
        <v>0.77040816326530615</v>
      </c>
      <c r="I12">
        <f t="shared" si="1"/>
        <v>3.7936186133932686</v>
      </c>
      <c r="J12">
        <f t="shared" si="2"/>
        <v>5.272011247886263E-2</v>
      </c>
      <c r="K12">
        <f t="shared" si="3"/>
        <v>0.9920844327176781</v>
      </c>
      <c r="L12">
        <f t="shared" si="4"/>
        <v>5.2302802881404611E-2</v>
      </c>
      <c r="M12">
        <f t="shared" si="5"/>
        <v>0.20147253150745145</v>
      </c>
    </row>
    <row r="13" spans="1:13" x14ac:dyDescent="0.25">
      <c r="A13" t="s">
        <v>17</v>
      </c>
      <c r="B13">
        <v>2010</v>
      </c>
      <c r="C13">
        <v>31</v>
      </c>
      <c r="D13">
        <v>31</v>
      </c>
      <c r="E13">
        <v>-0.69</v>
      </c>
      <c r="F13">
        <v>-2.2799999999999998</v>
      </c>
      <c r="G13">
        <v>0.9</v>
      </c>
      <c r="H13">
        <f t="shared" si="0"/>
        <v>0.81122448979591832</v>
      </c>
      <c r="I13">
        <f t="shared" si="1"/>
        <v>3.1937940101221374</v>
      </c>
      <c r="J13">
        <f t="shared" si="2"/>
        <v>-0.21604398962900331</v>
      </c>
      <c r="K13">
        <f t="shared" si="3"/>
        <v>0.9874476987447699</v>
      </c>
      <c r="L13">
        <f t="shared" si="4"/>
        <v>-0.21333214038679826</v>
      </c>
      <c r="M13">
        <f t="shared" si="5"/>
        <v>0.25081196629326324</v>
      </c>
    </row>
    <row r="14" spans="1:13" x14ac:dyDescent="0.25">
      <c r="A14" t="s">
        <v>18</v>
      </c>
      <c r="B14">
        <v>2010</v>
      </c>
      <c r="C14">
        <v>26</v>
      </c>
      <c r="D14">
        <v>26</v>
      </c>
      <c r="E14">
        <v>-0.92</v>
      </c>
      <c r="F14">
        <v>-2.16</v>
      </c>
      <c r="G14">
        <v>0.32</v>
      </c>
      <c r="H14">
        <f t="shared" si="0"/>
        <v>0.63265306122448983</v>
      </c>
      <c r="I14">
        <f t="shared" si="1"/>
        <v>2.2810630518241566</v>
      </c>
      <c r="J14">
        <f t="shared" si="2"/>
        <v>-0.40332072331989238</v>
      </c>
      <c r="K14">
        <f t="shared" si="3"/>
        <v>0.98492462311557794</v>
      </c>
      <c r="L14">
        <f t="shared" si="4"/>
        <v>-0.39724051141054728</v>
      </c>
      <c r="M14">
        <f t="shared" si="5"/>
        <v>0.27316894085463544</v>
      </c>
    </row>
    <row r="15" spans="1:13" x14ac:dyDescent="0.25">
      <c r="A15" t="s">
        <v>19</v>
      </c>
      <c r="B15">
        <v>2011</v>
      </c>
      <c r="C15">
        <v>27</v>
      </c>
      <c r="D15">
        <v>16</v>
      </c>
      <c r="E15">
        <v>2.63</v>
      </c>
      <c r="F15">
        <v>-1.0900000000000001</v>
      </c>
      <c r="G15">
        <v>6.35</v>
      </c>
      <c r="H15">
        <f t="shared" si="0"/>
        <v>1.8979591836734693</v>
      </c>
      <c r="I15">
        <f t="shared" si="1"/>
        <v>6.0158155803636504</v>
      </c>
      <c r="J15">
        <f t="shared" si="2"/>
        <v>0.43718095491235437</v>
      </c>
      <c r="K15">
        <f t="shared" si="3"/>
        <v>0.98159509202453987</v>
      </c>
      <c r="L15">
        <f t="shared" si="4"/>
        <v>0.42913467966856872</v>
      </c>
      <c r="M15">
        <f t="shared" si="5"/>
        <v>0.30968825334970818</v>
      </c>
    </row>
    <row r="16" spans="1:13" x14ac:dyDescent="0.25">
      <c r="A16" t="s">
        <v>20</v>
      </c>
      <c r="B16">
        <v>2011</v>
      </c>
      <c r="C16">
        <v>20</v>
      </c>
      <c r="D16">
        <v>20</v>
      </c>
      <c r="E16">
        <v>10.3</v>
      </c>
      <c r="F16">
        <v>5.75</v>
      </c>
      <c r="G16">
        <v>14.85</v>
      </c>
      <c r="H16">
        <f t="shared" si="0"/>
        <v>2.3214285714285712</v>
      </c>
      <c r="I16">
        <f t="shared" si="1"/>
        <v>7.3410017111051653</v>
      </c>
      <c r="J16">
        <f t="shared" si="2"/>
        <v>1.4030782726039397</v>
      </c>
      <c r="K16">
        <f t="shared" si="3"/>
        <v>0.98013245033112584</v>
      </c>
      <c r="L16">
        <f t="shared" si="4"/>
        <v>1.3752025453336627</v>
      </c>
      <c r="M16">
        <f t="shared" si="5"/>
        <v>0.30994509516882129</v>
      </c>
    </row>
    <row r="17" spans="1:13" x14ac:dyDescent="0.25">
      <c r="A17" t="s">
        <v>21</v>
      </c>
      <c r="B17">
        <v>2011</v>
      </c>
      <c r="C17">
        <v>239</v>
      </c>
      <c r="D17">
        <v>71</v>
      </c>
      <c r="E17">
        <v>-0.4</v>
      </c>
      <c r="F17">
        <v>-1.1000000000000001</v>
      </c>
      <c r="G17">
        <v>0.3</v>
      </c>
      <c r="H17">
        <f t="shared" si="0"/>
        <v>0.35714285714285721</v>
      </c>
      <c r="I17">
        <f t="shared" si="1"/>
        <v>2.6423433303000281</v>
      </c>
      <c r="J17">
        <f t="shared" si="2"/>
        <v>-0.15138078213120834</v>
      </c>
      <c r="K17">
        <f t="shared" si="3"/>
        <v>0.99756295694557273</v>
      </c>
      <c r="L17">
        <f t="shared" si="4"/>
        <v>-0.15101186064754171</v>
      </c>
      <c r="M17">
        <f t="shared" si="5"/>
        <v>0.1348320184353051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2026-01-25T03:13:01Z</dcterms:modified>
</cp:coreProperties>
</file>