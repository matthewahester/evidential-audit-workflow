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kotwal2012\"/>
    </mc:Choice>
  </mc:AlternateContent>
  <xr:revisionPtr revIDLastSave="0" documentId="13_ncr:1_{528F3ADB-9E5A-434B-80F9-3B0972C74385}" xr6:coauthVersionLast="47" xr6:coauthVersionMax="47" xr10:uidLastSave="{00000000-0000-0000-0000-000000000000}"/>
  <bookViews>
    <workbookView xWindow="57990" yWindow="6645" windowWidth="18195" windowHeight="10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 s="1"/>
  <c r="J4" i="1"/>
  <c r="K4" i="1"/>
  <c r="L4" i="1"/>
  <c r="M4" i="1"/>
  <c r="N4" i="1" s="1"/>
  <c r="J5" i="1"/>
  <c r="K5" i="1"/>
  <c r="L5" i="1" s="1"/>
  <c r="M5" i="1"/>
  <c r="J6" i="1"/>
  <c r="K6" i="1"/>
  <c r="L6" i="1"/>
  <c r="M6" i="1"/>
  <c r="N6" i="1"/>
  <c r="J7" i="1"/>
  <c r="K7" i="1"/>
  <c r="L7" i="1"/>
  <c r="M7" i="1"/>
  <c r="N7" i="1" s="1"/>
  <c r="J8" i="1"/>
  <c r="K8" i="1"/>
  <c r="L8" i="1"/>
  <c r="M8" i="1"/>
  <c r="N8" i="1"/>
  <c r="J9" i="1"/>
  <c r="K9" i="1"/>
  <c r="L9" i="1"/>
  <c r="M9" i="1"/>
  <c r="N9" i="1"/>
  <c r="J10" i="1"/>
  <c r="K10" i="1"/>
  <c r="L10" i="1" s="1"/>
  <c r="M10" i="1"/>
  <c r="N10" i="1"/>
  <c r="J11" i="1"/>
  <c r="K11" i="1"/>
  <c r="L11" i="1" s="1"/>
  <c r="M11" i="1"/>
  <c r="N11" i="1"/>
  <c r="J12" i="1"/>
  <c r="K12" i="1"/>
  <c r="L12" i="1"/>
  <c r="M12" i="1"/>
  <c r="N12" i="1" s="1"/>
  <c r="J13" i="1"/>
  <c r="K13" i="1"/>
  <c r="L13" i="1" s="1"/>
  <c r="M13" i="1"/>
  <c r="N13" i="1" s="1"/>
  <c r="J2" i="1"/>
  <c r="M2" i="1"/>
  <c r="N2" i="1" s="1"/>
  <c r="K2" i="1"/>
  <c r="N5" i="1" l="1"/>
  <c r="L2" i="1"/>
</calcChain>
</file>

<file path=xl/sharedStrings.xml><?xml version="1.0" encoding="utf-8"?>
<sst xmlns="http://schemas.openxmlformats.org/spreadsheetml/2006/main" count="26" uniqueCount="26">
  <si>
    <t>DART</t>
  </si>
  <si>
    <t>SCIMO</t>
  </si>
  <si>
    <t>Nilsen</t>
  </si>
  <si>
    <t>OPACH</t>
  </si>
  <si>
    <t>JELIS</t>
  </si>
  <si>
    <t>GISSI-HF</t>
  </si>
  <si>
    <t>SU.FL.OM3</t>
  </si>
  <si>
    <t>Omega</t>
  </si>
  <si>
    <t>DOIT</t>
  </si>
  <si>
    <t>ORIGIN</t>
  </si>
  <si>
    <t>GISSIPrevenzione</t>
  </si>
  <si>
    <t>Alphaomega</t>
  </si>
  <si>
    <t>RR</t>
  </si>
  <si>
    <t>lCI</t>
  </si>
  <si>
    <t>uCI</t>
  </si>
  <si>
    <t>events_treat</t>
  </si>
  <si>
    <t>n_treat</t>
  </si>
  <si>
    <t>events_control</t>
  </si>
  <si>
    <t>n_control</t>
  </si>
  <si>
    <t>ES</t>
  </si>
  <si>
    <t>J</t>
  </si>
  <si>
    <t>g</t>
  </si>
  <si>
    <t>se_es</t>
  </si>
  <si>
    <t>se_g</t>
  </si>
  <si>
    <t>Author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</si>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</sst>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26" bestFit="1" customWidth="1"/>
    <col min="2" max="2" width="26" customWidth="1"/>
    <col min="3" max="3" width="14.7109375" bestFit="1" customWidth="1"/>
    <col min="4" max="5" width="14.7109375" customWidth="1"/>
    <col min="6" max="6" width="9.85546875" bestFit="1" customWidth="1"/>
    <col min="7" max="7" width="9.85546875" customWidth="1"/>
    <col min="8" max="8" width="9.85546875" bestFit="1" customWidth="1"/>
  </cols>
  <sheetData>
    <row r="1" spans="1:14" x14ac:dyDescent="0.25">
      <c r="A1" t="s">
        <v>24</v>
      </c>
      <c r="B1" t="s">
        <v>25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5">
      <c r="A2" t="s">
        <v>0</v>
      </c>
      <c r="B2">
        <v>1989</v>
      </c>
      <c r="C2">
        <v>0.85</v>
      </c>
      <c r="D2">
        <v>0.69</v>
      </c>
      <c r="E2">
        <v>1.07</v>
      </c>
      <c r="F2">
        <v>127</v>
      </c>
      <c r="G2">
        <v>1015</v>
      </c>
      <c r="H2">
        <v>149</v>
      </c>
      <c r="I2">
        <v>1018</v>
      </c>
      <c r="J2">
        <f>-LN(C2)/1.81</f>
        <v>8.9789463810925382E-2</v>
      </c>
      <c r="K2">
        <f>1-3/(4*(I2+G2-2)-1)</f>
        <v>0.99963067832081742</v>
      </c>
      <c r="L2">
        <f>K2*J2</f>
        <v>8.9756302615377828E-2</v>
      </c>
      <c r="M2">
        <f>(LN(E2)-LN(D2))/2/1.96/1.81</f>
        <v>6.183368049732875E-2</v>
      </c>
      <c r="N2">
        <f>M2*K2</f>
        <v>6.1810843978617434E-2</v>
      </c>
    </row>
    <row r="3" spans="1:14" x14ac:dyDescent="0.25">
      <c r="A3" t="s">
        <v>10</v>
      </c>
      <c r="B3">
        <v>1999</v>
      </c>
      <c r="C3">
        <v>0.81</v>
      </c>
      <c r="D3">
        <v>0.7</v>
      </c>
      <c r="E3">
        <v>0.95</v>
      </c>
      <c r="F3">
        <v>262</v>
      </c>
      <c r="G3">
        <v>2836</v>
      </c>
      <c r="H3">
        <v>322</v>
      </c>
      <c r="I3">
        <v>2828</v>
      </c>
      <c r="J3">
        <f t="shared" ref="J3:J13" si="0">-LN(C3)/1.81</f>
        <v>0.11642045929041576</v>
      </c>
      <c r="K3">
        <f t="shared" ref="K3:K13" si="1">1-3/(4*(I3+G3-2)-1)</f>
        <v>0.99986753212346002</v>
      </c>
      <c r="L3">
        <f t="shared" ref="L3:L13" si="2">K3*J3</f>
        <v>0.11640503731938776</v>
      </c>
      <c r="M3">
        <f t="shared" ref="M3:M13" si="3">(LN(E3)-LN(D3))/2/1.96/1.81</f>
        <v>4.3040597805725264E-2</v>
      </c>
      <c r="N3">
        <f t="shared" ref="N3:N13" si="4">M3*K3</f>
        <v>4.3034896309128927E-2</v>
      </c>
    </row>
    <row r="4" spans="1:14" x14ac:dyDescent="0.25">
      <c r="A4" t="s">
        <v>1</v>
      </c>
      <c r="B4">
        <v>1999</v>
      </c>
      <c r="C4">
        <v>0.28999999999999998</v>
      </c>
      <c r="D4">
        <v>0.06</v>
      </c>
      <c r="E4">
        <v>1.36</v>
      </c>
      <c r="F4">
        <v>2</v>
      </c>
      <c r="G4">
        <v>111</v>
      </c>
      <c r="H4">
        <v>7</v>
      </c>
      <c r="I4">
        <v>112</v>
      </c>
      <c r="J4">
        <f t="shared" si="0"/>
        <v>0.68390848397879411</v>
      </c>
      <c r="K4">
        <f t="shared" si="1"/>
        <v>0.99660249150622882</v>
      </c>
      <c r="L4">
        <f t="shared" si="2"/>
        <v>0.68158489909551401</v>
      </c>
      <c r="M4">
        <f t="shared" si="3"/>
        <v>0.43986010493122069</v>
      </c>
      <c r="N4">
        <f t="shared" si="4"/>
        <v>0.43836567648864577</v>
      </c>
    </row>
    <row r="5" spans="1:14" x14ac:dyDescent="0.25">
      <c r="A5" t="s">
        <v>2</v>
      </c>
      <c r="B5">
        <v>2001</v>
      </c>
      <c r="C5">
        <v>1.17</v>
      </c>
      <c r="D5">
        <v>0.8</v>
      </c>
      <c r="E5">
        <v>1.71</v>
      </c>
      <c r="F5">
        <v>42</v>
      </c>
      <c r="G5">
        <v>150</v>
      </c>
      <c r="H5">
        <v>36</v>
      </c>
      <c r="I5">
        <v>150</v>
      </c>
      <c r="J5">
        <f t="shared" si="0"/>
        <v>-8.6742402657273315E-2</v>
      </c>
      <c r="K5">
        <f t="shared" si="1"/>
        <v>0.9974811083123426</v>
      </c>
      <c r="L5">
        <f t="shared" si="2"/>
        <v>-8.6523907940252484E-2</v>
      </c>
      <c r="M5">
        <f t="shared" si="3"/>
        <v>0.10706349670605171</v>
      </c>
      <c r="N5">
        <f t="shared" si="4"/>
        <v>0.10679381535414731</v>
      </c>
    </row>
    <row r="6" spans="1:14" x14ac:dyDescent="0.25">
      <c r="A6" t="s">
        <v>3</v>
      </c>
      <c r="B6">
        <v>2006</v>
      </c>
      <c r="C6">
        <v>1.05</v>
      </c>
      <c r="D6">
        <v>0.84</v>
      </c>
      <c r="E6">
        <v>1.32</v>
      </c>
      <c r="F6">
        <v>62</v>
      </c>
      <c r="G6">
        <v>103</v>
      </c>
      <c r="H6">
        <v>59</v>
      </c>
      <c r="I6">
        <v>103</v>
      </c>
      <c r="J6">
        <f t="shared" si="0"/>
        <v>-2.6955891806316048E-2</v>
      </c>
      <c r="K6">
        <f t="shared" si="1"/>
        <v>0.996319018404908</v>
      </c>
      <c r="L6">
        <f t="shared" si="2"/>
        <v>-2.6856667664697707E-2</v>
      </c>
      <c r="M6">
        <f t="shared" si="3"/>
        <v>6.3702943362140219E-2</v>
      </c>
      <c r="N6">
        <f t="shared" si="4"/>
        <v>6.3468454000070992E-2</v>
      </c>
    </row>
    <row r="7" spans="1:14" x14ac:dyDescent="0.25">
      <c r="A7" t="s">
        <v>4</v>
      </c>
      <c r="B7">
        <v>2007</v>
      </c>
      <c r="C7">
        <v>0.81</v>
      </c>
      <c r="D7">
        <v>0.69</v>
      </c>
      <c r="E7">
        <v>0.95</v>
      </c>
      <c r="F7">
        <v>262</v>
      </c>
      <c r="G7">
        <v>9326</v>
      </c>
      <c r="H7">
        <v>324</v>
      </c>
      <c r="I7">
        <v>9319</v>
      </c>
      <c r="J7">
        <f t="shared" si="0"/>
        <v>0.11642045929041576</v>
      </c>
      <c r="K7">
        <f t="shared" si="1"/>
        <v>0.99995976988373492</v>
      </c>
      <c r="L7">
        <f t="shared" si="2"/>
        <v>0.11641577568180288</v>
      </c>
      <c r="M7">
        <f t="shared" si="3"/>
        <v>4.5068551556444E-2</v>
      </c>
      <c r="N7">
        <f t="shared" si="4"/>
        <v>4.5066738443374985E-2</v>
      </c>
    </row>
    <row r="8" spans="1:14" x14ac:dyDescent="0.25">
      <c r="A8" t="s">
        <v>5</v>
      </c>
      <c r="B8">
        <v>2008</v>
      </c>
      <c r="C8">
        <v>0.97</v>
      </c>
      <c r="D8">
        <v>0.92</v>
      </c>
      <c r="E8">
        <v>1.01</v>
      </c>
      <c r="F8">
        <v>1635</v>
      </c>
      <c r="G8">
        <v>3494</v>
      </c>
      <c r="H8">
        <v>1687</v>
      </c>
      <c r="I8">
        <v>3481</v>
      </c>
      <c r="J8">
        <f t="shared" si="0"/>
        <v>1.6828291428015785E-2</v>
      </c>
      <c r="K8">
        <f t="shared" si="1"/>
        <v>0.99989243842099607</v>
      </c>
      <c r="L8">
        <f t="shared" si="2"/>
        <v>1.6826481350417848E-2</v>
      </c>
      <c r="M8">
        <f t="shared" si="3"/>
        <v>1.3154236637757794E-2</v>
      </c>
      <c r="N8">
        <f t="shared" si="4"/>
        <v>1.3152821747294445E-2</v>
      </c>
    </row>
    <row r="9" spans="1:14" x14ac:dyDescent="0.25">
      <c r="A9" t="s">
        <v>6</v>
      </c>
      <c r="B9">
        <v>2010</v>
      </c>
      <c r="C9">
        <v>1.06</v>
      </c>
      <c r="D9">
        <v>0.78</v>
      </c>
      <c r="E9">
        <v>1.44</v>
      </c>
      <c r="F9">
        <v>81</v>
      </c>
      <c r="G9">
        <v>1253</v>
      </c>
      <c r="H9">
        <v>76</v>
      </c>
      <c r="I9">
        <v>1248</v>
      </c>
      <c r="J9">
        <f t="shared" si="0"/>
        <v>-3.2192766919323657E-2</v>
      </c>
      <c r="K9">
        <f t="shared" si="1"/>
        <v>0.99969984992496252</v>
      </c>
      <c r="L9">
        <f t="shared" si="2"/>
        <v>-3.2183104257917157E-2</v>
      </c>
      <c r="M9">
        <f t="shared" si="3"/>
        <v>8.6411161473448073E-2</v>
      </c>
      <c r="N9">
        <f t="shared" si="4"/>
        <v>8.6385225156847739E-2</v>
      </c>
    </row>
    <row r="10" spans="1:14" x14ac:dyDescent="0.25">
      <c r="A10" t="s">
        <v>11</v>
      </c>
      <c r="B10">
        <v>2010</v>
      </c>
      <c r="C10">
        <v>1.02</v>
      </c>
      <c r="D10">
        <v>0.88</v>
      </c>
      <c r="E10">
        <v>1.17</v>
      </c>
      <c r="F10">
        <v>336</v>
      </c>
      <c r="G10">
        <v>2404</v>
      </c>
      <c r="H10">
        <v>335</v>
      </c>
      <c r="I10">
        <v>2433</v>
      </c>
      <c r="J10">
        <f t="shared" si="0"/>
        <v>-1.0940678064187696E-2</v>
      </c>
      <c r="K10">
        <f t="shared" si="1"/>
        <v>0.99984487305444958</v>
      </c>
      <c r="L10">
        <f t="shared" si="2"/>
        <v>-1.0938980870217347E-2</v>
      </c>
      <c r="M10">
        <f t="shared" si="3"/>
        <v>4.0145044582189308E-2</v>
      </c>
      <c r="N10">
        <f t="shared" si="4"/>
        <v>4.0138817004044286E-2</v>
      </c>
    </row>
    <row r="11" spans="1:14" x14ac:dyDescent="0.25">
      <c r="A11" t="s">
        <v>7</v>
      </c>
      <c r="B11">
        <v>2010</v>
      </c>
      <c r="C11">
        <v>1.19</v>
      </c>
      <c r="D11">
        <v>0.97</v>
      </c>
      <c r="E11">
        <v>1.46</v>
      </c>
      <c r="F11">
        <v>182</v>
      </c>
      <c r="G11">
        <v>1752</v>
      </c>
      <c r="H11">
        <v>149</v>
      </c>
      <c r="I11">
        <v>1701</v>
      </c>
      <c r="J11">
        <f t="shared" si="0"/>
        <v>-9.6106799515711591E-2</v>
      </c>
      <c r="K11">
        <f t="shared" si="1"/>
        <v>0.99978265594435989</v>
      </c>
      <c r="L11">
        <f t="shared" si="2"/>
        <v>-9.6085911274130256E-2</v>
      </c>
      <c r="M11">
        <f t="shared" si="3"/>
        <v>5.7629896719606728E-2</v>
      </c>
      <c r="N11">
        <f t="shared" si="4"/>
        <v>5.761737120412757E-2</v>
      </c>
    </row>
    <row r="12" spans="1:14" x14ac:dyDescent="0.25">
      <c r="A12" t="s">
        <v>8</v>
      </c>
      <c r="B12">
        <v>2010</v>
      </c>
      <c r="C12">
        <v>0.89</v>
      </c>
      <c r="D12">
        <v>0.56999999999999995</v>
      </c>
      <c r="E12">
        <v>1.38</v>
      </c>
      <c r="F12">
        <v>32</v>
      </c>
      <c r="G12">
        <v>282</v>
      </c>
      <c r="H12">
        <v>36</v>
      </c>
      <c r="I12">
        <v>281</v>
      </c>
      <c r="J12">
        <f t="shared" si="0"/>
        <v>6.4383323898315747E-2</v>
      </c>
      <c r="K12">
        <f t="shared" si="1"/>
        <v>0.99866250557289349</v>
      </c>
      <c r="L12">
        <f t="shared" si="2"/>
        <v>6.4297211561403153E-2</v>
      </c>
      <c r="M12">
        <f t="shared" si="3"/>
        <v>0.12461980174239691</v>
      </c>
      <c r="N12">
        <f t="shared" si="4"/>
        <v>0.12445312345205933</v>
      </c>
    </row>
    <row r="13" spans="1:14" x14ac:dyDescent="0.25">
      <c r="A13" t="s">
        <v>9</v>
      </c>
      <c r="B13">
        <v>2012</v>
      </c>
      <c r="C13">
        <v>1.01</v>
      </c>
      <c r="D13">
        <v>0.94</v>
      </c>
      <c r="E13">
        <v>1.1000000000000001</v>
      </c>
      <c r="F13">
        <v>1034</v>
      </c>
      <c r="G13">
        <v>6281</v>
      </c>
      <c r="H13">
        <v>1017</v>
      </c>
      <c r="I13">
        <v>6255</v>
      </c>
      <c r="J13">
        <f t="shared" si="0"/>
        <v>-5.4974203608663492E-3</v>
      </c>
      <c r="K13">
        <f t="shared" si="1"/>
        <v>0.99994016156377785</v>
      </c>
      <c r="L13">
        <f t="shared" si="2"/>
        <v>-5.4970914038286996E-3</v>
      </c>
      <c r="M13">
        <f t="shared" si="3"/>
        <v>2.2153791791973791E-2</v>
      </c>
      <c r="N13">
        <f t="shared" si="4"/>
        <v>2.2152466143716569E-2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2026-01-20T00:53:00Z</dcterms:modified>
</cp:coreProperties>
</file>