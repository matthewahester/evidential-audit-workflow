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Omega3\hu2019\"/>
    </mc:Choice>
  </mc:AlternateContent>
  <xr:revisionPtr revIDLastSave="0" documentId="13_ncr:1_{7F36FA2A-8AB6-4D4F-9CFB-C3D66B2EE74F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J3" i="1"/>
  <c r="K3" i="1" s="1"/>
  <c r="L3" i="1"/>
  <c r="M3" i="1" s="1"/>
  <c r="I4" i="1"/>
  <c r="J4" i="1"/>
  <c r="K4" i="1"/>
  <c r="L4" i="1"/>
  <c r="M4" i="1"/>
  <c r="I5" i="1"/>
  <c r="J5" i="1"/>
  <c r="K5" i="1" s="1"/>
  <c r="L5" i="1"/>
  <c r="M5" i="1" s="1"/>
  <c r="I6" i="1"/>
  <c r="J6" i="1"/>
  <c r="K6" i="1"/>
  <c r="L6" i="1"/>
  <c r="M6" i="1" s="1"/>
  <c r="I7" i="1"/>
  <c r="J7" i="1"/>
  <c r="K7" i="1"/>
  <c r="L7" i="1"/>
  <c r="M7" i="1" s="1"/>
  <c r="I8" i="1"/>
  <c r="J8" i="1"/>
  <c r="K8" i="1" s="1"/>
  <c r="L8" i="1"/>
  <c r="M8" i="1"/>
  <c r="I9" i="1"/>
  <c r="J9" i="1"/>
  <c r="K9" i="1" s="1"/>
  <c r="L9" i="1"/>
  <c r="M9" i="1" s="1"/>
  <c r="I10" i="1"/>
  <c r="K10" i="1" s="1"/>
  <c r="J10" i="1"/>
  <c r="L10" i="1"/>
  <c r="M10" i="1" s="1"/>
  <c r="I11" i="1"/>
  <c r="J11" i="1"/>
  <c r="K11" i="1" s="1"/>
  <c r="L11" i="1"/>
  <c r="M11" i="1" s="1"/>
  <c r="I12" i="1"/>
  <c r="J12" i="1"/>
  <c r="M12" i="1" s="1"/>
  <c r="L12" i="1"/>
  <c r="I13" i="1"/>
  <c r="K13" i="1" s="1"/>
  <c r="J13" i="1"/>
  <c r="L13" i="1"/>
  <c r="M13" i="1" s="1"/>
  <c r="M2" i="1"/>
  <c r="L2" i="1"/>
  <c r="K2" i="1"/>
  <c r="J2" i="1"/>
  <c r="I2" i="1"/>
  <c r="K12" i="1" l="1"/>
</calcChain>
</file>

<file path=xl/sharedStrings.xml><?xml version="1.0" encoding="utf-8"?>
<sst xmlns="http://schemas.openxmlformats.org/spreadsheetml/2006/main" count="25" uniqueCount="25">
  <si>
    <t>JEUS</t>
  </si>
  <si>
    <t>DOIT</t>
  </si>
  <si>
    <t>Alpha Omega</t>
  </si>
  <si>
    <t>OMEGA</t>
  </si>
  <si>
    <t>ORIGIN</t>
  </si>
  <si>
    <t>R&amp;P</t>
  </si>
  <si>
    <t>AREOS-2</t>
  </si>
  <si>
    <t>VITAL</t>
  </si>
  <si>
    <t>ASCEND</t>
  </si>
  <si>
    <t>GISSI-P</t>
  </si>
  <si>
    <t>GISSI-HF</t>
  </si>
  <si>
    <t>SU.FOLOM3</t>
  </si>
  <si>
    <t>Author</t>
  </si>
  <si>
    <t>RR</t>
  </si>
  <si>
    <t>lCI</t>
  </si>
  <si>
    <t>uCI</t>
  </si>
  <si>
    <t>events_treat</t>
  </si>
  <si>
    <t>n_treat</t>
  </si>
  <si>
    <t>events_control</t>
  </si>
  <si>
    <t>n_control</t>
  </si>
  <si>
    <t>ES</t>
  </si>
  <si>
    <t>J</t>
  </si>
  <si>
    <t>g</t>
  </si>
  <si>
    <t>se_es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</si>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</sst>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E6" sqref="E6"/>
    </sheetView>
  </sheetViews>
  <sheetFormatPr defaultRowHeight="15" x14ac:dyDescent="0.25"/>
  <cols>
    <col min="1" max="1" width="12.85546875" bestFit="1" customWidth="1"/>
    <col min="2" max="2" width="14.7109375" bestFit="1" customWidth="1"/>
    <col min="3" max="4" width="14.7109375" customWidth="1"/>
    <col min="5" max="5" width="9.85546875" bestFit="1" customWidth="1"/>
    <col min="6" max="6" width="9.85546875" customWidth="1"/>
    <col min="7" max="7" width="9.85546875" bestFit="1" customWidth="1"/>
  </cols>
  <sheetData>
    <row r="1" spans="1:13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</row>
    <row r="2" spans="1:13" x14ac:dyDescent="0.25">
      <c r="A2" t="s">
        <v>9</v>
      </c>
      <c r="B2">
        <v>0.96</v>
      </c>
      <c r="C2">
        <v>0.8</v>
      </c>
      <c r="D2">
        <v>1.1399999999999999</v>
      </c>
      <c r="E2">
        <v>223</v>
      </c>
      <c r="F2">
        <v>5666</v>
      </c>
      <c r="G2">
        <v>233</v>
      </c>
      <c r="H2">
        <v>5658</v>
      </c>
      <c r="I2">
        <f>-LN(B2)/1.81</f>
        <v>2.2553588132737661E-2</v>
      </c>
      <c r="J2">
        <f>1-3/(4*(H2+F2-2)-1)</f>
        <v>0.99993375582396715</v>
      </c>
      <c r="K2">
        <f>J2*I2</f>
        <v>2.2552094088875225E-2</v>
      </c>
      <c r="L2">
        <f>(LN(D2)-LN(C2))/2/1.96/1.81</f>
        <v>4.9917100817540548E-2</v>
      </c>
      <c r="M2">
        <f>L2*J2</f>
        <v>4.9913794100326939E-2</v>
      </c>
    </row>
    <row r="3" spans="1:13" x14ac:dyDescent="0.25">
      <c r="A3" t="s">
        <v>0</v>
      </c>
      <c r="B3">
        <v>0.76</v>
      </c>
      <c r="C3">
        <v>0.56000000000000005</v>
      </c>
      <c r="D3">
        <v>1.04</v>
      </c>
      <c r="E3">
        <v>71</v>
      </c>
      <c r="F3">
        <v>9326</v>
      </c>
      <c r="G3">
        <v>93</v>
      </c>
      <c r="H3">
        <v>9319</v>
      </c>
      <c r="I3">
        <f t="shared" ref="I3:I13" si="0">-LN(B3)/1.81</f>
        <v>0.15162256668605542</v>
      </c>
      <c r="J3">
        <f t="shared" ref="J3:J13" si="1">1-3/(4*(H3+F3-2)-1)</f>
        <v>0.99995976988373492</v>
      </c>
      <c r="K3">
        <f t="shared" ref="K3:K13" si="2">J3*I3</f>
        <v>0.15161646689256922</v>
      </c>
      <c r="L3">
        <f t="shared" ref="L3:L13" si="3">(LN(D3)-LN(C3))/2/1.96/1.81</f>
        <v>8.7247605198757391E-2</v>
      </c>
      <c r="M3">
        <f t="shared" ref="M3:M13" si="4">L3*J3</f>
        <v>8.7244095217456394E-2</v>
      </c>
    </row>
    <row r="4" spans="1:13" x14ac:dyDescent="0.25">
      <c r="A4" t="s">
        <v>10</v>
      </c>
      <c r="B4">
        <v>0.83</v>
      </c>
      <c r="C4">
        <v>0.64</v>
      </c>
      <c r="D4">
        <v>1.06</v>
      </c>
      <c r="E4">
        <v>107</v>
      </c>
      <c r="F4">
        <v>3494</v>
      </c>
      <c r="G4">
        <v>129</v>
      </c>
      <c r="H4">
        <v>3481</v>
      </c>
      <c r="I4">
        <f t="shared" si="0"/>
        <v>0.1029445183378417</v>
      </c>
      <c r="J4">
        <f t="shared" si="1"/>
        <v>0.99989243842099607</v>
      </c>
      <c r="K4">
        <f t="shared" si="2"/>
        <v>0.10293344546289948</v>
      </c>
      <c r="L4">
        <f t="shared" si="3"/>
        <v>7.1112302789547194E-2</v>
      </c>
      <c r="M4">
        <f t="shared" si="4"/>
        <v>7.1104653837972542E-2</v>
      </c>
    </row>
    <row r="5" spans="1:13" x14ac:dyDescent="0.25">
      <c r="A5" t="s">
        <v>1</v>
      </c>
      <c r="B5">
        <v>1.22</v>
      </c>
      <c r="C5">
        <v>0.51</v>
      </c>
      <c r="D5">
        <v>2.89</v>
      </c>
      <c r="E5">
        <v>11</v>
      </c>
      <c r="F5">
        <v>282</v>
      </c>
      <c r="G5">
        <v>9</v>
      </c>
      <c r="H5">
        <v>281</v>
      </c>
      <c r="I5">
        <f t="shared" si="0"/>
        <v>-0.10986235289788131</v>
      </c>
      <c r="J5">
        <f t="shared" si="1"/>
        <v>0.99866250557289349</v>
      </c>
      <c r="K5">
        <f t="shared" si="2"/>
        <v>-0.10971541261313159</v>
      </c>
      <c r="L5">
        <f t="shared" si="3"/>
        <v>0.24447528686832032</v>
      </c>
      <c r="M5">
        <f t="shared" si="4"/>
        <v>0.24414830253456868</v>
      </c>
    </row>
    <row r="6" spans="1:13" x14ac:dyDescent="0.25">
      <c r="A6" t="s">
        <v>11</v>
      </c>
      <c r="B6">
        <v>1</v>
      </c>
      <c r="C6">
        <v>0.61</v>
      </c>
      <c r="D6">
        <v>1.62</v>
      </c>
      <c r="E6">
        <v>32</v>
      </c>
      <c r="F6">
        <v>1253</v>
      </c>
      <c r="G6">
        <v>32</v>
      </c>
      <c r="H6">
        <v>1248</v>
      </c>
      <c r="I6">
        <f t="shared" si="0"/>
        <v>0</v>
      </c>
      <c r="J6">
        <f t="shared" si="1"/>
        <v>0.99969984992496252</v>
      </c>
      <c r="K6">
        <f t="shared" si="2"/>
        <v>0</v>
      </c>
      <c r="L6">
        <f t="shared" si="3"/>
        <v>0.13765961087200826</v>
      </c>
      <c r="M6">
        <f t="shared" si="4"/>
        <v>0.13761829232947539</v>
      </c>
    </row>
    <row r="7" spans="1:13" x14ac:dyDescent="0.25">
      <c r="A7" t="s">
        <v>2</v>
      </c>
      <c r="B7">
        <v>0.88</v>
      </c>
      <c r="C7">
        <v>0.67</v>
      </c>
      <c r="D7">
        <v>1.17</v>
      </c>
      <c r="E7">
        <v>89</v>
      </c>
      <c r="F7">
        <v>2404</v>
      </c>
      <c r="G7">
        <v>102</v>
      </c>
      <c r="H7">
        <v>2433</v>
      </c>
      <c r="I7">
        <f t="shared" si="0"/>
        <v>7.0626172104908777E-2</v>
      </c>
      <c r="J7">
        <f t="shared" si="1"/>
        <v>0.99984487305444958</v>
      </c>
      <c r="K7">
        <f t="shared" si="2"/>
        <v>7.0615216082554222E-2</v>
      </c>
      <c r="L7">
        <f t="shared" si="3"/>
        <v>7.8571613965327247E-2</v>
      </c>
      <c r="M7">
        <f t="shared" si="4"/>
        <v>7.8559425390845844E-2</v>
      </c>
    </row>
    <row r="8" spans="1:13" x14ac:dyDescent="0.25">
      <c r="A8" t="s">
        <v>3</v>
      </c>
      <c r="B8">
        <v>1.1000000000000001</v>
      </c>
      <c r="C8">
        <v>0.81</v>
      </c>
      <c r="D8">
        <v>1.48</v>
      </c>
      <c r="E8">
        <v>87</v>
      </c>
      <c r="F8">
        <v>1919</v>
      </c>
      <c r="G8">
        <v>78</v>
      </c>
      <c r="H8">
        <v>1885</v>
      </c>
      <c r="I8">
        <f t="shared" si="0"/>
        <v>-5.2657557902941951E-2</v>
      </c>
      <c r="J8">
        <f t="shared" si="1"/>
        <v>0.99980272243045964</v>
      </c>
      <c r="K8">
        <f t="shared" si="2"/>
        <v>-5.2647169747900929E-2</v>
      </c>
      <c r="L8">
        <f t="shared" si="3"/>
        <v>8.495364740834313E-2</v>
      </c>
      <c r="M8">
        <f t="shared" si="4"/>
        <v>8.4936887959258828E-2</v>
      </c>
    </row>
    <row r="9" spans="1:13" x14ac:dyDescent="0.25">
      <c r="A9" t="s">
        <v>4</v>
      </c>
      <c r="B9">
        <v>1.08</v>
      </c>
      <c r="C9">
        <v>0.93</v>
      </c>
      <c r="D9">
        <v>1.26</v>
      </c>
      <c r="E9">
        <v>344</v>
      </c>
      <c r="F9">
        <v>6281</v>
      </c>
      <c r="G9">
        <v>316</v>
      </c>
      <c r="H9">
        <v>6255</v>
      </c>
      <c r="I9">
        <f t="shared" si="0"/>
        <v>-4.2519912229905192E-2</v>
      </c>
      <c r="J9">
        <f t="shared" si="1"/>
        <v>0.99994016156377785</v>
      </c>
      <c r="K9">
        <f t="shared" si="2"/>
        <v>-4.251736790484905E-2</v>
      </c>
      <c r="L9">
        <f t="shared" si="3"/>
        <v>4.280110691710199E-2</v>
      </c>
      <c r="M9">
        <f t="shared" si="4"/>
        <v>4.2798545765795497E-2</v>
      </c>
    </row>
    <row r="10" spans="1:13" x14ac:dyDescent="0.25">
      <c r="A10" t="s">
        <v>5</v>
      </c>
      <c r="B10">
        <v>0.92</v>
      </c>
      <c r="C10">
        <v>0.77</v>
      </c>
      <c r="D10">
        <v>1.1000000000000001</v>
      </c>
      <c r="E10">
        <v>228</v>
      </c>
      <c r="F10">
        <v>6239</v>
      </c>
      <c r="G10">
        <v>248</v>
      </c>
      <c r="H10">
        <v>6266</v>
      </c>
      <c r="I10">
        <f t="shared" si="0"/>
        <v>4.6067187259144202E-2</v>
      </c>
      <c r="J10">
        <f t="shared" si="1"/>
        <v>0.99994001319709669</v>
      </c>
      <c r="K10">
        <f t="shared" si="2"/>
        <v>4.6064423835861776E-2</v>
      </c>
      <c r="L10">
        <f t="shared" si="3"/>
        <v>5.0269892876695858E-2</v>
      </c>
      <c r="M10">
        <f t="shared" si="4"/>
        <v>5.0266877346539895E-2</v>
      </c>
    </row>
    <row r="11" spans="1:13" x14ac:dyDescent="0.25">
      <c r="A11" t="s">
        <v>6</v>
      </c>
      <c r="B11">
        <v>0.72</v>
      </c>
      <c r="C11">
        <v>0.45</v>
      </c>
      <c r="D11">
        <v>1.1499999999999999</v>
      </c>
      <c r="E11">
        <v>30</v>
      </c>
      <c r="F11">
        <v>2147</v>
      </c>
      <c r="G11">
        <v>40</v>
      </c>
      <c r="H11">
        <v>2056</v>
      </c>
      <c r="I11">
        <f t="shared" si="0"/>
        <v>0.18149395965305862</v>
      </c>
      <c r="J11">
        <f t="shared" si="1"/>
        <v>0.99982146045349041</v>
      </c>
      <c r="K11">
        <f t="shared" si="2"/>
        <v>0.18146155580380793</v>
      </c>
      <c r="L11">
        <f t="shared" si="3"/>
        <v>0.13224005505030587</v>
      </c>
      <c r="M11">
        <f t="shared" si="4"/>
        <v>0.13221644497084678</v>
      </c>
    </row>
    <row r="12" spans="1:13" x14ac:dyDescent="0.25">
      <c r="A12" t="s">
        <v>7</v>
      </c>
      <c r="B12">
        <v>0.73</v>
      </c>
      <c r="C12">
        <v>0.59</v>
      </c>
      <c r="D12">
        <v>0.9</v>
      </c>
      <c r="E12">
        <v>145</v>
      </c>
      <c r="F12">
        <v>12933</v>
      </c>
      <c r="G12">
        <v>200</v>
      </c>
      <c r="H12">
        <v>12938</v>
      </c>
      <c r="I12">
        <f t="shared" si="0"/>
        <v>0.17387333969044211</v>
      </c>
      <c r="J12">
        <f t="shared" si="1"/>
        <v>0.99997100748973178</v>
      </c>
      <c r="K12">
        <f t="shared" si="2"/>
        <v>0.17386829866585576</v>
      </c>
      <c r="L12">
        <f t="shared" si="3"/>
        <v>5.9515197094450571E-2</v>
      </c>
      <c r="M12">
        <f t="shared" si="4"/>
        <v>5.9513471599487694E-2</v>
      </c>
    </row>
    <row r="13" spans="1:13" x14ac:dyDescent="0.25">
      <c r="A13" t="s">
        <v>8</v>
      </c>
      <c r="B13">
        <v>0.93</v>
      </c>
      <c r="C13">
        <v>0.76</v>
      </c>
      <c r="D13">
        <v>1.1299999999999999</v>
      </c>
      <c r="E13">
        <v>186</v>
      </c>
      <c r="F13">
        <v>7740</v>
      </c>
      <c r="G13">
        <v>200</v>
      </c>
      <c r="H13">
        <v>7740</v>
      </c>
      <c r="I13">
        <f t="shared" si="0"/>
        <v>4.00943054336107E-2</v>
      </c>
      <c r="J13">
        <f t="shared" si="1"/>
        <v>0.99995154334447833</v>
      </c>
      <c r="K13">
        <f t="shared" si="2"/>
        <v>4.0092362597663925E-2</v>
      </c>
      <c r="L13">
        <f t="shared" si="3"/>
        <v>5.5904622621773793E-2</v>
      </c>
      <c r="M13">
        <f t="shared" si="4"/>
        <v>5.5901913670733341E-2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2026-01-14T02:55:54Z</dcterms:modified>
</cp:coreProperties>
</file>