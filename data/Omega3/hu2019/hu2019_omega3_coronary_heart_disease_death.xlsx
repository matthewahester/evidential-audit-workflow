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hu2019\"/>
    </mc:Choice>
  </mc:AlternateContent>
  <xr:revisionPtr revIDLastSave="0" documentId="13_ncr:1_{EB34F437-C808-48E6-81CB-288F3E1F0AE8}" xr6:coauthVersionLast="47" xr6:coauthVersionMax="47" xr10:uidLastSave="{00000000-0000-0000-0000-000000000000}"/>
  <bookViews>
    <workbookView xWindow="39900" yWindow="2940" windowWidth="273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K3" i="1" s="1"/>
  <c r="L3" i="1"/>
  <c r="M3" i="1" s="1"/>
  <c r="I4" i="1"/>
  <c r="J4" i="1"/>
  <c r="K4" i="1" s="1"/>
  <c r="L4" i="1"/>
  <c r="M4" i="1" s="1"/>
  <c r="I5" i="1"/>
  <c r="J5" i="1"/>
  <c r="K5" i="1" s="1"/>
  <c r="L5" i="1"/>
  <c r="M5" i="1" s="1"/>
  <c r="I6" i="1"/>
  <c r="K6" i="1" s="1"/>
  <c r="J6" i="1"/>
  <c r="L6" i="1"/>
  <c r="M6" i="1" s="1"/>
  <c r="I7" i="1"/>
  <c r="J7" i="1"/>
  <c r="K7" i="1"/>
  <c r="L7" i="1"/>
  <c r="M7" i="1" s="1"/>
  <c r="I8" i="1"/>
  <c r="K8" i="1" s="1"/>
  <c r="J8" i="1"/>
  <c r="L8" i="1"/>
  <c r="M8" i="1" s="1"/>
  <c r="I9" i="1"/>
  <c r="J9" i="1"/>
  <c r="K9" i="1" s="1"/>
  <c r="L9" i="1"/>
  <c r="M9" i="1" s="1"/>
  <c r="I10" i="1"/>
  <c r="J10" i="1"/>
  <c r="K10" i="1" s="1"/>
  <c r="L10" i="1"/>
  <c r="I11" i="1"/>
  <c r="J11" i="1"/>
  <c r="K11" i="1"/>
  <c r="L11" i="1"/>
  <c r="M11" i="1"/>
  <c r="I12" i="1"/>
  <c r="J12" i="1"/>
  <c r="K12" i="1"/>
  <c r="L12" i="1"/>
  <c r="M12" i="1"/>
  <c r="I13" i="1"/>
  <c r="J13" i="1"/>
  <c r="K13" i="1" s="1"/>
  <c r="L13" i="1"/>
  <c r="M13" i="1"/>
  <c r="L2" i="1"/>
  <c r="M2" i="1" s="1"/>
  <c r="J2" i="1"/>
  <c r="K2" i="1" s="1"/>
  <c r="I2" i="1"/>
  <c r="M10" i="1" l="1"/>
</calcChain>
</file>

<file path=xl/sharedStrings.xml><?xml version="1.0" encoding="utf-8"?>
<sst xmlns="http://schemas.openxmlformats.org/spreadsheetml/2006/main" count="25" uniqueCount="25">
  <si>
    <t>JELIS</t>
  </si>
  <si>
    <t>OMEGA</t>
  </si>
  <si>
    <t>R&amp;P</t>
  </si>
  <si>
    <t>AREDS-2</t>
  </si>
  <si>
    <t>ASCEND</t>
  </si>
  <si>
    <t>GISSI-P</t>
  </si>
  <si>
    <t>GISSI-HF</t>
  </si>
  <si>
    <t>□Off</t>
  </si>
  <si>
    <t>SU.FOL.OM3</t>
  </si>
  <si>
    <t>Alpha Omega</t>
  </si>
  <si>
    <t>ORIGIN</t>
  </si>
  <si>
    <t>VITAL</t>
  </si>
  <si>
    <t>Author</t>
  </si>
  <si>
    <t>RR</t>
  </si>
  <si>
    <t>lCI</t>
  </si>
  <si>
    <t>uCI</t>
  </si>
  <si>
    <t>events_treat</t>
  </si>
  <si>
    <t>n_treat</t>
  </si>
  <si>
    <t>events_control</t>
  </si>
  <si>
    <t>n_control</t>
  </si>
  <si>
    <t>ES</t>
  </si>
  <si>
    <t>J</t>
  </si>
  <si>
    <t>g</t>
  </si>
  <si>
    <t>se_es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</si>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</sst>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topLeftCell="C1" workbookViewId="0">
      <selection activeCell="I21" sqref="I21"/>
    </sheetView>
  </sheetViews>
  <sheetFormatPr defaultRowHeight="15" x14ac:dyDescent="0.25"/>
  <cols>
    <col min="1" max="1" width="12.85546875" bestFit="1" customWidth="1"/>
    <col min="2" max="2" width="14.7109375" bestFit="1" customWidth="1"/>
    <col min="3" max="4" width="14.7109375" customWidth="1"/>
    <col min="5" max="5" width="9" bestFit="1" customWidth="1"/>
    <col min="6" max="6" width="9" customWidth="1"/>
    <col min="7" max="7" width="8.85546875" bestFit="1" customWidth="1"/>
  </cols>
  <sheetData>
    <row r="1" spans="1:13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 x14ac:dyDescent="0.25">
      <c r="A2" t="s">
        <v>5</v>
      </c>
      <c r="B2">
        <v>0.81</v>
      </c>
      <c r="C2">
        <v>0.68</v>
      </c>
      <c r="D2">
        <v>0.96</v>
      </c>
      <c r="E2">
        <v>214</v>
      </c>
      <c r="F2">
        <v>5666</v>
      </c>
      <c r="G2">
        <v>265</v>
      </c>
      <c r="H2">
        <v>5658</v>
      </c>
      <c r="I2">
        <f>-LN(B2)/1.81</f>
        <v>0.11642045929041576</v>
      </c>
      <c r="J2">
        <f>1-3/(4*(H2+F2-2)-1)</f>
        <v>0.99993375582396715</v>
      </c>
      <c r="K2">
        <f>J2*I2</f>
        <v>0.1164127471130167</v>
      </c>
      <c r="L2">
        <f>(LN(D2)-LN(C2))/2/1.96/1.81</f>
        <v>4.8601940226030198E-2</v>
      </c>
      <c r="M2">
        <f>L2*J2</f>
        <v>4.8598720630546328E-2</v>
      </c>
    </row>
    <row r="3" spans="1:13" x14ac:dyDescent="0.25">
      <c r="A3" t="s">
        <v>0</v>
      </c>
      <c r="B3">
        <v>0.93</v>
      </c>
      <c r="C3">
        <v>0.56000000000000005</v>
      </c>
      <c r="D3">
        <v>1.55</v>
      </c>
      <c r="E3">
        <v>29</v>
      </c>
      <c r="F3">
        <v>9326</v>
      </c>
      <c r="G3">
        <v>31</v>
      </c>
      <c r="H3">
        <v>9319</v>
      </c>
      <c r="I3">
        <f t="shared" ref="I3:I13" si="0">-LN(B3)/1.81</f>
        <v>4.00943054336107E-2</v>
      </c>
      <c r="J3">
        <f t="shared" ref="J3:J13" si="1">1-3/(4*(H3+F3-2)-1)</f>
        <v>0.99995976988373492</v>
      </c>
      <c r="K3">
        <f t="shared" ref="K3:K13" si="2">J3*I3</f>
        <v>4.0092692435041537E-2</v>
      </c>
      <c r="L3">
        <f t="shared" ref="L3:L13" si="3">(LN(D3)-LN(C3))/2/1.96/1.81</f>
        <v>0.14348762912731106</v>
      </c>
      <c r="M3">
        <f t="shared" ref="M3:M13" si="4">L3*J3</f>
        <v>0.14348185660330867</v>
      </c>
    </row>
    <row r="4" spans="1:13" x14ac:dyDescent="0.25">
      <c r="A4" t="s">
        <v>6</v>
      </c>
      <c r="B4">
        <v>0.92</v>
      </c>
      <c r="C4">
        <v>0.82</v>
      </c>
      <c r="D4">
        <v>1.03</v>
      </c>
      <c r="E4">
        <v>512</v>
      </c>
      <c r="F4">
        <v>3494</v>
      </c>
      <c r="G4">
        <v>555</v>
      </c>
      <c r="H4">
        <v>3481</v>
      </c>
      <c r="I4">
        <f t="shared" si="0"/>
        <v>4.6067187259144202E-2</v>
      </c>
      <c r="J4">
        <f t="shared" si="1"/>
        <v>0.99989243842099607</v>
      </c>
      <c r="K4">
        <f t="shared" si="2"/>
        <v>4.6062232199742335E-2</v>
      </c>
      <c r="L4">
        <f t="shared" si="3"/>
        <v>3.2135773616724372E-2</v>
      </c>
      <c r="M4">
        <f t="shared" si="4"/>
        <v>3.2132317042171642E-2</v>
      </c>
    </row>
    <row r="5" spans="1:13" x14ac:dyDescent="0.25">
      <c r="A5" t="s">
        <v>7</v>
      </c>
      <c r="B5">
        <v>0.37</v>
      </c>
      <c r="C5">
        <v>0.1</v>
      </c>
      <c r="D5">
        <v>1.39</v>
      </c>
      <c r="E5">
        <v>3</v>
      </c>
      <c r="F5">
        <v>282</v>
      </c>
      <c r="G5">
        <v>8</v>
      </c>
      <c r="H5">
        <v>281</v>
      </c>
      <c r="I5">
        <f t="shared" si="0"/>
        <v>0.54931064825628007</v>
      </c>
      <c r="J5">
        <f t="shared" si="1"/>
        <v>0.99866250557289349</v>
      </c>
      <c r="K5">
        <f t="shared" si="2"/>
        <v>0.54857594832548706</v>
      </c>
      <c r="L5">
        <f t="shared" si="3"/>
        <v>0.37093934492849329</v>
      </c>
      <c r="M5">
        <f t="shared" si="4"/>
        <v>0.37044321562185689</v>
      </c>
    </row>
    <row r="6" spans="1:13" x14ac:dyDescent="0.25">
      <c r="A6" t="s">
        <v>8</v>
      </c>
      <c r="B6">
        <v>0.38</v>
      </c>
      <c r="C6">
        <v>0.14000000000000001</v>
      </c>
      <c r="D6">
        <v>1.07</v>
      </c>
      <c r="E6">
        <v>51</v>
      </c>
      <c r="F6">
        <v>253</v>
      </c>
      <c r="G6">
        <v>13</v>
      </c>
      <c r="H6">
        <v>1248</v>
      </c>
      <c r="I6">
        <f t="shared" si="0"/>
        <v>0.5345768100893401</v>
      </c>
      <c r="J6">
        <f t="shared" si="1"/>
        <v>0.99949958298582153</v>
      </c>
      <c r="K6">
        <f t="shared" si="2"/>
        <v>0.53430929875818611</v>
      </c>
      <c r="L6">
        <f t="shared" si="3"/>
        <v>0.28664047593396208</v>
      </c>
      <c r="M6">
        <f t="shared" si="4"/>
        <v>0.28649703616285249</v>
      </c>
    </row>
    <row r="7" spans="1:13" x14ac:dyDescent="0.25">
      <c r="A7" t="s">
        <v>9</v>
      </c>
      <c r="B7">
        <v>0.96</v>
      </c>
      <c r="C7">
        <v>0.69</v>
      </c>
      <c r="D7">
        <v>1.33</v>
      </c>
      <c r="E7">
        <v>67</v>
      </c>
      <c r="F7">
        <v>2404</v>
      </c>
      <c r="G7">
        <v>71</v>
      </c>
      <c r="H7">
        <v>2433</v>
      </c>
      <c r="I7">
        <f t="shared" si="0"/>
        <v>2.2553588132737661E-2</v>
      </c>
      <c r="J7">
        <f t="shared" si="1"/>
        <v>0.99984487305444958</v>
      </c>
      <c r="K7">
        <f t="shared" si="2"/>
        <v>2.2550089463499425E-2</v>
      </c>
      <c r="L7">
        <f t="shared" si="3"/>
        <v>9.2491067711198346E-2</v>
      </c>
      <c r="M7">
        <f t="shared" si="4"/>
        <v>9.2476719854373612E-2</v>
      </c>
    </row>
    <row r="8" spans="1:13" x14ac:dyDescent="0.25">
      <c r="A8" t="s">
        <v>1</v>
      </c>
      <c r="B8">
        <v>0.95</v>
      </c>
      <c r="C8">
        <v>0.56999999999999995</v>
      </c>
      <c r="D8">
        <v>1.59</v>
      </c>
      <c r="E8">
        <v>28</v>
      </c>
      <c r="F8">
        <v>1919</v>
      </c>
      <c r="G8">
        <v>29</v>
      </c>
      <c r="H8">
        <v>1885</v>
      </c>
      <c r="I8">
        <f t="shared" si="0"/>
        <v>2.8338836678204738E-2</v>
      </c>
      <c r="J8">
        <f t="shared" si="1"/>
        <v>0.99980272243045964</v>
      </c>
      <c r="K8">
        <f t="shared" si="2"/>
        <v>2.8333246061381261E-2</v>
      </c>
      <c r="L8">
        <f t="shared" si="3"/>
        <v>0.14458407576751628</v>
      </c>
      <c r="M8">
        <f t="shared" si="4"/>
        <v>0.14455555257245462</v>
      </c>
    </row>
    <row r="9" spans="1:13" x14ac:dyDescent="0.25">
      <c r="A9" t="s">
        <v>10</v>
      </c>
      <c r="B9">
        <v>1.07</v>
      </c>
      <c r="C9">
        <v>0.92</v>
      </c>
      <c r="D9">
        <v>1.25</v>
      </c>
      <c r="E9">
        <v>319</v>
      </c>
      <c r="F9">
        <v>6281</v>
      </c>
      <c r="G9">
        <v>296</v>
      </c>
      <c r="H9">
        <v>6255</v>
      </c>
      <c r="I9">
        <f t="shared" si="0"/>
        <v>-3.7380468770063457E-2</v>
      </c>
      <c r="J9">
        <f t="shared" si="1"/>
        <v>0.99994016156377785</v>
      </c>
      <c r="K9">
        <f t="shared" si="2"/>
        <v>-3.7378231981267003E-2</v>
      </c>
      <c r="L9">
        <f t="shared" si="3"/>
        <v>4.3201764608927273E-2</v>
      </c>
      <c r="M9">
        <f t="shared" si="4"/>
        <v>4.3199179482891037E-2</v>
      </c>
    </row>
    <row r="10" spans="1:13" x14ac:dyDescent="0.25">
      <c r="A10" t="s">
        <v>2</v>
      </c>
      <c r="B10">
        <v>1.08</v>
      </c>
      <c r="C10">
        <v>0.79</v>
      </c>
      <c r="D10">
        <v>1.48</v>
      </c>
      <c r="E10">
        <v>82</v>
      </c>
      <c r="F10">
        <v>6239</v>
      </c>
      <c r="G10">
        <v>76</v>
      </c>
      <c r="H10">
        <v>6266</v>
      </c>
      <c r="I10">
        <f t="shared" si="0"/>
        <v>-4.2519912229905192E-2</v>
      </c>
      <c r="J10">
        <f t="shared" si="1"/>
        <v>0.99994001319709669</v>
      </c>
      <c r="K10">
        <f t="shared" si="2"/>
        <v>-4.2517361596310789E-2</v>
      </c>
      <c r="L10">
        <f t="shared" si="3"/>
        <v>8.8477339792689916E-2</v>
      </c>
      <c r="M10">
        <f t="shared" si="4"/>
        <v>8.8472032319946367E-2</v>
      </c>
    </row>
    <row r="11" spans="1:13" x14ac:dyDescent="0.25">
      <c r="A11" t="s">
        <v>3</v>
      </c>
      <c r="B11">
        <v>0.96</v>
      </c>
      <c r="C11">
        <v>0.38</v>
      </c>
      <c r="D11">
        <v>2.41</v>
      </c>
      <c r="E11">
        <v>9</v>
      </c>
      <c r="F11">
        <v>2147</v>
      </c>
      <c r="G11">
        <v>9</v>
      </c>
      <c r="H11">
        <v>2056</v>
      </c>
      <c r="I11">
        <f t="shared" si="0"/>
        <v>2.2553588132737661E-2</v>
      </c>
      <c r="J11">
        <f t="shared" si="1"/>
        <v>0.99982146045349041</v>
      </c>
      <c r="K11">
        <f t="shared" si="2"/>
        <v>2.2549561425340276E-2</v>
      </c>
      <c r="L11">
        <f t="shared" si="3"/>
        <v>0.26034654044484568</v>
      </c>
      <c r="M11">
        <f t="shared" si="4"/>
        <v>0.26030005829157932</v>
      </c>
    </row>
    <row r="12" spans="1:13" x14ac:dyDescent="0.25">
      <c r="A12" t="s">
        <v>11</v>
      </c>
      <c r="B12">
        <v>0.76</v>
      </c>
      <c r="C12">
        <v>0.49</v>
      </c>
      <c r="D12">
        <v>1.1599999999999999</v>
      </c>
      <c r="E12">
        <v>37</v>
      </c>
      <c r="F12">
        <v>12933</v>
      </c>
      <c r="G12">
        <v>49</v>
      </c>
      <c r="H12">
        <v>12938</v>
      </c>
      <c r="I12">
        <f t="shared" si="0"/>
        <v>0.15162256668605542</v>
      </c>
      <c r="J12">
        <f t="shared" si="1"/>
        <v>0.99997100748973178</v>
      </c>
      <c r="K12">
        <f t="shared" si="2"/>
        <v>0.15161817076723388</v>
      </c>
      <c r="L12">
        <f t="shared" si="3"/>
        <v>0.12145815382170172</v>
      </c>
      <c r="M12">
        <f t="shared" si="4"/>
        <v>0.12145463244492989</v>
      </c>
    </row>
    <row r="13" spans="1:13" x14ac:dyDescent="0.25">
      <c r="A13" t="s">
        <v>4</v>
      </c>
      <c r="B13">
        <v>0.79</v>
      </c>
      <c r="C13">
        <v>0.61</v>
      </c>
      <c r="D13">
        <v>1.02</v>
      </c>
      <c r="E13">
        <v>100</v>
      </c>
      <c r="F13">
        <v>7740</v>
      </c>
      <c r="G13">
        <v>127</v>
      </c>
      <c r="H13">
        <v>7740</v>
      </c>
      <c r="I13">
        <f t="shared" si="0"/>
        <v>0.13023333343705515</v>
      </c>
      <c r="J13">
        <f t="shared" si="1"/>
        <v>0.99995154334447833</v>
      </c>
      <c r="K13">
        <f t="shared" si="2"/>
        <v>0.13022702276527934</v>
      </c>
      <c r="L13">
        <f t="shared" si="3"/>
        <v>7.2457287900405898E-2</v>
      </c>
      <c r="M13">
        <f t="shared" si="4"/>
        <v>7.2453776862566072E-2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2026-01-14T14:52:33Z</dcterms:modified>
</cp:coreProperties>
</file>