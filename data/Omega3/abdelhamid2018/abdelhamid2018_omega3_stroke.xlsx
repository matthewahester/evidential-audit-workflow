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abdelhamid2018\"/>
    </mc:Choice>
  </mc:AlternateContent>
  <xr:revisionPtr revIDLastSave="0" documentId="13_ncr:1_{FCB79B28-4B68-4A1C-B31D-4CAD7812EC24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L6" i="1" s="1"/>
  <c r="J7" i="1"/>
  <c r="J8" i="1"/>
  <c r="J9" i="1"/>
  <c r="J10" i="1"/>
  <c r="L10" i="1" s="1"/>
  <c r="J11" i="1"/>
  <c r="L11" i="1" s="1"/>
  <c r="J12" i="1"/>
  <c r="J13" i="1"/>
  <c r="J14" i="1"/>
  <c r="L14" i="1" s="1"/>
  <c r="J15" i="1"/>
  <c r="J16" i="1"/>
  <c r="J17" i="1"/>
  <c r="J18" i="1"/>
  <c r="L18" i="1" s="1"/>
  <c r="J19" i="1"/>
  <c r="J20" i="1"/>
  <c r="J21" i="1"/>
  <c r="J22" i="1"/>
  <c r="J23" i="1"/>
  <c r="J24" i="1"/>
  <c r="J25" i="1"/>
  <c r="J26" i="1"/>
  <c r="L26" i="1" s="1"/>
  <c r="J27" i="1"/>
  <c r="J28" i="1"/>
  <c r="J29" i="1"/>
  <c r="J30" i="1"/>
  <c r="J31" i="1"/>
  <c r="J32" i="1"/>
  <c r="J2" i="1"/>
  <c r="K3" i="1"/>
  <c r="L3" i="1" s="1"/>
  <c r="M3" i="1"/>
  <c r="N3" i="1" s="1"/>
  <c r="K4" i="1"/>
  <c r="L4" i="1"/>
  <c r="M4" i="1"/>
  <c r="N4" i="1"/>
  <c r="K5" i="1"/>
  <c r="M5" i="1"/>
  <c r="N5" i="1" s="1"/>
  <c r="K6" i="1"/>
  <c r="M6" i="1"/>
  <c r="N6" i="1"/>
  <c r="K7" i="1"/>
  <c r="L7" i="1"/>
  <c r="M7" i="1"/>
  <c r="N7" i="1" s="1"/>
  <c r="K8" i="1"/>
  <c r="L8" i="1" s="1"/>
  <c r="M8" i="1"/>
  <c r="N8" i="1"/>
  <c r="K9" i="1"/>
  <c r="L9" i="1"/>
  <c r="M9" i="1"/>
  <c r="N9" i="1"/>
  <c r="K10" i="1"/>
  <c r="M10" i="1"/>
  <c r="N10" i="1" s="1"/>
  <c r="K11" i="1"/>
  <c r="M11" i="1"/>
  <c r="N11" i="1"/>
  <c r="K12" i="1"/>
  <c r="N12" i="1" s="1"/>
  <c r="L12" i="1"/>
  <c r="M12" i="1"/>
  <c r="L13" i="1"/>
  <c r="K13" i="1"/>
  <c r="M13" i="1"/>
  <c r="N13" i="1"/>
  <c r="K14" i="1"/>
  <c r="M14" i="1"/>
  <c r="N14" i="1"/>
  <c r="K15" i="1"/>
  <c r="N15" i="1" s="1"/>
  <c r="L15" i="1"/>
  <c r="M15" i="1"/>
  <c r="K16" i="1"/>
  <c r="L16" i="1"/>
  <c r="M16" i="1"/>
  <c r="N16" i="1"/>
  <c r="K17" i="1"/>
  <c r="M17" i="1"/>
  <c r="N17" i="1" s="1"/>
  <c r="K18" i="1"/>
  <c r="M18" i="1"/>
  <c r="N18" i="1"/>
  <c r="K19" i="1"/>
  <c r="L19" i="1"/>
  <c r="M19" i="1"/>
  <c r="N19" i="1" s="1"/>
  <c r="K20" i="1"/>
  <c r="L20" i="1" s="1"/>
  <c r="M20" i="1"/>
  <c r="N20" i="1"/>
  <c r="K21" i="1"/>
  <c r="L21" i="1"/>
  <c r="M21" i="1"/>
  <c r="N21" i="1"/>
  <c r="L22" i="1"/>
  <c r="K22" i="1"/>
  <c r="M22" i="1"/>
  <c r="N22" i="1" s="1"/>
  <c r="K23" i="1"/>
  <c r="L23" i="1"/>
  <c r="M23" i="1"/>
  <c r="N23" i="1"/>
  <c r="K24" i="1"/>
  <c r="N24" i="1" s="1"/>
  <c r="L24" i="1"/>
  <c r="M24" i="1"/>
  <c r="L25" i="1"/>
  <c r="K25" i="1"/>
  <c r="M25" i="1"/>
  <c r="N25" i="1"/>
  <c r="K26" i="1"/>
  <c r="M26" i="1"/>
  <c r="N26" i="1"/>
  <c r="K27" i="1"/>
  <c r="N27" i="1" s="1"/>
  <c r="L27" i="1"/>
  <c r="M27" i="1"/>
  <c r="K28" i="1"/>
  <c r="L28" i="1"/>
  <c r="M28" i="1"/>
  <c r="N28" i="1"/>
  <c r="K29" i="1"/>
  <c r="L29" i="1" s="1"/>
  <c r="M29" i="1"/>
  <c r="N29" i="1" s="1"/>
  <c r="K30" i="1"/>
  <c r="L30" i="1"/>
  <c r="M30" i="1"/>
  <c r="N30" i="1"/>
  <c r="K31" i="1"/>
  <c r="L31" i="1"/>
  <c r="M31" i="1"/>
  <c r="N31" i="1" s="1"/>
  <c r="K32" i="1"/>
  <c r="L32" i="1" s="1"/>
  <c r="M32" i="1"/>
  <c r="N32" i="1"/>
  <c r="M2" i="1"/>
  <c r="N2" i="1" s="1"/>
  <c r="K2" i="1"/>
  <c r="L2" i="1" s="1"/>
  <c r="L17" i="1" l="1"/>
  <c r="L5" i="1"/>
</calcChain>
</file>

<file path=xl/sharedStrings.xml><?xml version="1.0" encoding="utf-8"?>
<sst xmlns="http://schemas.openxmlformats.org/spreadsheetml/2006/main" count="45" uniqueCount="45">
  <si>
    <t>AFFORD</t>
  </si>
  <si>
    <t>AlphaOmega</t>
  </si>
  <si>
    <t>AREDS2</t>
  </si>
  <si>
    <t>ASCEND</t>
  </si>
  <si>
    <t>DART</t>
  </si>
  <si>
    <t>DART2</t>
  </si>
  <si>
    <t>Derosa</t>
  </si>
  <si>
    <t>Doi</t>
  </si>
  <si>
    <t>EPOCH</t>
  </si>
  <si>
    <t>FORWARD</t>
  </si>
  <si>
    <t>GISSI-HF</t>
  </si>
  <si>
    <t>GISSI-P</t>
  </si>
  <si>
    <t>HARP</t>
  </si>
  <si>
    <t>JELIS</t>
  </si>
  <si>
    <t>MAPT</t>
  </si>
  <si>
    <t>NAT2</t>
  </si>
  <si>
    <t>Nodari</t>
  </si>
  <si>
    <t>OFAMI</t>
  </si>
  <si>
    <t>OMEGA</t>
  </si>
  <si>
    <t>OPAL</t>
  </si>
  <si>
    <t>ORIGIN</t>
  </si>
  <si>
    <t>ORL</t>
  </si>
  <si>
    <t>REDUCE-IT</t>
  </si>
  <si>
    <t>SCIMO</t>
  </si>
  <si>
    <t>SHOT</t>
  </si>
  <si>
    <t>SU.FOL.OM3</t>
  </si>
  <si>
    <t>VITAL</t>
  </si>
  <si>
    <t>Özaydin</t>
  </si>
  <si>
    <t>DO IT</t>
  </si>
  <si>
    <t>Risk &amp; Prevention</t>
  </si>
  <si>
    <t>THIS DIET</t>
  </si>
  <si>
    <t>Study</t>
  </si>
  <si>
    <t>Year</t>
  </si>
  <si>
    <t>events_treat</t>
  </si>
  <si>
    <t>n_treat</t>
  </si>
  <si>
    <t>events_ctrl</t>
  </si>
  <si>
    <t>n_ctrl</t>
  </si>
  <si>
    <t>OR</t>
  </si>
  <si>
    <t>lCI</t>
  </si>
  <si>
    <t>uCI</t>
  </si>
  <si>
    <t>ES</t>
  </si>
  <si>
    <t>J</t>
  </si>
  <si>
    <t>g</t>
  </si>
  <si>
    <t>se_es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</si>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</sst>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B1" workbookViewId="0">
      <selection activeCell="J2" sqref="J2:J32"/>
    </sheetView>
  </sheetViews>
  <sheetFormatPr defaultRowHeight="15" x14ac:dyDescent="0.25"/>
  <cols>
    <col min="1" max="1" width="27.28515625" bestFit="1" customWidth="1"/>
    <col min="3" max="3" width="9.85546875" bestFit="1" customWidth="1"/>
    <col min="4" max="4" width="9.85546875" customWidth="1"/>
    <col min="5" max="5" width="9.85546875" bestFit="1" customWidth="1"/>
    <col min="6" max="6" width="9.85546875" customWidth="1"/>
    <col min="7" max="7" width="15.85546875" bestFit="1" customWidth="1"/>
  </cols>
  <sheetData>
    <row r="1" spans="1:14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</row>
    <row r="2" spans="1:14" x14ac:dyDescent="0.25">
      <c r="A2" t="s">
        <v>0</v>
      </c>
      <c r="B2">
        <v>2013</v>
      </c>
      <c r="C2">
        <v>1</v>
      </c>
      <c r="D2">
        <v>153</v>
      </c>
      <c r="E2">
        <v>0</v>
      </c>
      <c r="F2">
        <v>163</v>
      </c>
      <c r="G2">
        <v>3.19</v>
      </c>
      <c r="H2">
        <v>0.13</v>
      </c>
      <c r="I2">
        <v>77.83</v>
      </c>
      <c r="J2">
        <f>LN(G2)/1.81</f>
        <v>0.64089553414185263</v>
      </c>
      <c r="K2">
        <f>1-3/(4*(F2+D2-2)-1)</f>
        <v>0.99760956175298809</v>
      </c>
      <c r="L2">
        <f>K2*J2</f>
        <v>0.63936351294470084</v>
      </c>
      <c r="M2">
        <f>(LN(I2)-LN(H2))/2/1.96/1.81</f>
        <v>0.90127801746220715</v>
      </c>
      <c r="N2">
        <f>M2*K2</f>
        <v>0.89912356801807447</v>
      </c>
    </row>
    <row r="3" spans="1:14" x14ac:dyDescent="0.25">
      <c r="A3" t="s">
        <v>1</v>
      </c>
      <c r="B3">
        <v>2010</v>
      </c>
      <c r="C3">
        <v>11</v>
      </c>
      <c r="D3">
        <v>2404</v>
      </c>
      <c r="E3">
        <v>10</v>
      </c>
      <c r="F3">
        <v>2433</v>
      </c>
      <c r="G3">
        <v>1.1100000000000001</v>
      </c>
      <c r="H3">
        <v>0.47</v>
      </c>
      <c r="I3">
        <v>2.62</v>
      </c>
      <c r="J3">
        <f t="shared" ref="J3:J32" si="0">LN(G3)/1.81</f>
        <v>5.7657467029968427E-2</v>
      </c>
      <c r="K3">
        <f t="shared" ref="K3:K32" si="1">1-3/(4*(F3+D3-2)-1)</f>
        <v>0.99984487305444958</v>
      </c>
      <c r="L3">
        <f t="shared" ref="L3:L32" si="2">K3*J3</f>
        <v>5.7648522803219894E-2</v>
      </c>
      <c r="M3">
        <f t="shared" ref="M3:M32" si="3">(LN(I3)-LN(H3))/2/1.96/1.81</f>
        <v>0.24216327968923193</v>
      </c>
      <c r="N3">
        <f t="shared" ref="N3:N32" si="4">M3*K3</f>
        <v>0.24212571363932928</v>
      </c>
    </row>
    <row r="4" spans="1:14" x14ac:dyDescent="0.25">
      <c r="A4" t="s">
        <v>2</v>
      </c>
      <c r="B4">
        <v>2014</v>
      </c>
      <c r="C4">
        <v>48</v>
      </c>
      <c r="D4">
        <v>2147</v>
      </c>
      <c r="E4">
        <v>41</v>
      </c>
      <c r="F4">
        <v>2056</v>
      </c>
      <c r="G4">
        <v>1.1200000000000001</v>
      </c>
      <c r="H4">
        <v>0.74</v>
      </c>
      <c r="I4">
        <v>1.69</v>
      </c>
      <c r="J4">
        <f t="shared" si="0"/>
        <v>6.2612533318786329E-2</v>
      </c>
      <c r="K4">
        <f t="shared" si="1"/>
        <v>0.99982146045349041</v>
      </c>
      <c r="L4">
        <f t="shared" si="2"/>
        <v>6.2601354505481779E-2</v>
      </c>
      <c r="M4">
        <f t="shared" si="3"/>
        <v>0.11639328302498926</v>
      </c>
      <c r="N4">
        <f t="shared" si="4"/>
        <v>0.11637250222102122</v>
      </c>
    </row>
    <row r="5" spans="1:14" x14ac:dyDescent="0.25">
      <c r="A5" t="s">
        <v>3</v>
      </c>
      <c r="B5">
        <v>2018</v>
      </c>
      <c r="C5">
        <v>250</v>
      </c>
      <c r="D5">
        <v>7740</v>
      </c>
      <c r="E5">
        <v>256</v>
      </c>
      <c r="F5">
        <v>7740</v>
      </c>
      <c r="G5">
        <v>0.98</v>
      </c>
      <c r="H5">
        <v>0.82</v>
      </c>
      <c r="I5">
        <v>1.1599999999999999</v>
      </c>
      <c r="J5">
        <f t="shared" si="0"/>
        <v>-1.1161716750010754E-2</v>
      </c>
      <c r="K5">
        <f t="shared" si="1"/>
        <v>0.99995154334447833</v>
      </c>
      <c r="L5">
        <f t="shared" si="2"/>
        <v>-1.1161175890547168E-2</v>
      </c>
      <c r="M5">
        <f t="shared" si="3"/>
        <v>4.8888113632048646E-2</v>
      </c>
      <c r="N5">
        <f t="shared" si="4"/>
        <v>4.8885744677567275E-2</v>
      </c>
    </row>
    <row r="6" spans="1:14" x14ac:dyDescent="0.25">
      <c r="A6" t="s">
        <v>4</v>
      </c>
      <c r="B6">
        <v>1989</v>
      </c>
      <c r="C6">
        <v>4</v>
      </c>
      <c r="D6">
        <v>1015</v>
      </c>
      <c r="E6">
        <v>9</v>
      </c>
      <c r="F6">
        <v>1018</v>
      </c>
      <c r="G6">
        <v>0.45</v>
      </c>
      <c r="H6">
        <v>0.14000000000000001</v>
      </c>
      <c r="I6">
        <v>1.44</v>
      </c>
      <c r="J6">
        <f t="shared" si="0"/>
        <v>-0.4411644730484926</v>
      </c>
      <c r="K6">
        <f t="shared" si="1"/>
        <v>0.99963067832081742</v>
      </c>
      <c r="L6">
        <f t="shared" si="2"/>
        <v>-0.44100154144451065</v>
      </c>
      <c r="M6">
        <f t="shared" si="3"/>
        <v>0.3284975715921668</v>
      </c>
      <c r="N6">
        <f t="shared" si="4"/>
        <v>0.32837625031741896</v>
      </c>
    </row>
    <row r="7" spans="1:14" x14ac:dyDescent="0.25">
      <c r="A7" t="s">
        <v>5</v>
      </c>
      <c r="B7">
        <v>2003</v>
      </c>
      <c r="C7">
        <v>16</v>
      </c>
      <c r="D7">
        <v>1571</v>
      </c>
      <c r="E7">
        <v>14</v>
      </c>
      <c r="F7">
        <v>1543</v>
      </c>
      <c r="G7">
        <v>1.1200000000000001</v>
      </c>
      <c r="H7">
        <v>0.55000000000000004</v>
      </c>
      <c r="I7">
        <v>2.29</v>
      </c>
      <c r="J7">
        <f t="shared" si="0"/>
        <v>6.2612533318786329E-2</v>
      </c>
      <c r="K7">
        <f t="shared" si="1"/>
        <v>0.99975897806700409</v>
      </c>
      <c r="L7">
        <f t="shared" si="2"/>
        <v>6.2597442324976063E-2</v>
      </c>
      <c r="M7">
        <f t="shared" si="3"/>
        <v>0.20103574505606167</v>
      </c>
      <c r="N7">
        <f t="shared" si="4"/>
        <v>0.20098729103218699</v>
      </c>
    </row>
    <row r="8" spans="1:14" x14ac:dyDescent="0.25">
      <c r="A8" t="s">
        <v>6</v>
      </c>
      <c r="B8">
        <v>2016</v>
      </c>
      <c r="C8">
        <v>0</v>
      </c>
      <c r="D8">
        <v>128</v>
      </c>
      <c r="E8">
        <v>1</v>
      </c>
      <c r="F8">
        <v>130</v>
      </c>
      <c r="G8">
        <v>0.34</v>
      </c>
      <c r="H8">
        <v>0.01</v>
      </c>
      <c r="I8">
        <v>8.23</v>
      </c>
      <c r="J8">
        <f t="shared" si="0"/>
        <v>-0.59602743722206064</v>
      </c>
      <c r="K8">
        <f t="shared" si="1"/>
        <v>0.99706744868035191</v>
      </c>
      <c r="L8">
        <f t="shared" si="2"/>
        <v>-0.59427955617448858</v>
      </c>
      <c r="M8">
        <f t="shared" si="3"/>
        <v>0.94612642359300236</v>
      </c>
      <c r="N8">
        <f t="shared" si="4"/>
        <v>0.94335185930094079</v>
      </c>
    </row>
    <row r="9" spans="1:14" x14ac:dyDescent="0.25">
      <c r="A9" t="s">
        <v>28</v>
      </c>
      <c r="B9">
        <v>2010</v>
      </c>
      <c r="C9">
        <v>0</v>
      </c>
      <c r="D9">
        <v>282</v>
      </c>
      <c r="E9">
        <v>2</v>
      </c>
      <c r="F9">
        <v>281</v>
      </c>
      <c r="G9">
        <v>0.2</v>
      </c>
      <c r="H9">
        <v>0.01</v>
      </c>
      <c r="I9">
        <v>4.13</v>
      </c>
      <c r="J9">
        <f t="shared" si="0"/>
        <v>-0.88919221681442007</v>
      </c>
      <c r="K9">
        <f t="shared" si="1"/>
        <v>0.99866250557289349</v>
      </c>
      <c r="L9">
        <f t="shared" si="2"/>
        <v>-0.88800292717980434</v>
      </c>
      <c r="M9">
        <f t="shared" si="3"/>
        <v>0.84894683630638057</v>
      </c>
      <c r="N9">
        <f t="shared" si="4"/>
        <v>0.8478113746439111</v>
      </c>
    </row>
    <row r="10" spans="1:14" x14ac:dyDescent="0.25">
      <c r="A10" t="s">
        <v>7</v>
      </c>
      <c r="B10">
        <v>2014</v>
      </c>
      <c r="C10">
        <v>0</v>
      </c>
      <c r="D10">
        <v>119</v>
      </c>
      <c r="E10">
        <v>4</v>
      </c>
      <c r="F10">
        <v>119</v>
      </c>
      <c r="G10">
        <v>0.11</v>
      </c>
      <c r="H10">
        <v>0.01</v>
      </c>
      <c r="I10">
        <v>2.04</v>
      </c>
      <c r="J10">
        <f t="shared" si="0"/>
        <v>-1.2194889023147628</v>
      </c>
      <c r="K10">
        <f t="shared" si="1"/>
        <v>0.99681866383881235</v>
      </c>
      <c r="L10">
        <f t="shared" si="2"/>
        <v>-1.2156092981716617</v>
      </c>
      <c r="M10">
        <f t="shared" si="3"/>
        <v>0.74953771477114328</v>
      </c>
      <c r="N10">
        <f t="shared" si="4"/>
        <v>0.74715318333496794</v>
      </c>
    </row>
    <row r="11" spans="1:14" x14ac:dyDescent="0.25">
      <c r="A11" t="s">
        <v>8</v>
      </c>
      <c r="B11">
        <v>2014</v>
      </c>
      <c r="C11">
        <v>2</v>
      </c>
      <c r="D11">
        <v>195</v>
      </c>
      <c r="E11">
        <v>0</v>
      </c>
      <c r="F11">
        <v>196</v>
      </c>
      <c r="G11">
        <v>5.03</v>
      </c>
      <c r="H11">
        <v>0.24</v>
      </c>
      <c r="I11">
        <v>104.01</v>
      </c>
      <c r="J11">
        <f t="shared" si="0"/>
        <v>0.89249722879096571</v>
      </c>
      <c r="K11">
        <f t="shared" si="1"/>
        <v>0.99807073954983927</v>
      </c>
      <c r="L11">
        <f t="shared" si="2"/>
        <v>0.8907753691855812</v>
      </c>
      <c r="M11">
        <f t="shared" si="3"/>
        <v>0.85573393336413162</v>
      </c>
      <c r="N11">
        <f t="shared" si="4"/>
        <v>0.85408299973063173</v>
      </c>
    </row>
    <row r="12" spans="1:14" x14ac:dyDescent="0.25">
      <c r="A12" t="s">
        <v>9</v>
      </c>
      <c r="B12">
        <v>2013</v>
      </c>
      <c r="C12">
        <v>3</v>
      </c>
      <c r="D12">
        <v>289</v>
      </c>
      <c r="E12">
        <v>3</v>
      </c>
      <c r="F12">
        <v>297</v>
      </c>
      <c r="G12">
        <v>1.03</v>
      </c>
      <c r="H12">
        <v>0.21</v>
      </c>
      <c r="I12">
        <v>5.05</v>
      </c>
      <c r="J12">
        <f t="shared" si="0"/>
        <v>1.6330829967704102E-2</v>
      </c>
      <c r="K12">
        <f t="shared" si="1"/>
        <v>0.99871520342612419</v>
      </c>
      <c r="L12">
        <f t="shared" si="2"/>
        <v>1.6309848173313046E-2</v>
      </c>
      <c r="M12">
        <f t="shared" si="3"/>
        <v>0.44819539851617102</v>
      </c>
      <c r="N12">
        <f t="shared" si="4"/>
        <v>0.44761955860373054</v>
      </c>
    </row>
    <row r="13" spans="1:14" x14ac:dyDescent="0.25">
      <c r="A13" t="s">
        <v>10</v>
      </c>
      <c r="B13">
        <v>2008</v>
      </c>
      <c r="C13">
        <v>122</v>
      </c>
      <c r="D13">
        <v>3494</v>
      </c>
      <c r="E13">
        <v>103</v>
      </c>
      <c r="F13">
        <v>3481</v>
      </c>
      <c r="G13">
        <v>1.18</v>
      </c>
      <c r="H13">
        <v>0.91</v>
      </c>
      <c r="I13">
        <v>1.53</v>
      </c>
      <c r="J13">
        <f t="shared" si="0"/>
        <v>9.1444441147830569E-2</v>
      </c>
      <c r="K13">
        <f t="shared" si="1"/>
        <v>0.99989243842099607</v>
      </c>
      <c r="L13">
        <f t="shared" si="2"/>
        <v>9.143460523934957E-2</v>
      </c>
      <c r="M13">
        <f t="shared" si="3"/>
        <v>7.3229565745234163E-2</v>
      </c>
      <c r="N13">
        <f t="shared" si="4"/>
        <v>7.3221689057512834E-2</v>
      </c>
    </row>
    <row r="14" spans="1:14" x14ac:dyDescent="0.25">
      <c r="A14" t="s">
        <v>11</v>
      </c>
      <c r="B14">
        <v>1999</v>
      </c>
      <c r="C14">
        <v>92</v>
      </c>
      <c r="D14">
        <v>5665</v>
      </c>
      <c r="E14">
        <v>77</v>
      </c>
      <c r="F14">
        <v>5658</v>
      </c>
      <c r="G14">
        <v>1.19</v>
      </c>
      <c r="H14">
        <v>0.88</v>
      </c>
      <c r="I14">
        <v>1.61</v>
      </c>
      <c r="J14">
        <f t="shared" si="0"/>
        <v>9.6106799515711591E-2</v>
      </c>
      <c r="K14">
        <f t="shared" si="1"/>
        <v>0.99993374997239581</v>
      </c>
      <c r="L14">
        <f t="shared" si="2"/>
        <v>9.6100432437590727E-2</v>
      </c>
      <c r="M14">
        <f t="shared" si="3"/>
        <v>8.5137494433737831E-2</v>
      </c>
      <c r="N14">
        <f t="shared" si="4"/>
        <v>8.5131854072381441E-2</v>
      </c>
    </row>
    <row r="15" spans="1:14" x14ac:dyDescent="0.25">
      <c r="A15" t="s">
        <v>12</v>
      </c>
      <c r="B15">
        <v>1995</v>
      </c>
      <c r="C15">
        <v>1</v>
      </c>
      <c r="D15">
        <v>41</v>
      </c>
      <c r="E15">
        <v>0</v>
      </c>
      <c r="F15">
        <v>39</v>
      </c>
      <c r="G15">
        <v>2.86</v>
      </c>
      <c r="H15">
        <v>0.12</v>
      </c>
      <c r="I15">
        <v>68.099999999999994</v>
      </c>
      <c r="J15">
        <f t="shared" si="0"/>
        <v>0.5805644336087078</v>
      </c>
      <c r="K15">
        <f t="shared" si="1"/>
        <v>0.99035369774919613</v>
      </c>
      <c r="L15">
        <f t="shared" si="2"/>
        <v>0.57496413360605148</v>
      </c>
      <c r="M15">
        <f t="shared" si="3"/>
        <v>0.89373671628080364</v>
      </c>
      <c r="N15">
        <f t="shared" si="4"/>
        <v>0.88511546178291811</v>
      </c>
    </row>
    <row r="16" spans="1:14" x14ac:dyDescent="0.25">
      <c r="A16" t="s">
        <v>13</v>
      </c>
      <c r="B16">
        <v>2007</v>
      </c>
      <c r="C16">
        <v>166</v>
      </c>
      <c r="D16">
        <v>9326</v>
      </c>
      <c r="E16">
        <v>162</v>
      </c>
      <c r="F16">
        <v>9319</v>
      </c>
      <c r="G16">
        <v>1.02</v>
      </c>
      <c r="H16">
        <v>0.83</v>
      </c>
      <c r="I16">
        <v>1.27</v>
      </c>
      <c r="J16">
        <f t="shared" si="0"/>
        <v>1.0940678064187696E-2</v>
      </c>
      <c r="K16">
        <f t="shared" si="1"/>
        <v>0.99995976988373492</v>
      </c>
      <c r="L16">
        <f t="shared" si="2"/>
        <v>1.0940237919437155E-2</v>
      </c>
      <c r="M16">
        <f t="shared" si="3"/>
        <v>5.9948483293211383E-2</v>
      </c>
      <c r="N16">
        <f t="shared" si="4"/>
        <v>5.9946071558758585E-2</v>
      </c>
    </row>
    <row r="17" spans="1:14" x14ac:dyDescent="0.25">
      <c r="A17" t="s">
        <v>14</v>
      </c>
      <c r="B17">
        <v>2017</v>
      </c>
      <c r="C17">
        <v>1</v>
      </c>
      <c r="D17">
        <v>820</v>
      </c>
      <c r="E17">
        <v>4</v>
      </c>
      <c r="F17">
        <v>832</v>
      </c>
      <c r="G17">
        <v>0.25</v>
      </c>
      <c r="H17">
        <v>0.03</v>
      </c>
      <c r="I17">
        <v>2.2599999999999998</v>
      </c>
      <c r="J17">
        <f t="shared" si="0"/>
        <v>-0.76590848680656931</v>
      </c>
      <c r="K17">
        <f t="shared" si="1"/>
        <v>0.99954538566449458</v>
      </c>
      <c r="L17">
        <f t="shared" si="2"/>
        <v>-0.76556029382878177</v>
      </c>
      <c r="M17">
        <f t="shared" si="3"/>
        <v>0.60913331697544482</v>
      </c>
      <c r="N17">
        <f t="shared" si="4"/>
        <v>0.6088563962373138</v>
      </c>
    </row>
    <row r="18" spans="1:14" x14ac:dyDescent="0.25">
      <c r="A18" t="s">
        <v>15</v>
      </c>
      <c r="B18">
        <v>2013</v>
      </c>
      <c r="C18">
        <v>0</v>
      </c>
      <c r="D18">
        <v>150</v>
      </c>
      <c r="E18">
        <v>1</v>
      </c>
      <c r="F18">
        <v>150</v>
      </c>
      <c r="G18">
        <v>0.33</v>
      </c>
      <c r="H18">
        <v>0.01</v>
      </c>
      <c r="I18">
        <v>8.1199999999999992</v>
      </c>
      <c r="J18">
        <f t="shared" si="0"/>
        <v>-0.61252078702851442</v>
      </c>
      <c r="K18">
        <f t="shared" si="1"/>
        <v>0.9974811083123426</v>
      </c>
      <c r="L18">
        <f t="shared" si="2"/>
        <v>-0.61097791350955089</v>
      </c>
      <c r="M18">
        <f t="shared" si="3"/>
        <v>0.94422994984802078</v>
      </c>
      <c r="N18">
        <f t="shared" si="4"/>
        <v>0.94185153687611145</v>
      </c>
    </row>
    <row r="19" spans="1:14" x14ac:dyDescent="0.25">
      <c r="A19" t="s">
        <v>16</v>
      </c>
      <c r="B19">
        <v>2011</v>
      </c>
      <c r="C19">
        <v>0</v>
      </c>
      <c r="D19">
        <v>67</v>
      </c>
      <c r="E19">
        <v>1</v>
      </c>
      <c r="F19">
        <v>66</v>
      </c>
      <c r="G19">
        <v>0.33</v>
      </c>
      <c r="H19">
        <v>0.01</v>
      </c>
      <c r="I19">
        <v>7.92</v>
      </c>
      <c r="J19">
        <f t="shared" si="0"/>
        <v>-0.61252078702851442</v>
      </c>
      <c r="K19">
        <f t="shared" si="1"/>
        <v>0.99426386233269604</v>
      </c>
      <c r="L19">
        <f t="shared" si="2"/>
        <v>-0.60900728347003352</v>
      </c>
      <c r="M19">
        <f t="shared" si="3"/>
        <v>0.9407150456385196</v>
      </c>
      <c r="N19">
        <f t="shared" si="4"/>
        <v>0.93531897463103297</v>
      </c>
    </row>
    <row r="20" spans="1:14" x14ac:dyDescent="0.25">
      <c r="A20" t="s">
        <v>17</v>
      </c>
      <c r="B20">
        <v>2001</v>
      </c>
      <c r="C20">
        <v>6</v>
      </c>
      <c r="D20">
        <v>150</v>
      </c>
      <c r="E20">
        <v>0</v>
      </c>
      <c r="F20">
        <v>150</v>
      </c>
      <c r="G20">
        <v>13</v>
      </c>
      <c r="H20">
        <v>0.74</v>
      </c>
      <c r="I20">
        <v>228.73</v>
      </c>
      <c r="J20">
        <f t="shared" si="0"/>
        <v>1.4170990925201861</v>
      </c>
      <c r="K20">
        <f t="shared" si="1"/>
        <v>0.9974811083123426</v>
      </c>
      <c r="L20">
        <f t="shared" si="2"/>
        <v>1.41352957339545</v>
      </c>
      <c r="M20">
        <f t="shared" si="3"/>
        <v>0.80810228907193438</v>
      </c>
      <c r="N20">
        <f t="shared" si="4"/>
        <v>0.80606676693321422</v>
      </c>
    </row>
    <row r="21" spans="1:14" x14ac:dyDescent="0.25">
      <c r="A21" t="s">
        <v>18</v>
      </c>
      <c r="B21">
        <v>2009</v>
      </c>
      <c r="C21">
        <v>27</v>
      </c>
      <c r="D21">
        <v>1919</v>
      </c>
      <c r="E21">
        <v>13</v>
      </c>
      <c r="F21">
        <v>1885</v>
      </c>
      <c r="G21">
        <v>2.04</v>
      </c>
      <c r="H21">
        <v>1.06</v>
      </c>
      <c r="I21">
        <v>3.94</v>
      </c>
      <c r="J21">
        <f t="shared" si="0"/>
        <v>0.3938949214674724</v>
      </c>
      <c r="K21">
        <f t="shared" si="1"/>
        <v>0.99980272243045964</v>
      </c>
      <c r="L21">
        <f t="shared" si="2"/>
        <v>0.39381721483471099</v>
      </c>
      <c r="M21">
        <f t="shared" si="3"/>
        <v>0.18504225605844329</v>
      </c>
      <c r="N21">
        <f t="shared" si="4"/>
        <v>0.18500575137190581</v>
      </c>
    </row>
    <row r="22" spans="1:14" x14ac:dyDescent="0.25">
      <c r="A22" t="s">
        <v>19</v>
      </c>
      <c r="B22">
        <v>2010</v>
      </c>
      <c r="C22">
        <v>7</v>
      </c>
      <c r="D22">
        <v>376</v>
      </c>
      <c r="E22">
        <v>8</v>
      </c>
      <c r="F22">
        <v>372</v>
      </c>
      <c r="G22">
        <v>0.87</v>
      </c>
      <c r="H22">
        <v>0.32</v>
      </c>
      <c r="I22">
        <v>2.36</v>
      </c>
      <c r="J22">
        <f t="shared" si="0"/>
        <v>-7.6940368692545669E-2</v>
      </c>
      <c r="K22">
        <f t="shared" si="1"/>
        <v>0.99899430103922227</v>
      </c>
      <c r="L22">
        <f t="shared" si="2"/>
        <v>-7.686298984370972E-2</v>
      </c>
      <c r="M22">
        <f t="shared" si="3"/>
        <v>0.28161234386992384</v>
      </c>
      <c r="N22">
        <f t="shared" si="4"/>
        <v>0.28132912662835169</v>
      </c>
    </row>
    <row r="23" spans="1:14" x14ac:dyDescent="0.25">
      <c r="A23" t="s">
        <v>20</v>
      </c>
      <c r="B23">
        <v>2012</v>
      </c>
      <c r="C23">
        <v>314</v>
      </c>
      <c r="D23">
        <v>6281</v>
      </c>
      <c r="E23">
        <v>336</v>
      </c>
      <c r="F23">
        <v>6255</v>
      </c>
      <c r="G23">
        <v>0.93</v>
      </c>
      <c r="H23">
        <v>0.8</v>
      </c>
      <c r="I23">
        <v>1.08</v>
      </c>
      <c r="J23">
        <f t="shared" si="0"/>
        <v>-4.00943054336107E-2</v>
      </c>
      <c r="K23">
        <f t="shared" si="1"/>
        <v>0.99994016156377785</v>
      </c>
      <c r="L23">
        <f t="shared" si="2"/>
        <v>-4.0091906253072136E-2</v>
      </c>
      <c r="M23">
        <f t="shared" si="3"/>
        <v>4.2296847509631592E-2</v>
      </c>
      <c r="N23">
        <f t="shared" si="4"/>
        <v>4.2294316532419489E-2</v>
      </c>
    </row>
    <row r="24" spans="1:14" x14ac:dyDescent="0.25">
      <c r="A24" t="s">
        <v>21</v>
      </c>
      <c r="B24">
        <v>2013</v>
      </c>
      <c r="C24">
        <v>2</v>
      </c>
      <c r="D24">
        <v>171</v>
      </c>
      <c r="E24">
        <v>0</v>
      </c>
      <c r="F24">
        <v>165</v>
      </c>
      <c r="G24">
        <v>4.83</v>
      </c>
      <c r="H24">
        <v>0.23</v>
      </c>
      <c r="I24">
        <v>99.76</v>
      </c>
      <c r="J24">
        <f t="shared" si="0"/>
        <v>0.87008092136159187</v>
      </c>
      <c r="K24">
        <f t="shared" si="1"/>
        <v>0.99775280898876406</v>
      </c>
      <c r="L24">
        <f t="shared" si="2"/>
        <v>0.86812568333606022</v>
      </c>
      <c r="M24">
        <f t="shared" si="3"/>
        <v>0.85585230457643513</v>
      </c>
      <c r="N24">
        <f t="shared" si="4"/>
        <v>0.85392904097064537</v>
      </c>
    </row>
    <row r="25" spans="1:14" x14ac:dyDescent="0.25">
      <c r="A25" t="s">
        <v>22</v>
      </c>
      <c r="B25">
        <v>2019</v>
      </c>
      <c r="C25">
        <v>98</v>
      </c>
      <c r="D25">
        <v>4089</v>
      </c>
      <c r="E25">
        <v>134</v>
      </c>
      <c r="F25">
        <v>4090</v>
      </c>
      <c r="G25">
        <v>0.73</v>
      </c>
      <c r="H25">
        <v>0.56999999999999995</v>
      </c>
      <c r="I25">
        <v>0.95</v>
      </c>
      <c r="J25">
        <f t="shared" si="0"/>
        <v>-0.17387333969044211</v>
      </c>
      <c r="K25">
        <f t="shared" si="1"/>
        <v>0.99990827651573055</v>
      </c>
      <c r="L25">
        <f t="shared" si="2"/>
        <v>-0.17385739142190412</v>
      </c>
      <c r="M25">
        <f t="shared" si="3"/>
        <v>7.1995944267390727E-2</v>
      </c>
      <c r="N25">
        <f t="shared" si="4"/>
        <v>7.1989340548529249E-2</v>
      </c>
    </row>
    <row r="26" spans="1:14" x14ac:dyDescent="0.25">
      <c r="A26" t="s">
        <v>29</v>
      </c>
      <c r="B26">
        <v>2013</v>
      </c>
      <c r="C26">
        <v>80</v>
      </c>
      <c r="D26">
        <v>6239</v>
      </c>
      <c r="E26">
        <v>60</v>
      </c>
      <c r="F26">
        <v>6266</v>
      </c>
      <c r="G26">
        <v>1.34</v>
      </c>
      <c r="H26">
        <v>0.96</v>
      </c>
      <c r="I26">
        <v>1.87</v>
      </c>
      <c r="J26">
        <f t="shared" si="0"/>
        <v>0.16169591931647515</v>
      </c>
      <c r="K26">
        <f t="shared" si="1"/>
        <v>0.99994001319709669</v>
      </c>
      <c r="L26">
        <f t="shared" si="2"/>
        <v>0.16168621969523284</v>
      </c>
      <c r="M26">
        <f t="shared" si="3"/>
        <v>9.3973450415316059E-2</v>
      </c>
      <c r="N26">
        <f t="shared" si="4"/>
        <v>9.3967813248467855E-2</v>
      </c>
    </row>
    <row r="27" spans="1:14" x14ac:dyDescent="0.25">
      <c r="A27" t="s">
        <v>23</v>
      </c>
      <c r="B27">
        <v>1999</v>
      </c>
      <c r="C27">
        <v>1</v>
      </c>
      <c r="D27">
        <v>112</v>
      </c>
      <c r="E27">
        <v>0</v>
      </c>
      <c r="F27">
        <v>111</v>
      </c>
      <c r="G27">
        <v>2.97</v>
      </c>
      <c r="H27">
        <v>0.12</v>
      </c>
      <c r="I27">
        <v>72.209999999999994</v>
      </c>
      <c r="J27">
        <f t="shared" si="0"/>
        <v>0.60141544354398246</v>
      </c>
      <c r="K27">
        <f t="shared" si="1"/>
        <v>0.99660249150622882</v>
      </c>
      <c r="L27">
        <f t="shared" si="2"/>
        <v>0.59937212946625662</v>
      </c>
      <c r="M27">
        <f t="shared" si="3"/>
        <v>0.90199600809888114</v>
      </c>
      <c r="N27">
        <f t="shared" si="4"/>
        <v>0.89893146900001752</v>
      </c>
    </row>
    <row r="28" spans="1:14" x14ac:dyDescent="0.25">
      <c r="A28" t="s">
        <v>24</v>
      </c>
      <c r="B28">
        <v>1996</v>
      </c>
      <c r="C28">
        <v>3</v>
      </c>
      <c r="D28">
        <v>317</v>
      </c>
      <c r="E28">
        <v>4</v>
      </c>
      <c r="F28">
        <v>293</v>
      </c>
      <c r="G28">
        <v>0.69</v>
      </c>
      <c r="H28">
        <v>0.16</v>
      </c>
      <c r="I28">
        <v>3.07</v>
      </c>
      <c r="J28">
        <f t="shared" si="0"/>
        <v>-0.20500755877946522</v>
      </c>
      <c r="K28">
        <f t="shared" si="1"/>
        <v>0.99876593994241059</v>
      </c>
      <c r="L28">
        <f t="shared" si="2"/>
        <v>-0.20475456713967158</v>
      </c>
      <c r="M28">
        <f t="shared" si="3"/>
        <v>0.41637431296473898</v>
      </c>
      <c r="N28">
        <f t="shared" si="4"/>
        <v>0.41586048205610299</v>
      </c>
    </row>
    <row r="29" spans="1:14" x14ac:dyDescent="0.25">
      <c r="A29" t="s">
        <v>25</v>
      </c>
      <c r="B29">
        <v>2010</v>
      </c>
      <c r="C29">
        <v>29</v>
      </c>
      <c r="D29">
        <v>1253</v>
      </c>
      <c r="E29">
        <v>28</v>
      </c>
      <c r="F29">
        <v>1248</v>
      </c>
      <c r="G29">
        <v>1.03</v>
      </c>
      <c r="H29">
        <v>0.62</v>
      </c>
      <c r="I29">
        <v>1.72</v>
      </c>
      <c r="J29">
        <f t="shared" si="0"/>
        <v>1.6330829967704102E-2</v>
      </c>
      <c r="K29">
        <f t="shared" si="1"/>
        <v>0.99969984992496252</v>
      </c>
      <c r="L29">
        <f t="shared" si="2"/>
        <v>1.6325928267863873E-2</v>
      </c>
      <c r="M29">
        <f t="shared" si="3"/>
        <v>0.14380991258433329</v>
      </c>
      <c r="N29">
        <f t="shared" si="4"/>
        <v>0.14376674802827996</v>
      </c>
    </row>
    <row r="30" spans="1:14" x14ac:dyDescent="0.25">
      <c r="A30" t="s">
        <v>30</v>
      </c>
      <c r="B30">
        <v>2008</v>
      </c>
      <c r="C30">
        <v>3</v>
      </c>
      <c r="D30">
        <v>51</v>
      </c>
      <c r="E30">
        <v>1</v>
      </c>
      <c r="F30">
        <v>50</v>
      </c>
      <c r="G30">
        <v>2.94</v>
      </c>
      <c r="H30">
        <v>0.32</v>
      </c>
      <c r="I30">
        <v>27.33</v>
      </c>
      <c r="J30">
        <f t="shared" si="0"/>
        <v>0.59580639853623774</v>
      </c>
      <c r="K30">
        <f t="shared" si="1"/>
        <v>0.9924050632911392</v>
      </c>
      <c r="L30">
        <f t="shared" si="2"/>
        <v>0.59128128664862067</v>
      </c>
      <c r="M30">
        <f t="shared" si="3"/>
        <v>0.62682084833807938</v>
      </c>
      <c r="N30">
        <f t="shared" si="4"/>
        <v>0.62206018366715721</v>
      </c>
    </row>
    <row r="31" spans="1:14" x14ac:dyDescent="0.25">
      <c r="A31" t="s">
        <v>26</v>
      </c>
      <c r="B31">
        <v>2019</v>
      </c>
      <c r="C31">
        <v>148</v>
      </c>
      <c r="D31">
        <v>12933</v>
      </c>
      <c r="E31">
        <v>142</v>
      </c>
      <c r="F31">
        <v>12938</v>
      </c>
      <c r="G31">
        <v>1.04</v>
      </c>
      <c r="H31">
        <v>0.83</v>
      </c>
      <c r="I31">
        <v>1.31</v>
      </c>
      <c r="J31">
        <f t="shared" si="0"/>
        <v>2.1668902294630567E-2</v>
      </c>
      <c r="K31">
        <f t="shared" si="1"/>
        <v>0.99997100748973178</v>
      </c>
      <c r="L31">
        <f t="shared" si="2"/>
        <v>2.1668274058758288E-2</v>
      </c>
      <c r="M31">
        <f t="shared" si="3"/>
        <v>6.4319077038639316E-2</v>
      </c>
      <c r="N31">
        <f t="shared" si="4"/>
        <v>6.4317212267137824E-2</v>
      </c>
    </row>
    <row r="32" spans="1:14" x14ac:dyDescent="0.25">
      <c r="A32" t="s">
        <v>27</v>
      </c>
      <c r="B32">
        <v>2011</v>
      </c>
      <c r="C32">
        <v>1</v>
      </c>
      <c r="D32">
        <v>23</v>
      </c>
      <c r="E32">
        <v>0</v>
      </c>
      <c r="F32">
        <v>24</v>
      </c>
      <c r="G32">
        <v>3.13</v>
      </c>
      <c r="H32">
        <v>0.13</v>
      </c>
      <c r="I32">
        <v>73.010000000000005</v>
      </c>
      <c r="J32">
        <f t="shared" si="0"/>
        <v>0.63040497489064184</v>
      </c>
      <c r="K32">
        <f t="shared" si="1"/>
        <v>0.98324022346368711</v>
      </c>
      <c r="L32">
        <f t="shared" si="2"/>
        <v>0.61983952838409473</v>
      </c>
      <c r="M32">
        <f t="shared" si="3"/>
        <v>0.89226762411130756</v>
      </c>
      <c r="N32">
        <f t="shared" si="4"/>
        <v>0.87731341812061525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2026-01-11T23:38:27Z</dcterms:modified>
</cp:coreProperties>
</file>