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abdelhamid2018\"/>
    </mc:Choice>
  </mc:AlternateContent>
  <xr:revisionPtr revIDLastSave="0" documentId="13_ncr:1_{0CBB80B7-74EF-484A-8128-D2F8A22B6EDE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 s="1"/>
  <c r="M3" i="1"/>
  <c r="N3" i="1" s="1"/>
  <c r="J4" i="1"/>
  <c r="K4" i="1"/>
  <c r="L4" i="1"/>
  <c r="M4" i="1"/>
  <c r="N4" i="1" s="1"/>
  <c r="J5" i="1"/>
  <c r="K5" i="1"/>
  <c r="L5" i="1" s="1"/>
  <c r="M5" i="1"/>
  <c r="N5" i="1" s="1"/>
  <c r="J6" i="1"/>
  <c r="K6" i="1"/>
  <c r="L6" i="1"/>
  <c r="M6" i="1"/>
  <c r="N6" i="1"/>
  <c r="J7" i="1"/>
  <c r="K7" i="1"/>
  <c r="L7" i="1"/>
  <c r="M7" i="1"/>
  <c r="N7" i="1" s="1"/>
  <c r="J8" i="1"/>
  <c r="K8" i="1"/>
  <c r="L8" i="1" s="1"/>
  <c r="M8" i="1"/>
  <c r="N8" i="1" s="1"/>
  <c r="J9" i="1"/>
  <c r="K9" i="1"/>
  <c r="L9" i="1"/>
  <c r="M9" i="1"/>
  <c r="N9" i="1"/>
  <c r="J10" i="1"/>
  <c r="K10" i="1"/>
  <c r="L10" i="1" s="1"/>
  <c r="M10" i="1"/>
  <c r="N10" i="1" s="1"/>
  <c r="J11" i="1"/>
  <c r="K11" i="1"/>
  <c r="L11" i="1"/>
  <c r="M11" i="1"/>
  <c r="N11" i="1"/>
  <c r="J12" i="1"/>
  <c r="K12" i="1"/>
  <c r="L12" i="1"/>
  <c r="M12" i="1"/>
  <c r="N12" i="1" s="1"/>
  <c r="J13" i="1"/>
  <c r="K13" i="1"/>
  <c r="L13" i="1"/>
  <c r="M13" i="1"/>
  <c r="N13" i="1"/>
  <c r="J14" i="1"/>
  <c r="K14" i="1"/>
  <c r="L14" i="1" s="1"/>
  <c r="M14" i="1"/>
  <c r="N14" i="1"/>
  <c r="J15" i="1"/>
  <c r="L15" i="1" s="1"/>
  <c r="K15" i="1"/>
  <c r="M15" i="1"/>
  <c r="N15" i="1"/>
  <c r="J16" i="1"/>
  <c r="K16" i="1"/>
  <c r="L16" i="1"/>
  <c r="M16" i="1"/>
  <c r="N16" i="1" s="1"/>
  <c r="J17" i="1"/>
  <c r="K17" i="1"/>
  <c r="L17" i="1" s="1"/>
  <c r="M17" i="1"/>
  <c r="J18" i="1"/>
  <c r="K18" i="1"/>
  <c r="L18" i="1" s="1"/>
  <c r="M18" i="1"/>
  <c r="N18" i="1"/>
  <c r="J19" i="1"/>
  <c r="K19" i="1"/>
  <c r="L19" i="1"/>
  <c r="M19" i="1"/>
  <c r="N19" i="1" s="1"/>
  <c r="J20" i="1"/>
  <c r="K20" i="1"/>
  <c r="L20" i="1" s="1"/>
  <c r="M20" i="1"/>
  <c r="N20" i="1" s="1"/>
  <c r="J21" i="1"/>
  <c r="K21" i="1"/>
  <c r="L21" i="1"/>
  <c r="M21" i="1"/>
  <c r="N21" i="1"/>
  <c r="J22" i="1"/>
  <c r="K22" i="1"/>
  <c r="L22" i="1" s="1"/>
  <c r="M22" i="1"/>
  <c r="N22" i="1" s="1"/>
  <c r="J23" i="1"/>
  <c r="K23" i="1"/>
  <c r="L23" i="1"/>
  <c r="M23" i="1"/>
  <c r="N23" i="1"/>
  <c r="J24" i="1"/>
  <c r="K24" i="1"/>
  <c r="L24" i="1"/>
  <c r="M24" i="1"/>
  <c r="N24" i="1" s="1"/>
  <c r="J25" i="1"/>
  <c r="K25" i="1"/>
  <c r="L25" i="1"/>
  <c r="M25" i="1"/>
  <c r="N25" i="1"/>
  <c r="J26" i="1"/>
  <c r="K26" i="1"/>
  <c r="L26" i="1" s="1"/>
  <c r="M26" i="1"/>
  <c r="N26" i="1"/>
  <c r="J27" i="1"/>
  <c r="K27" i="1"/>
  <c r="L27" i="1"/>
  <c r="M27" i="1"/>
  <c r="N27" i="1"/>
  <c r="J28" i="1"/>
  <c r="K28" i="1"/>
  <c r="L28" i="1"/>
  <c r="M28" i="1"/>
  <c r="N28" i="1"/>
  <c r="J29" i="1"/>
  <c r="K29" i="1"/>
  <c r="L29" i="1" s="1"/>
  <c r="M29" i="1"/>
  <c r="J30" i="1"/>
  <c r="K30" i="1"/>
  <c r="L30" i="1" s="1"/>
  <c r="M30" i="1"/>
  <c r="N30" i="1"/>
  <c r="J31" i="1"/>
  <c r="K31" i="1"/>
  <c r="L31" i="1"/>
  <c r="M31" i="1"/>
  <c r="N31" i="1" s="1"/>
  <c r="J32" i="1"/>
  <c r="K32" i="1"/>
  <c r="L32" i="1" s="1"/>
  <c r="M32" i="1"/>
  <c r="N32" i="1" s="1"/>
  <c r="J33" i="1"/>
  <c r="K33" i="1"/>
  <c r="L33" i="1"/>
  <c r="M33" i="1"/>
  <c r="N33" i="1"/>
  <c r="J34" i="1"/>
  <c r="K34" i="1"/>
  <c r="L34" i="1" s="1"/>
  <c r="M34" i="1"/>
  <c r="N34" i="1" s="1"/>
  <c r="J35" i="1"/>
  <c r="K35" i="1"/>
  <c r="L35" i="1"/>
  <c r="M35" i="1"/>
  <c r="N35" i="1"/>
  <c r="J36" i="1"/>
  <c r="K36" i="1"/>
  <c r="L36" i="1"/>
  <c r="M36" i="1"/>
  <c r="N36" i="1" s="1"/>
  <c r="J37" i="1"/>
  <c r="L37" i="1" s="1"/>
  <c r="K37" i="1"/>
  <c r="M37" i="1"/>
  <c r="N37" i="1"/>
  <c r="J38" i="1"/>
  <c r="K38" i="1"/>
  <c r="L38" i="1"/>
  <c r="M38" i="1"/>
  <c r="N38" i="1"/>
  <c r="J39" i="1"/>
  <c r="K39" i="1"/>
  <c r="L39" i="1"/>
  <c r="M39" i="1"/>
  <c r="N39" i="1"/>
  <c r="J40" i="1"/>
  <c r="K40" i="1"/>
  <c r="L40" i="1"/>
  <c r="M40" i="1"/>
  <c r="N40" i="1"/>
  <c r="J41" i="1"/>
  <c r="K41" i="1"/>
  <c r="L41" i="1" s="1"/>
  <c r="M41" i="1"/>
  <c r="J42" i="1"/>
  <c r="K42" i="1"/>
  <c r="L42" i="1"/>
  <c r="M42" i="1"/>
  <c r="N42" i="1"/>
  <c r="J43" i="1"/>
  <c r="K43" i="1"/>
  <c r="L43" i="1"/>
  <c r="M43" i="1"/>
  <c r="N43" i="1" s="1"/>
  <c r="J44" i="1"/>
  <c r="K44" i="1"/>
  <c r="L44" i="1" s="1"/>
  <c r="M44" i="1"/>
  <c r="N44" i="1" s="1"/>
  <c r="M2" i="1"/>
  <c r="N2" i="1" s="1"/>
  <c r="K2" i="1"/>
  <c r="L2" i="1" s="1"/>
  <c r="J2" i="1"/>
  <c r="N41" i="1" l="1"/>
  <c r="N29" i="1"/>
  <c r="N17" i="1"/>
</calcChain>
</file>

<file path=xl/sharedStrings.xml><?xml version="1.0" encoding="utf-8"?>
<sst xmlns="http://schemas.openxmlformats.org/spreadsheetml/2006/main" count="57" uniqueCount="57">
  <si>
    <t>AFFORD</t>
  </si>
  <si>
    <t>AlphaOmega</t>
  </si>
  <si>
    <t>AREDS2</t>
  </si>
  <si>
    <t>ASCEND</t>
  </si>
  <si>
    <t>Baldassarre</t>
  </si>
  <si>
    <t>Brox</t>
  </si>
  <si>
    <t>DART</t>
  </si>
  <si>
    <t>DART2</t>
  </si>
  <si>
    <t>Derosa</t>
  </si>
  <si>
    <t>Doi</t>
  </si>
  <si>
    <t>ENRGISE</t>
  </si>
  <si>
    <t>EPE-A</t>
  </si>
  <si>
    <t>EPIC-1</t>
  </si>
  <si>
    <t>EPOCH</t>
  </si>
  <si>
    <t>FAAT</t>
  </si>
  <si>
    <t>FORWARD</t>
  </si>
  <si>
    <t>FOSTAR</t>
  </si>
  <si>
    <t>GISSI-HF</t>
  </si>
  <si>
    <t>GISSI-P</t>
  </si>
  <si>
    <t>HARP</t>
  </si>
  <si>
    <t>HEARTS</t>
  </si>
  <si>
    <t>JELIS</t>
  </si>
  <si>
    <t>Kumar</t>
  </si>
  <si>
    <t>MAPT</t>
  </si>
  <si>
    <t>Nodari</t>
  </si>
  <si>
    <t>Nutristroke</t>
  </si>
  <si>
    <t>OFAMI</t>
  </si>
  <si>
    <t>OMEGA</t>
  </si>
  <si>
    <t>ORIGIN</t>
  </si>
  <si>
    <t>Proudman</t>
  </si>
  <si>
    <t>Puri</t>
  </si>
  <si>
    <t>Raitt</t>
  </si>
  <si>
    <t>REDUCE-IT</t>
  </si>
  <si>
    <t>Sandhu</t>
  </si>
  <si>
    <t>SCIMO</t>
  </si>
  <si>
    <t>Shinto</t>
  </si>
  <si>
    <t>SHOT</t>
  </si>
  <si>
    <t>SOFA</t>
  </si>
  <si>
    <t>SU.FOL.OM3</t>
  </si>
  <si>
    <t>VITAL</t>
  </si>
  <si>
    <t>DO IT</t>
  </si>
  <si>
    <t>Risk &amp; Prevention</t>
  </si>
  <si>
    <t>THIS DIET</t>
  </si>
  <si>
    <t>Study</t>
  </si>
  <si>
    <t>Year</t>
  </si>
  <si>
    <t>events_treat</t>
  </si>
  <si>
    <t>n_treat</t>
  </si>
  <si>
    <t>events_ctrl</t>
  </si>
  <si>
    <t>n_ctrl</t>
  </si>
  <si>
    <t>OR</t>
  </si>
  <si>
    <t>lCI</t>
  </si>
  <si>
    <t>uCI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</si>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</sst>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selection activeCell="H4" sqref="H4"/>
    </sheetView>
  </sheetViews>
  <sheetFormatPr defaultRowHeight="15" x14ac:dyDescent="0.25"/>
  <cols>
    <col min="1" max="1" width="27.28515625" bestFit="1" customWidth="1"/>
    <col min="3" max="3" width="9.85546875" bestFit="1" customWidth="1"/>
    <col min="4" max="4" width="9.85546875" customWidth="1"/>
    <col min="5" max="5" width="9.85546875" bestFit="1" customWidth="1"/>
    <col min="6" max="6" width="9.85546875" customWidth="1"/>
    <col min="7" max="7" width="14.85546875" bestFit="1" customWidth="1"/>
  </cols>
  <sheetData>
    <row r="1" spans="1:14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 spans="1:14" x14ac:dyDescent="0.25">
      <c r="A2" t="s">
        <v>0</v>
      </c>
      <c r="B2">
        <v>2013</v>
      </c>
      <c r="C2">
        <v>20</v>
      </c>
      <c r="D2">
        <v>153</v>
      </c>
      <c r="E2">
        <v>11</v>
      </c>
      <c r="F2">
        <v>163</v>
      </c>
      <c r="G2">
        <v>1.94</v>
      </c>
      <c r="H2">
        <v>0.96</v>
      </c>
      <c r="I2">
        <v>3.91</v>
      </c>
      <c r="J2">
        <f>-LN(G2)/1.81</f>
        <v>-0.36612595197526893</v>
      </c>
      <c r="K2">
        <f>1-3/(4*(F2+D2-2)-1)</f>
        <v>0.99760956175298809</v>
      </c>
      <c r="L2">
        <f>K2*J2</f>
        <v>-0.36525075049644362</v>
      </c>
      <c r="M2">
        <f>(LN(I2)-LN(H2))/2/1.96/1.81</f>
        <v>0.19793090660129803</v>
      </c>
      <c r="N2">
        <f>M2*K2</f>
        <v>0.19745776499189255</v>
      </c>
    </row>
    <row r="3" spans="1:14" x14ac:dyDescent="0.25">
      <c r="A3" t="s">
        <v>1</v>
      </c>
      <c r="B3">
        <v>2010</v>
      </c>
      <c r="C3">
        <v>332</v>
      </c>
      <c r="D3">
        <v>2404</v>
      </c>
      <c r="E3">
        <v>331</v>
      </c>
      <c r="F3">
        <v>2433</v>
      </c>
      <c r="G3">
        <v>1.02</v>
      </c>
      <c r="H3">
        <v>0.88</v>
      </c>
      <c r="I3">
        <v>1.17</v>
      </c>
      <c r="J3">
        <f t="shared" ref="J3:J44" si="0">-LN(G3)/1.81</f>
        <v>-1.0940678064187696E-2</v>
      </c>
      <c r="K3">
        <f t="shared" ref="K3:K44" si="1">1-3/(4*(F3+D3-2)-1)</f>
        <v>0.99984487305444958</v>
      </c>
      <c r="L3">
        <f t="shared" ref="L3:L44" si="2">K3*J3</f>
        <v>-1.0938980870217347E-2</v>
      </c>
      <c r="M3">
        <f t="shared" ref="M3:M44" si="3">(LN(I3)-LN(H3))/2/1.96/1.81</f>
        <v>4.0145044582189308E-2</v>
      </c>
      <c r="N3">
        <f t="shared" ref="N3:N44" si="4">M3*K3</f>
        <v>4.0138817004044286E-2</v>
      </c>
    </row>
    <row r="4" spans="1:14" x14ac:dyDescent="0.25">
      <c r="A4" t="s">
        <v>2</v>
      </c>
      <c r="B4">
        <v>2014</v>
      </c>
      <c r="C4">
        <v>213</v>
      </c>
      <c r="D4">
        <v>2147</v>
      </c>
      <c r="E4">
        <v>208</v>
      </c>
      <c r="F4">
        <v>2056</v>
      </c>
      <c r="G4">
        <v>0.98</v>
      </c>
      <c r="H4">
        <v>0.82</v>
      </c>
      <c r="I4">
        <v>1.18</v>
      </c>
      <c r="J4">
        <f t="shared" si="0"/>
        <v>1.1161716750010754E-2</v>
      </c>
      <c r="K4">
        <f t="shared" si="1"/>
        <v>0.99982146045349041</v>
      </c>
      <c r="L4">
        <f t="shared" si="2"/>
        <v>1.1159723942163939E-2</v>
      </c>
      <c r="M4">
        <f t="shared" si="3"/>
        <v>5.1297409121858671E-2</v>
      </c>
      <c r="N4">
        <f t="shared" si="4"/>
        <v>5.1288250505696936E-2</v>
      </c>
    </row>
    <row r="5" spans="1:14" x14ac:dyDescent="0.25">
      <c r="A5" t="s">
        <v>3</v>
      </c>
      <c r="B5">
        <v>2018</v>
      </c>
      <c r="C5">
        <v>689</v>
      </c>
      <c r="D5">
        <v>7740</v>
      </c>
      <c r="E5">
        <v>712</v>
      </c>
      <c r="F5">
        <v>7740</v>
      </c>
      <c r="G5">
        <v>0.97</v>
      </c>
      <c r="H5">
        <v>0.88</v>
      </c>
      <c r="I5">
        <v>1.07</v>
      </c>
      <c r="J5">
        <f t="shared" si="0"/>
        <v>1.6828291428015785E-2</v>
      </c>
      <c r="K5">
        <f t="shared" si="1"/>
        <v>0.99995154334447833</v>
      </c>
      <c r="L5">
        <f t="shared" si="2"/>
        <v>1.6827475985295038E-2</v>
      </c>
      <c r="M5">
        <f t="shared" si="3"/>
        <v>2.7552714508921491E-2</v>
      </c>
      <c r="N5">
        <f t="shared" si="4"/>
        <v>2.7551379396525844E-2</v>
      </c>
    </row>
    <row r="6" spans="1:14" x14ac:dyDescent="0.25">
      <c r="A6" t="s">
        <v>4</v>
      </c>
      <c r="B6">
        <v>2006</v>
      </c>
      <c r="C6">
        <v>1</v>
      </c>
      <c r="D6">
        <v>32</v>
      </c>
      <c r="E6">
        <v>0</v>
      </c>
      <c r="F6">
        <v>32</v>
      </c>
      <c r="G6">
        <v>3</v>
      </c>
      <c r="H6">
        <v>0.13</v>
      </c>
      <c r="I6">
        <v>71</v>
      </c>
      <c r="J6">
        <f t="shared" si="0"/>
        <v>-0.6069681152862485</v>
      </c>
      <c r="K6">
        <f t="shared" si="1"/>
        <v>0.98785425101214575</v>
      </c>
      <c r="L6">
        <f t="shared" si="2"/>
        <v>-0.59959603291435071</v>
      </c>
      <c r="M6">
        <f t="shared" si="3"/>
        <v>0.88833305693537468</v>
      </c>
      <c r="N6">
        <f t="shared" si="4"/>
        <v>0.8775435866082244</v>
      </c>
    </row>
    <row r="7" spans="1:14" x14ac:dyDescent="0.25">
      <c r="A7" t="s">
        <v>5</v>
      </c>
      <c r="B7">
        <v>2001</v>
      </c>
      <c r="C7">
        <v>0</v>
      </c>
      <c r="D7">
        <v>80</v>
      </c>
      <c r="E7">
        <v>1</v>
      </c>
      <c r="F7">
        <v>40</v>
      </c>
      <c r="G7">
        <v>0.17</v>
      </c>
      <c r="H7">
        <v>0.01</v>
      </c>
      <c r="I7">
        <v>4.05</v>
      </c>
      <c r="J7">
        <f t="shared" si="0"/>
        <v>0.97898168062534541</v>
      </c>
      <c r="K7">
        <f t="shared" si="1"/>
        <v>0.99363057324840764</v>
      </c>
      <c r="L7">
        <f t="shared" si="2"/>
        <v>0.97274612851945153</v>
      </c>
      <c r="M7">
        <f t="shared" si="3"/>
        <v>0.84618996886719744</v>
      </c>
      <c r="N7">
        <f t="shared" si="4"/>
        <v>0.84080022384256559</v>
      </c>
    </row>
    <row r="8" spans="1:14" x14ac:dyDescent="0.25">
      <c r="A8" t="s">
        <v>6</v>
      </c>
      <c r="B8">
        <v>1989</v>
      </c>
      <c r="C8">
        <v>467</v>
      </c>
      <c r="D8">
        <v>1015</v>
      </c>
      <c r="E8">
        <v>487</v>
      </c>
      <c r="F8">
        <v>1018</v>
      </c>
      <c r="G8">
        <v>0.96</v>
      </c>
      <c r="H8">
        <v>0.88</v>
      </c>
      <c r="I8">
        <v>1.05</v>
      </c>
      <c r="J8">
        <f t="shared" si="0"/>
        <v>2.2553588132737661E-2</v>
      </c>
      <c r="K8">
        <f t="shared" si="1"/>
        <v>0.99963067832081742</v>
      </c>
      <c r="L8">
        <f t="shared" si="2"/>
        <v>2.2545258603696886E-2</v>
      </c>
      <c r="M8">
        <f t="shared" si="3"/>
        <v>2.4893383650822658E-2</v>
      </c>
      <c r="N8">
        <f t="shared" si="4"/>
        <v>2.4884189984572199E-2</v>
      </c>
    </row>
    <row r="9" spans="1:14" x14ac:dyDescent="0.25">
      <c r="A9" t="s">
        <v>7</v>
      </c>
      <c r="B9">
        <v>2003</v>
      </c>
      <c r="C9">
        <v>206</v>
      </c>
      <c r="D9">
        <v>1571</v>
      </c>
      <c r="E9">
        <v>155</v>
      </c>
      <c r="F9">
        <v>1543</v>
      </c>
      <c r="G9">
        <v>1.31</v>
      </c>
      <c r="H9">
        <v>1.07</v>
      </c>
      <c r="I9">
        <v>1.59</v>
      </c>
      <c r="J9">
        <f t="shared" si="0"/>
        <v>-0.14918626365362442</v>
      </c>
      <c r="K9">
        <f t="shared" si="1"/>
        <v>0.99975897806700409</v>
      </c>
      <c r="L9">
        <f t="shared" si="2"/>
        <v>-0.14915030649198219</v>
      </c>
      <c r="M9">
        <f t="shared" si="3"/>
        <v>5.5823002559240803E-2</v>
      </c>
      <c r="N9">
        <f t="shared" si="4"/>
        <v>5.580954799125834E-2</v>
      </c>
    </row>
    <row r="10" spans="1:14" x14ac:dyDescent="0.25">
      <c r="A10" t="s">
        <v>8</v>
      </c>
      <c r="B10">
        <v>2016</v>
      </c>
      <c r="C10">
        <v>2</v>
      </c>
      <c r="D10">
        <v>128</v>
      </c>
      <c r="E10">
        <v>3</v>
      </c>
      <c r="F10">
        <v>130</v>
      </c>
      <c r="G10">
        <v>0.68</v>
      </c>
      <c r="H10">
        <v>0.12</v>
      </c>
      <c r="I10">
        <v>3.98</v>
      </c>
      <c r="J10">
        <f t="shared" si="0"/>
        <v>0.21307319381877601</v>
      </c>
      <c r="K10">
        <f t="shared" si="1"/>
        <v>0.99706744868035191</v>
      </c>
      <c r="L10">
        <f t="shared" si="2"/>
        <v>0.21244834574306112</v>
      </c>
      <c r="M10">
        <f t="shared" si="3"/>
        <v>0.49350904209838165</v>
      </c>
      <c r="N10">
        <f t="shared" si="4"/>
        <v>0.49206180150571777</v>
      </c>
    </row>
    <row r="11" spans="1:14" x14ac:dyDescent="0.25">
      <c r="A11" t="s">
        <v>40</v>
      </c>
      <c r="B11">
        <v>2010</v>
      </c>
      <c r="C11">
        <v>29</v>
      </c>
      <c r="D11">
        <v>282</v>
      </c>
      <c r="E11">
        <v>35</v>
      </c>
      <c r="F11">
        <v>281</v>
      </c>
      <c r="G11">
        <v>0.83</v>
      </c>
      <c r="H11">
        <v>0.52</v>
      </c>
      <c r="I11">
        <v>1.31</v>
      </c>
      <c r="J11">
        <f t="shared" si="0"/>
        <v>0.1029445183378417</v>
      </c>
      <c r="K11">
        <f t="shared" si="1"/>
        <v>0.99866250557289349</v>
      </c>
      <c r="L11">
        <f t="shared" si="2"/>
        <v>0.10280683061826366</v>
      </c>
      <c r="M11">
        <f t="shared" si="3"/>
        <v>0.13022234815364248</v>
      </c>
      <c r="N11">
        <f t="shared" si="4"/>
        <v>0.13004817648870226</v>
      </c>
    </row>
    <row r="12" spans="1:14" x14ac:dyDescent="0.25">
      <c r="A12" t="s">
        <v>9</v>
      </c>
      <c r="B12">
        <v>2014</v>
      </c>
      <c r="C12">
        <v>11</v>
      </c>
      <c r="D12">
        <v>119</v>
      </c>
      <c r="E12">
        <v>24</v>
      </c>
      <c r="F12">
        <v>119</v>
      </c>
      <c r="G12">
        <v>0.46</v>
      </c>
      <c r="H12">
        <v>0.24</v>
      </c>
      <c r="I12">
        <v>0.89</v>
      </c>
      <c r="J12">
        <f t="shared" si="0"/>
        <v>0.42902143066242887</v>
      </c>
      <c r="K12">
        <f t="shared" si="1"/>
        <v>0.99681866383881235</v>
      </c>
      <c r="L12">
        <f t="shared" si="2"/>
        <v>0.42765656927113804</v>
      </c>
      <c r="M12">
        <f t="shared" si="3"/>
        <v>0.18471396710229371</v>
      </c>
      <c r="N12">
        <f t="shared" si="4"/>
        <v>0.18412632987927474</v>
      </c>
    </row>
    <row r="13" spans="1:14" x14ac:dyDescent="0.25">
      <c r="A13" t="s">
        <v>10</v>
      </c>
      <c r="B13">
        <v>2018</v>
      </c>
      <c r="C13">
        <v>5</v>
      </c>
      <c r="D13">
        <v>148</v>
      </c>
      <c r="E13">
        <v>9</v>
      </c>
      <c r="F13">
        <v>141</v>
      </c>
      <c r="G13">
        <v>0.53</v>
      </c>
      <c r="H13">
        <v>0.18</v>
      </c>
      <c r="I13">
        <v>1.54</v>
      </c>
      <c r="J13">
        <f t="shared" si="0"/>
        <v>0.35076147648396105</v>
      </c>
      <c r="K13">
        <f t="shared" si="1"/>
        <v>0.99738448125544898</v>
      </c>
      <c r="L13">
        <f t="shared" si="2"/>
        <v>0.34984405326735085</v>
      </c>
      <c r="M13">
        <f t="shared" si="3"/>
        <v>0.30253986420643036</v>
      </c>
      <c r="N13">
        <f t="shared" si="4"/>
        <v>0.30174856552062451</v>
      </c>
    </row>
    <row r="14" spans="1:14" x14ac:dyDescent="0.25">
      <c r="A14" t="s">
        <v>11</v>
      </c>
      <c r="B14">
        <v>2014</v>
      </c>
      <c r="C14">
        <v>5</v>
      </c>
      <c r="D14">
        <v>168</v>
      </c>
      <c r="E14">
        <v>6</v>
      </c>
      <c r="F14">
        <v>75</v>
      </c>
      <c r="G14">
        <v>0.37</v>
      </c>
      <c r="H14">
        <v>0.12</v>
      </c>
      <c r="I14">
        <v>1.18</v>
      </c>
      <c r="J14">
        <f t="shared" si="0"/>
        <v>0.54931064825628007</v>
      </c>
      <c r="K14">
        <f t="shared" si="1"/>
        <v>0.99688473520249221</v>
      </c>
      <c r="L14">
        <f t="shared" si="2"/>
        <v>0.54759940013087105</v>
      </c>
      <c r="M14">
        <f t="shared" si="3"/>
        <v>0.32215835701286277</v>
      </c>
      <c r="N14">
        <f t="shared" si="4"/>
        <v>0.32115474842403763</v>
      </c>
    </row>
    <row r="15" spans="1:14" x14ac:dyDescent="0.25">
      <c r="A15" t="s">
        <v>12</v>
      </c>
      <c r="B15">
        <v>2008</v>
      </c>
      <c r="C15">
        <v>1</v>
      </c>
      <c r="D15">
        <v>188</v>
      </c>
      <c r="E15">
        <v>0</v>
      </c>
      <c r="F15">
        <v>186</v>
      </c>
      <c r="G15">
        <v>2.97</v>
      </c>
      <c r="H15">
        <v>0.12</v>
      </c>
      <c r="I15">
        <v>72.400000000000006</v>
      </c>
      <c r="J15">
        <f t="shared" si="0"/>
        <v>-0.60141544354398246</v>
      </c>
      <c r="K15">
        <f t="shared" si="1"/>
        <v>0.99798251513113656</v>
      </c>
      <c r="L15">
        <f t="shared" si="2"/>
        <v>-0.60020209698673166</v>
      </c>
      <c r="M15">
        <f t="shared" si="3"/>
        <v>0.90236636537261283</v>
      </c>
      <c r="N15">
        <f t="shared" si="4"/>
        <v>0.90054585488430228</v>
      </c>
    </row>
    <row r="16" spans="1:14" x14ac:dyDescent="0.25">
      <c r="A16" t="s">
        <v>13</v>
      </c>
      <c r="B16">
        <v>2014</v>
      </c>
      <c r="C16">
        <v>8</v>
      </c>
      <c r="D16">
        <v>195</v>
      </c>
      <c r="E16">
        <v>5</v>
      </c>
      <c r="F16">
        <v>196</v>
      </c>
      <c r="G16">
        <v>1.61</v>
      </c>
      <c r="H16">
        <v>0.54</v>
      </c>
      <c r="I16">
        <v>4.83</v>
      </c>
      <c r="J16">
        <f t="shared" si="0"/>
        <v>-0.26311280607534349</v>
      </c>
      <c r="K16">
        <f t="shared" si="1"/>
        <v>0.99807073954983927</v>
      </c>
      <c r="L16">
        <f t="shared" si="2"/>
        <v>-0.26260519294465151</v>
      </c>
      <c r="M16">
        <f t="shared" si="3"/>
        <v>0.30880491136096211</v>
      </c>
      <c r="N16">
        <f t="shared" si="4"/>
        <v>0.30820914625865803</v>
      </c>
    </row>
    <row r="17" spans="1:14" x14ac:dyDescent="0.25">
      <c r="A17" t="s">
        <v>14</v>
      </c>
      <c r="B17">
        <v>2005</v>
      </c>
      <c r="C17">
        <v>31</v>
      </c>
      <c r="D17">
        <v>200</v>
      </c>
      <c r="E17">
        <v>39</v>
      </c>
      <c r="F17">
        <v>202</v>
      </c>
      <c r="G17">
        <v>0.8</v>
      </c>
      <c r="H17">
        <v>0.52</v>
      </c>
      <c r="I17">
        <v>1.23</v>
      </c>
      <c r="J17">
        <f t="shared" si="0"/>
        <v>0.12328373000785066</v>
      </c>
      <c r="K17">
        <f t="shared" si="1"/>
        <v>0.99812382739212002</v>
      </c>
      <c r="L17">
        <f t="shared" si="2"/>
        <v>0.12305242845061266</v>
      </c>
      <c r="M17">
        <f t="shared" si="3"/>
        <v>0.12134127815861288</v>
      </c>
      <c r="N17">
        <f t="shared" si="4"/>
        <v>0.12111362097632655</v>
      </c>
    </row>
    <row r="18" spans="1:14" x14ac:dyDescent="0.25">
      <c r="A18" t="s">
        <v>15</v>
      </c>
      <c r="B18">
        <v>2013</v>
      </c>
      <c r="C18">
        <v>4</v>
      </c>
      <c r="D18">
        <v>289</v>
      </c>
      <c r="E18">
        <v>4</v>
      </c>
      <c r="F18">
        <v>297</v>
      </c>
      <c r="G18">
        <v>1.03</v>
      </c>
      <c r="H18">
        <v>0.26</v>
      </c>
      <c r="I18">
        <v>4.07</v>
      </c>
      <c r="J18">
        <f t="shared" si="0"/>
        <v>-1.6330829967704102E-2</v>
      </c>
      <c r="K18">
        <f t="shared" si="1"/>
        <v>0.99871520342612419</v>
      </c>
      <c r="L18">
        <f t="shared" si="2"/>
        <v>-1.6309848173313046E-2</v>
      </c>
      <c r="M18">
        <f t="shared" si="3"/>
        <v>0.38768697815722075</v>
      </c>
      <c r="N18">
        <f t="shared" si="4"/>
        <v>0.38718887925594808</v>
      </c>
    </row>
    <row r="19" spans="1:14" x14ac:dyDescent="0.25">
      <c r="A19" t="s">
        <v>16</v>
      </c>
      <c r="B19">
        <v>2016</v>
      </c>
      <c r="C19">
        <v>18</v>
      </c>
      <c r="D19">
        <v>101</v>
      </c>
      <c r="E19">
        <v>16</v>
      </c>
      <c r="F19">
        <v>101</v>
      </c>
      <c r="G19">
        <v>1.1299999999999999</v>
      </c>
      <c r="H19">
        <v>0.61</v>
      </c>
      <c r="I19">
        <v>2.08</v>
      </c>
      <c r="J19">
        <f t="shared" si="0"/>
        <v>-6.7523553991297849E-2</v>
      </c>
      <c r="K19">
        <f t="shared" si="1"/>
        <v>0.99624530663329158</v>
      </c>
      <c r="L19">
        <f t="shared" si="2"/>
        <v>-6.7270023751030139E-2</v>
      </c>
      <c r="M19">
        <f t="shared" si="3"/>
        <v>0.17288648882737723</v>
      </c>
      <c r="N19">
        <f t="shared" si="4"/>
        <v>0.17223735307458357</v>
      </c>
    </row>
    <row r="20" spans="1:14" x14ac:dyDescent="0.25">
      <c r="A20" t="s">
        <v>17</v>
      </c>
      <c r="B20">
        <v>2008</v>
      </c>
      <c r="C20">
        <v>783</v>
      </c>
      <c r="D20">
        <v>3494</v>
      </c>
      <c r="E20">
        <v>831</v>
      </c>
      <c r="F20">
        <v>3481</v>
      </c>
      <c r="G20">
        <v>0.94</v>
      </c>
      <c r="H20">
        <v>0.86</v>
      </c>
      <c r="I20">
        <v>1.02</v>
      </c>
      <c r="J20">
        <f t="shared" si="0"/>
        <v>3.418530592159532E-2</v>
      </c>
      <c r="K20">
        <f t="shared" si="1"/>
        <v>0.99989243842099607</v>
      </c>
      <c r="L20">
        <f t="shared" si="2"/>
        <v>3.4181628896111663E-2</v>
      </c>
      <c r="M20">
        <f t="shared" si="3"/>
        <v>2.4048020778943989E-2</v>
      </c>
      <c r="N20">
        <f t="shared" si="4"/>
        <v>2.4045434135857087E-2</v>
      </c>
    </row>
    <row r="21" spans="1:14" x14ac:dyDescent="0.25">
      <c r="A21" t="s">
        <v>18</v>
      </c>
      <c r="B21">
        <v>1999</v>
      </c>
      <c r="C21">
        <v>1552</v>
      </c>
      <c r="D21">
        <v>5666</v>
      </c>
      <c r="E21">
        <v>1550</v>
      </c>
      <c r="F21">
        <v>5658</v>
      </c>
      <c r="G21">
        <v>1</v>
      </c>
      <c r="H21">
        <v>0.94</v>
      </c>
      <c r="I21">
        <v>1.06</v>
      </c>
      <c r="J21">
        <f t="shared" si="0"/>
        <v>0</v>
      </c>
      <c r="K21">
        <f t="shared" si="1"/>
        <v>0.99993375582396715</v>
      </c>
      <c r="L21">
        <f t="shared" si="2"/>
        <v>0</v>
      </c>
      <c r="M21">
        <f t="shared" si="3"/>
        <v>1.6933181847173209E-2</v>
      </c>
      <c r="N21">
        <f t="shared" si="4"/>
        <v>1.6932060122494128E-2</v>
      </c>
    </row>
    <row r="22" spans="1:14" x14ac:dyDescent="0.25">
      <c r="A22" t="s">
        <v>19</v>
      </c>
      <c r="B22">
        <v>1995</v>
      </c>
      <c r="C22">
        <v>7</v>
      </c>
      <c r="D22">
        <v>41</v>
      </c>
      <c r="E22">
        <v>7</v>
      </c>
      <c r="F22">
        <v>39</v>
      </c>
      <c r="G22">
        <v>0.95</v>
      </c>
      <c r="H22">
        <v>0.37</v>
      </c>
      <c r="I22">
        <v>2.46</v>
      </c>
      <c r="J22">
        <f t="shared" si="0"/>
        <v>2.8338836678204738E-2</v>
      </c>
      <c r="K22">
        <f t="shared" si="1"/>
        <v>0.99035369774919613</v>
      </c>
      <c r="L22">
        <f t="shared" si="2"/>
        <v>2.8065471694170608E-2</v>
      </c>
      <c r="M22">
        <f t="shared" si="3"/>
        <v>0.26699932676853905</v>
      </c>
      <c r="N22">
        <f t="shared" si="4"/>
        <v>0.26442377056176858</v>
      </c>
    </row>
    <row r="23" spans="1:14" x14ac:dyDescent="0.25">
      <c r="A23" t="s">
        <v>20</v>
      </c>
      <c r="B23">
        <v>2017</v>
      </c>
      <c r="C23">
        <v>45</v>
      </c>
      <c r="D23">
        <v>143</v>
      </c>
      <c r="E23">
        <v>39</v>
      </c>
      <c r="F23">
        <v>142</v>
      </c>
      <c r="G23">
        <v>1.1499999999999999</v>
      </c>
      <c r="H23">
        <v>0.8</v>
      </c>
      <c r="I23">
        <v>1.64</v>
      </c>
      <c r="J23">
        <f t="shared" si="0"/>
        <v>-7.7216542748706415E-2</v>
      </c>
      <c r="K23">
        <f t="shared" si="1"/>
        <v>0.99734748010610075</v>
      </c>
      <c r="L23">
        <f t="shared" si="2"/>
        <v>-7.7011724332927356E-2</v>
      </c>
      <c r="M23">
        <f t="shared" si="3"/>
        <v>0.10117259459216324</v>
      </c>
      <c r="N23">
        <f t="shared" si="4"/>
        <v>0.10090423227229012</v>
      </c>
    </row>
    <row r="24" spans="1:14" x14ac:dyDescent="0.25">
      <c r="A24" t="s">
        <v>21</v>
      </c>
      <c r="B24">
        <v>2007</v>
      </c>
      <c r="C24">
        <v>262</v>
      </c>
      <c r="D24">
        <v>9326</v>
      </c>
      <c r="E24">
        <v>324</v>
      </c>
      <c r="F24">
        <v>9319</v>
      </c>
      <c r="G24">
        <v>0.81</v>
      </c>
      <c r="H24">
        <v>0.69</v>
      </c>
      <c r="I24">
        <v>0.95</v>
      </c>
      <c r="J24">
        <f t="shared" si="0"/>
        <v>0.11642045929041576</v>
      </c>
      <c r="K24">
        <f t="shared" si="1"/>
        <v>0.99995976988373492</v>
      </c>
      <c r="L24">
        <f t="shared" si="2"/>
        <v>0.11641577568180288</v>
      </c>
      <c r="M24">
        <f t="shared" si="3"/>
        <v>4.5068551556444E-2</v>
      </c>
      <c r="N24">
        <f t="shared" si="4"/>
        <v>4.5066738443374985E-2</v>
      </c>
    </row>
    <row r="25" spans="1:14" x14ac:dyDescent="0.25">
      <c r="A25" t="s">
        <v>22</v>
      </c>
      <c r="B25">
        <v>2013</v>
      </c>
      <c r="C25">
        <v>1</v>
      </c>
      <c r="D25">
        <v>39</v>
      </c>
      <c r="E25">
        <v>1</v>
      </c>
      <c r="F25">
        <v>39</v>
      </c>
      <c r="G25">
        <v>1</v>
      </c>
      <c r="H25">
        <v>0.06</v>
      </c>
      <c r="I25">
        <v>15.43</v>
      </c>
      <c r="J25">
        <f t="shared" si="0"/>
        <v>0</v>
      </c>
      <c r="K25">
        <f t="shared" si="1"/>
        <v>0.99009900990099009</v>
      </c>
      <c r="L25">
        <f t="shared" si="2"/>
        <v>0</v>
      </c>
      <c r="M25">
        <f t="shared" si="3"/>
        <v>0.78218011939552168</v>
      </c>
      <c r="N25">
        <f t="shared" si="4"/>
        <v>0.7744357617777442</v>
      </c>
    </row>
    <row r="26" spans="1:14" x14ac:dyDescent="0.25">
      <c r="A26" t="s">
        <v>23</v>
      </c>
      <c r="B26">
        <v>2017</v>
      </c>
      <c r="C26">
        <v>192</v>
      </c>
      <c r="D26">
        <v>820</v>
      </c>
      <c r="E26">
        <v>164</v>
      </c>
      <c r="F26">
        <v>832</v>
      </c>
      <c r="G26">
        <v>1.19</v>
      </c>
      <c r="H26">
        <v>0.99</v>
      </c>
      <c r="I26">
        <v>1.43</v>
      </c>
      <c r="J26">
        <f t="shared" si="0"/>
        <v>-9.6106799515711591E-2</v>
      </c>
      <c r="K26">
        <f t="shared" si="1"/>
        <v>0.99954538566449458</v>
      </c>
      <c r="L26">
        <f t="shared" si="2"/>
        <v>-9.60631079869122E-2</v>
      </c>
      <c r="M26">
        <f t="shared" si="3"/>
        <v>5.1827260700941104E-2</v>
      </c>
      <c r="N26">
        <f t="shared" si="4"/>
        <v>5.180369928525648E-2</v>
      </c>
    </row>
    <row r="27" spans="1:14" x14ac:dyDescent="0.25">
      <c r="A27" t="s">
        <v>24</v>
      </c>
      <c r="B27">
        <v>2011</v>
      </c>
      <c r="C27">
        <v>10</v>
      </c>
      <c r="D27">
        <v>67</v>
      </c>
      <c r="E27">
        <v>26</v>
      </c>
      <c r="F27">
        <v>66</v>
      </c>
      <c r="G27">
        <v>0.38</v>
      </c>
      <c r="H27">
        <v>0.2</v>
      </c>
      <c r="I27">
        <v>0.72</v>
      </c>
      <c r="J27">
        <f t="shared" si="0"/>
        <v>0.5345768100893401</v>
      </c>
      <c r="K27">
        <f t="shared" si="1"/>
        <v>0.99426386233269604</v>
      </c>
      <c r="L27">
        <f t="shared" si="2"/>
        <v>0.53151040391291948</v>
      </c>
      <c r="M27">
        <f t="shared" si="3"/>
        <v>0.18053526968402078</v>
      </c>
      <c r="N27">
        <f t="shared" si="4"/>
        <v>0.17949969452330938</v>
      </c>
    </row>
    <row r="28" spans="1:14" x14ac:dyDescent="0.25">
      <c r="A28" t="s">
        <v>25</v>
      </c>
      <c r="B28">
        <v>2009</v>
      </c>
      <c r="C28">
        <v>0</v>
      </c>
      <c r="D28">
        <v>38</v>
      </c>
      <c r="E28">
        <v>4</v>
      </c>
      <c r="F28">
        <v>34</v>
      </c>
      <c r="G28">
        <v>0.1</v>
      </c>
      <c r="H28">
        <v>0.01</v>
      </c>
      <c r="I28">
        <v>1.79</v>
      </c>
      <c r="J28">
        <f t="shared" si="0"/>
        <v>1.2721464602177046</v>
      </c>
      <c r="K28">
        <f t="shared" si="1"/>
        <v>0.989247311827957</v>
      </c>
      <c r="L28">
        <f t="shared" si="2"/>
        <v>1.2584674660218154</v>
      </c>
      <c r="M28">
        <f t="shared" si="3"/>
        <v>0.73111199202851995</v>
      </c>
      <c r="N28">
        <f t="shared" si="4"/>
        <v>0.72325057275939608</v>
      </c>
    </row>
    <row r="29" spans="1:14" x14ac:dyDescent="0.25">
      <c r="A29" t="s">
        <v>26</v>
      </c>
      <c r="B29">
        <v>2001</v>
      </c>
      <c r="C29">
        <v>42</v>
      </c>
      <c r="D29">
        <v>150</v>
      </c>
      <c r="E29">
        <v>36</v>
      </c>
      <c r="F29">
        <v>150</v>
      </c>
      <c r="G29">
        <v>1.17</v>
      </c>
      <c r="H29">
        <v>0.8</v>
      </c>
      <c r="I29">
        <v>1.71</v>
      </c>
      <c r="J29">
        <f t="shared" si="0"/>
        <v>-8.6742402657273315E-2</v>
      </c>
      <c r="K29">
        <f t="shared" si="1"/>
        <v>0.9974811083123426</v>
      </c>
      <c r="L29">
        <f t="shared" si="2"/>
        <v>-8.6523907940252484E-2</v>
      </c>
      <c r="M29">
        <f t="shared" si="3"/>
        <v>0.10706349670605171</v>
      </c>
      <c r="N29">
        <f t="shared" si="4"/>
        <v>0.10679381535414731</v>
      </c>
    </row>
    <row r="30" spans="1:14" x14ac:dyDescent="0.25">
      <c r="A30" t="s">
        <v>27</v>
      </c>
      <c r="B30">
        <v>2009</v>
      </c>
      <c r="C30">
        <v>534</v>
      </c>
      <c r="D30">
        <v>1752</v>
      </c>
      <c r="E30">
        <v>541</v>
      </c>
      <c r="F30">
        <v>1701</v>
      </c>
      <c r="G30">
        <v>0.96</v>
      </c>
      <c r="H30">
        <v>0.87</v>
      </c>
      <c r="I30">
        <v>1.06</v>
      </c>
      <c r="J30">
        <f t="shared" si="0"/>
        <v>2.2553588132737661E-2</v>
      </c>
      <c r="K30">
        <f t="shared" si="1"/>
        <v>0.99978265594435989</v>
      </c>
      <c r="L30">
        <f t="shared" si="2"/>
        <v>2.2548686244423653E-2</v>
      </c>
      <c r="M30">
        <f t="shared" si="3"/>
        <v>2.7840085615272792E-2</v>
      </c>
      <c r="N30">
        <f t="shared" si="4"/>
        <v>2.7834034738155801E-2</v>
      </c>
    </row>
    <row r="31" spans="1:14" x14ac:dyDescent="0.25">
      <c r="A31" t="s">
        <v>28</v>
      </c>
      <c r="B31">
        <v>2012</v>
      </c>
      <c r="C31">
        <v>1276</v>
      </c>
      <c r="D31">
        <v>6281</v>
      </c>
      <c r="E31">
        <v>1295</v>
      </c>
      <c r="F31">
        <v>6255</v>
      </c>
      <c r="G31">
        <v>0.98</v>
      </c>
      <c r="H31">
        <v>0.92</v>
      </c>
      <c r="I31">
        <v>1.05</v>
      </c>
      <c r="J31">
        <f t="shared" si="0"/>
        <v>1.1161716750010754E-2</v>
      </c>
      <c r="K31">
        <f t="shared" si="1"/>
        <v>0.99994016156377785</v>
      </c>
      <c r="L31">
        <f t="shared" si="2"/>
        <v>1.1161048850334879E-2</v>
      </c>
      <c r="M31">
        <f t="shared" si="3"/>
        <v>1.8628336496290879E-2</v>
      </c>
      <c r="N31">
        <f t="shared" si="4"/>
        <v>1.862722180576552E-2</v>
      </c>
    </row>
    <row r="32" spans="1:14" x14ac:dyDescent="0.25">
      <c r="A32" t="s">
        <v>29</v>
      </c>
      <c r="B32">
        <v>2015</v>
      </c>
      <c r="C32">
        <v>1</v>
      </c>
      <c r="D32">
        <v>87</v>
      </c>
      <c r="E32">
        <v>0</v>
      </c>
      <c r="F32">
        <v>53</v>
      </c>
      <c r="G32">
        <v>1.84</v>
      </c>
      <c r="H32">
        <v>0.08</v>
      </c>
      <c r="I32">
        <v>44.38</v>
      </c>
      <c r="J32">
        <f t="shared" si="0"/>
        <v>-0.3368870561441405</v>
      </c>
      <c r="K32">
        <f t="shared" si="1"/>
        <v>0.99455535390199634</v>
      </c>
      <c r="L32">
        <f t="shared" si="2"/>
        <v>-0.33505282534843739</v>
      </c>
      <c r="M32">
        <f t="shared" si="3"/>
        <v>0.89053410218354712</v>
      </c>
      <c r="N32">
        <f t="shared" si="4"/>
        <v>0.88568545915895425</v>
      </c>
    </row>
    <row r="33" spans="1:14" x14ac:dyDescent="0.25">
      <c r="A33" t="s">
        <v>30</v>
      </c>
      <c r="B33">
        <v>2005</v>
      </c>
      <c r="C33">
        <v>1</v>
      </c>
      <c r="D33">
        <v>60</v>
      </c>
      <c r="E33">
        <v>0</v>
      </c>
      <c r="F33">
        <v>61</v>
      </c>
      <c r="G33">
        <v>3.05</v>
      </c>
      <c r="H33">
        <v>0.13</v>
      </c>
      <c r="I33">
        <v>73.400000000000006</v>
      </c>
      <c r="J33">
        <f t="shared" si="0"/>
        <v>-0.61610032630901668</v>
      </c>
      <c r="K33">
        <f t="shared" si="1"/>
        <v>0.99368421052631584</v>
      </c>
      <c r="L33">
        <f t="shared" si="2"/>
        <v>-0.61220916635338085</v>
      </c>
      <c r="M33">
        <f t="shared" si="3"/>
        <v>0.8930184863213193</v>
      </c>
      <c r="N33">
        <f t="shared" si="4"/>
        <v>0.88737836956560578</v>
      </c>
    </row>
    <row r="34" spans="1:14" x14ac:dyDescent="0.25">
      <c r="A34" t="s">
        <v>31</v>
      </c>
      <c r="B34">
        <v>2005</v>
      </c>
      <c r="C34">
        <v>2</v>
      </c>
      <c r="D34">
        <v>100</v>
      </c>
      <c r="E34">
        <v>5</v>
      </c>
      <c r="F34">
        <v>100</v>
      </c>
      <c r="G34">
        <v>0.4</v>
      </c>
      <c r="H34">
        <v>0.08</v>
      </c>
      <c r="I34">
        <v>2.0099999999999998</v>
      </c>
      <c r="J34">
        <f t="shared" si="0"/>
        <v>0.5062379734111353</v>
      </c>
      <c r="K34">
        <f t="shared" si="1"/>
        <v>0.99620733249051829</v>
      </c>
      <c r="L34">
        <f t="shared" si="2"/>
        <v>0.50431798109731307</v>
      </c>
      <c r="M34">
        <f t="shared" si="3"/>
        <v>0.45437244424106998</v>
      </c>
      <c r="N34">
        <f t="shared" si="4"/>
        <v>0.4526491606345931</v>
      </c>
    </row>
    <row r="35" spans="1:14" x14ac:dyDescent="0.25">
      <c r="A35" t="s">
        <v>32</v>
      </c>
      <c r="B35">
        <v>2019</v>
      </c>
      <c r="C35">
        <v>459</v>
      </c>
      <c r="D35">
        <v>4089</v>
      </c>
      <c r="E35">
        <v>606</v>
      </c>
      <c r="F35">
        <v>4090</v>
      </c>
      <c r="G35">
        <v>0.76</v>
      </c>
      <c r="H35">
        <v>0.68</v>
      </c>
      <c r="I35">
        <v>0.85</v>
      </c>
      <c r="J35">
        <f t="shared" si="0"/>
        <v>0.15162256668605542</v>
      </c>
      <c r="K35">
        <f t="shared" si="1"/>
        <v>0.99990827651573055</v>
      </c>
      <c r="L35">
        <f t="shared" si="2"/>
        <v>0.15160865933594511</v>
      </c>
      <c r="M35">
        <f t="shared" si="3"/>
        <v>3.1449931124451692E-2</v>
      </c>
      <c r="N35">
        <f t="shared" si="4"/>
        <v>3.1447046427188922E-2</v>
      </c>
    </row>
    <row r="36" spans="1:14" x14ac:dyDescent="0.25">
      <c r="A36" t="s">
        <v>41</v>
      </c>
      <c r="B36">
        <v>2013</v>
      </c>
      <c r="C36">
        <v>733</v>
      </c>
      <c r="D36">
        <v>6239</v>
      </c>
      <c r="E36">
        <v>745</v>
      </c>
      <c r="F36">
        <v>6266</v>
      </c>
      <c r="G36">
        <v>0.99</v>
      </c>
      <c r="H36">
        <v>0.9</v>
      </c>
      <c r="I36">
        <v>1.0900000000000001</v>
      </c>
      <c r="J36">
        <f t="shared" si="0"/>
        <v>5.5526717422659947E-3</v>
      </c>
      <c r="K36">
        <f t="shared" si="1"/>
        <v>0.99994001319709669</v>
      </c>
      <c r="L36">
        <f t="shared" si="2"/>
        <v>5.5523386552406044E-3</v>
      </c>
      <c r="M36">
        <f t="shared" si="3"/>
        <v>2.6995463397632018E-2</v>
      </c>
      <c r="N36">
        <f t="shared" si="4"/>
        <v>2.6993844026089901E-2</v>
      </c>
    </row>
    <row r="37" spans="1:14" x14ac:dyDescent="0.25">
      <c r="A37" t="s">
        <v>33</v>
      </c>
      <c r="B37">
        <v>2016</v>
      </c>
      <c r="C37">
        <v>2</v>
      </c>
      <c r="D37">
        <v>107</v>
      </c>
      <c r="E37">
        <v>1</v>
      </c>
      <c r="F37">
        <v>106</v>
      </c>
      <c r="G37">
        <v>1.98</v>
      </c>
      <c r="H37">
        <v>0.18</v>
      </c>
      <c r="I37">
        <v>21.52</v>
      </c>
      <c r="J37">
        <f t="shared" si="0"/>
        <v>-0.37740157166101868</v>
      </c>
      <c r="K37">
        <f t="shared" si="1"/>
        <v>0.99644128113879005</v>
      </c>
      <c r="L37">
        <f t="shared" si="2"/>
        <v>-0.37605850556969833</v>
      </c>
      <c r="M37">
        <f t="shared" si="3"/>
        <v>0.67422781082781447</v>
      </c>
      <c r="N37">
        <f t="shared" si="4"/>
        <v>0.67182842360066919</v>
      </c>
    </row>
    <row r="38" spans="1:14" x14ac:dyDescent="0.25">
      <c r="A38" t="s">
        <v>34</v>
      </c>
      <c r="B38">
        <v>1999</v>
      </c>
      <c r="C38">
        <v>17</v>
      </c>
      <c r="D38">
        <v>112</v>
      </c>
      <c r="E38">
        <v>26</v>
      </c>
      <c r="F38">
        <v>111</v>
      </c>
      <c r="G38">
        <v>0.65</v>
      </c>
      <c r="H38">
        <v>0.37</v>
      </c>
      <c r="I38">
        <v>1.1299999999999999</v>
      </c>
      <c r="J38">
        <f t="shared" si="0"/>
        <v>0.23800161110080342</v>
      </c>
      <c r="K38">
        <f t="shared" si="1"/>
        <v>0.99660249150622882</v>
      </c>
      <c r="L38">
        <f t="shared" si="2"/>
        <v>0.2371929986055572</v>
      </c>
      <c r="M38">
        <f t="shared" si="3"/>
        <v>0.15735566383866784</v>
      </c>
      <c r="N38">
        <f t="shared" si="4"/>
        <v>0.15682104663423296</v>
      </c>
    </row>
    <row r="39" spans="1:14" x14ac:dyDescent="0.25">
      <c r="A39" t="s">
        <v>35</v>
      </c>
      <c r="B39">
        <v>2014</v>
      </c>
      <c r="C39">
        <v>1</v>
      </c>
      <c r="D39">
        <v>13</v>
      </c>
      <c r="E39">
        <v>0</v>
      </c>
      <c r="F39">
        <v>13</v>
      </c>
      <c r="G39">
        <v>3</v>
      </c>
      <c r="H39">
        <v>0.13</v>
      </c>
      <c r="I39">
        <v>67.510000000000005</v>
      </c>
      <c r="J39">
        <f t="shared" si="0"/>
        <v>-0.6069681152862485</v>
      </c>
      <c r="K39">
        <f t="shared" si="1"/>
        <v>0.96842105263157896</v>
      </c>
      <c r="L39">
        <f t="shared" si="2"/>
        <v>-0.58780070111931437</v>
      </c>
      <c r="M39">
        <f t="shared" si="3"/>
        <v>0.88122907931845951</v>
      </c>
      <c r="N39">
        <f t="shared" si="4"/>
        <v>0.85340079260313972</v>
      </c>
    </row>
    <row r="40" spans="1:14" x14ac:dyDescent="0.25">
      <c r="A40" t="s">
        <v>36</v>
      </c>
      <c r="B40">
        <v>1996</v>
      </c>
      <c r="C40">
        <v>15</v>
      </c>
      <c r="D40">
        <v>317</v>
      </c>
      <c r="E40">
        <v>12</v>
      </c>
      <c r="F40">
        <v>293</v>
      </c>
      <c r="G40">
        <v>1.1599999999999999</v>
      </c>
      <c r="H40">
        <v>0.55000000000000004</v>
      </c>
      <c r="I40">
        <v>2.4300000000000002</v>
      </c>
      <c r="J40">
        <f t="shared" si="0"/>
        <v>-8.2000002827775254E-2</v>
      </c>
      <c r="K40">
        <f t="shared" si="1"/>
        <v>0.99876593994241059</v>
      </c>
      <c r="L40">
        <f t="shared" si="2"/>
        <v>-8.1898809899563274E-2</v>
      </c>
      <c r="M40">
        <f t="shared" si="3"/>
        <v>0.20939906670820801</v>
      </c>
      <c r="N40">
        <f t="shared" si="4"/>
        <v>0.2091406556838869</v>
      </c>
    </row>
    <row r="41" spans="1:14" x14ac:dyDescent="0.25">
      <c r="A41" t="s">
        <v>37</v>
      </c>
      <c r="B41">
        <v>2006</v>
      </c>
      <c r="C41">
        <v>65</v>
      </c>
      <c r="D41">
        <v>273</v>
      </c>
      <c r="E41">
        <v>62</v>
      </c>
      <c r="F41">
        <v>273</v>
      </c>
      <c r="G41">
        <v>1.05</v>
      </c>
      <c r="H41">
        <v>0.77</v>
      </c>
      <c r="I41">
        <v>1.42</v>
      </c>
      <c r="J41">
        <f t="shared" si="0"/>
        <v>-2.6955891806316048E-2</v>
      </c>
      <c r="K41">
        <f t="shared" si="1"/>
        <v>0.99862068965517237</v>
      </c>
      <c r="L41">
        <f t="shared" si="2"/>
        <v>-2.6918711265893541E-2</v>
      </c>
      <c r="M41">
        <f t="shared" si="3"/>
        <v>8.6258546023731092E-2</v>
      </c>
      <c r="N41">
        <f t="shared" si="4"/>
        <v>8.6139568718870768E-2</v>
      </c>
    </row>
    <row r="42" spans="1:14" x14ac:dyDescent="0.25">
      <c r="A42" t="s">
        <v>38</v>
      </c>
      <c r="B42">
        <v>2010</v>
      </c>
      <c r="C42">
        <v>216</v>
      </c>
      <c r="D42">
        <v>1253</v>
      </c>
      <c r="E42">
        <v>211</v>
      </c>
      <c r="F42">
        <v>1248</v>
      </c>
      <c r="G42">
        <v>1.02</v>
      </c>
      <c r="H42">
        <v>0.86</v>
      </c>
      <c r="I42">
        <v>1.21</v>
      </c>
      <c r="J42">
        <f t="shared" si="0"/>
        <v>-1.0940678064187696E-2</v>
      </c>
      <c r="K42">
        <f t="shared" si="1"/>
        <v>0.99969984992496252</v>
      </c>
      <c r="L42">
        <f t="shared" si="2"/>
        <v>-1.0937394218845769E-2</v>
      </c>
      <c r="M42">
        <f t="shared" si="3"/>
        <v>4.8123132447744014E-2</v>
      </c>
      <c r="N42">
        <f t="shared" si="4"/>
        <v>4.8108688285928784E-2</v>
      </c>
    </row>
    <row r="43" spans="1:14" x14ac:dyDescent="0.25">
      <c r="A43" t="s">
        <v>42</v>
      </c>
      <c r="B43">
        <v>2008</v>
      </c>
      <c r="C43">
        <v>14</v>
      </c>
      <c r="D43">
        <v>51</v>
      </c>
      <c r="E43">
        <v>10</v>
      </c>
      <c r="F43">
        <v>50</v>
      </c>
      <c r="G43">
        <v>1.37</v>
      </c>
      <c r="H43">
        <v>0.67</v>
      </c>
      <c r="I43">
        <v>2.8</v>
      </c>
      <c r="J43">
        <f t="shared" si="0"/>
        <v>-0.17392858554697987</v>
      </c>
      <c r="K43">
        <f t="shared" si="1"/>
        <v>0.9924050632911392</v>
      </c>
      <c r="L43">
        <f t="shared" si="2"/>
        <v>-0.17260760894788887</v>
      </c>
      <c r="M43">
        <f t="shared" si="3"/>
        <v>0.20155837520834977</v>
      </c>
      <c r="N43">
        <f t="shared" si="4"/>
        <v>0.20002755210550152</v>
      </c>
    </row>
    <row r="44" spans="1:14" x14ac:dyDescent="0.25">
      <c r="A44" t="s">
        <v>39</v>
      </c>
      <c r="B44">
        <v>2019</v>
      </c>
      <c r="C44">
        <v>386</v>
      </c>
      <c r="D44">
        <v>12933</v>
      </c>
      <c r="E44">
        <v>419</v>
      </c>
      <c r="F44">
        <v>12938</v>
      </c>
      <c r="G44">
        <v>0.92</v>
      </c>
      <c r="H44">
        <v>0.8</v>
      </c>
      <c r="I44">
        <v>1.06</v>
      </c>
      <c r="J44">
        <f t="shared" si="0"/>
        <v>4.6067187259144202E-2</v>
      </c>
      <c r="K44">
        <f t="shared" si="1"/>
        <v>0.99997100748973178</v>
      </c>
      <c r="L44">
        <f t="shared" si="2"/>
        <v>4.6065851655744561E-2</v>
      </c>
      <c r="M44">
        <f t="shared" si="3"/>
        <v>3.9662371665095494E-2</v>
      </c>
      <c r="N44">
        <f t="shared" si="4"/>
        <v>3.9661221753377732E-2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2026-01-11T23:32:52Z</dcterms:modified>
</cp:coreProperties>
</file>