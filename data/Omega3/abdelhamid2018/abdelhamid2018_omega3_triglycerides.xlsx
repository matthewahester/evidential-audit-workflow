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abdelhamid2018\"/>
    </mc:Choice>
  </mc:AlternateContent>
  <xr:revisionPtr revIDLastSave="0" documentId="13_ncr:1_{56321BCB-A34A-4444-BF34-2B8895EEA54D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  <c r="L3" i="1"/>
  <c r="M3" i="1" s="1"/>
  <c r="O3" i="1"/>
  <c r="L4" i="1"/>
  <c r="M4" i="1" s="1"/>
  <c r="P4" i="1" s="1"/>
  <c r="O4" i="1"/>
  <c r="L5" i="1"/>
  <c r="M5" i="1" s="1"/>
  <c r="O5" i="1"/>
  <c r="L6" i="1"/>
  <c r="M6" i="1" s="1"/>
  <c r="P6" i="1" s="1"/>
  <c r="O6" i="1"/>
  <c r="Q6" i="1" s="1"/>
  <c r="L7" i="1"/>
  <c r="M7" i="1" s="1"/>
  <c r="O7" i="1"/>
  <c r="L8" i="1"/>
  <c r="M8" i="1" s="1"/>
  <c r="P8" i="1" s="1"/>
  <c r="O8" i="1"/>
  <c r="Q8" i="1" s="1"/>
  <c r="L9" i="1"/>
  <c r="M9" i="1" s="1"/>
  <c r="O9" i="1"/>
  <c r="L10" i="1"/>
  <c r="M10" i="1" s="1"/>
  <c r="P10" i="1" s="1"/>
  <c r="O10" i="1"/>
  <c r="L11" i="1"/>
  <c r="M11" i="1" s="1"/>
  <c r="O11" i="1"/>
  <c r="L12" i="1"/>
  <c r="M12" i="1" s="1"/>
  <c r="O12" i="1"/>
  <c r="Q12" i="1" s="1"/>
  <c r="L13" i="1"/>
  <c r="M13" i="1" s="1"/>
  <c r="O13" i="1"/>
  <c r="L14" i="1"/>
  <c r="M14" i="1" s="1"/>
  <c r="O14" i="1"/>
  <c r="Q14" i="1" s="1"/>
  <c r="L15" i="1"/>
  <c r="M15" i="1" s="1"/>
  <c r="O15" i="1"/>
  <c r="P15" i="1" s="1"/>
  <c r="L16" i="1"/>
  <c r="M16" i="1" s="1"/>
  <c r="P16" i="1" s="1"/>
  <c r="O16" i="1"/>
  <c r="L17" i="1"/>
  <c r="M17" i="1" s="1"/>
  <c r="O17" i="1"/>
  <c r="L18" i="1"/>
  <c r="M18" i="1" s="1"/>
  <c r="P18" i="1" s="1"/>
  <c r="O18" i="1"/>
  <c r="Q18" i="1" s="1"/>
  <c r="L19" i="1"/>
  <c r="M19" i="1" s="1"/>
  <c r="O19" i="1"/>
  <c r="L20" i="1"/>
  <c r="M20" i="1" s="1"/>
  <c r="P20" i="1" s="1"/>
  <c r="O20" i="1"/>
  <c r="Q20" i="1" s="1"/>
  <c r="L21" i="1"/>
  <c r="M21" i="1" s="1"/>
  <c r="O21" i="1"/>
  <c r="P21" i="1" s="1"/>
  <c r="L22" i="1"/>
  <c r="M22" i="1" s="1"/>
  <c r="P22" i="1" s="1"/>
  <c r="O22" i="1"/>
  <c r="L23" i="1"/>
  <c r="M23" i="1" s="1"/>
  <c r="O23" i="1"/>
  <c r="L24" i="1"/>
  <c r="M24" i="1" s="1"/>
  <c r="O24" i="1"/>
  <c r="P2" i="1"/>
  <c r="O2" i="1"/>
  <c r="M2" i="1"/>
  <c r="L2" i="1"/>
  <c r="P24" i="1" l="1"/>
  <c r="P11" i="1"/>
  <c r="P23" i="1"/>
  <c r="P14" i="1"/>
  <c r="P12" i="1"/>
  <c r="Q7" i="1"/>
  <c r="P19" i="1"/>
  <c r="P5" i="1"/>
  <c r="Q5" i="1"/>
  <c r="P13" i="1"/>
  <c r="Q22" i="1"/>
  <c r="Q16" i="1"/>
  <c r="Q10" i="1"/>
  <c r="Q4" i="1"/>
  <c r="P3" i="1"/>
  <c r="P7" i="1"/>
  <c r="Q24" i="1"/>
  <c r="P17" i="1"/>
  <c r="P9" i="1"/>
  <c r="Q9" i="1"/>
  <c r="Q3" i="1"/>
  <c r="Q21" i="1"/>
  <c r="Q19" i="1"/>
  <c r="Q17" i="1"/>
  <c r="Q15" i="1"/>
  <c r="Q13" i="1"/>
  <c r="Q11" i="1"/>
  <c r="Q23" i="1"/>
  <c r="Q2" i="1"/>
</calcChain>
</file>

<file path=xl/sharedStrings.xml><?xml version="1.0" encoding="utf-8"?>
<sst xmlns="http://schemas.openxmlformats.org/spreadsheetml/2006/main" count="40" uniqueCount="40">
  <si>
    <t>mean_treat</t>
  </si>
  <si>
    <t>sd_treat</t>
  </si>
  <si>
    <t>n_treat</t>
  </si>
  <si>
    <t>n_control</t>
  </si>
  <si>
    <t>mean_control</t>
  </si>
  <si>
    <t>sd_control</t>
  </si>
  <si>
    <t>AlphaOmega</t>
  </si>
  <si>
    <t>Berson</t>
  </si>
  <si>
    <t>Derosa</t>
  </si>
  <si>
    <t>Deslypere</t>
  </si>
  <si>
    <t>DIPP</t>
  </si>
  <si>
    <t>HARP</t>
  </si>
  <si>
    <t>Lorenz-Meyer</t>
  </si>
  <si>
    <t>MARINA</t>
  </si>
  <si>
    <t>Mita</t>
  </si>
  <si>
    <t>Nodari</t>
  </si>
  <si>
    <t>Nye</t>
  </si>
  <si>
    <t>OFAMI</t>
  </si>
  <si>
    <t>ORIGIN</t>
  </si>
  <si>
    <t>ORL</t>
  </si>
  <si>
    <t>Sandhu</t>
  </si>
  <si>
    <t>SCIMO</t>
  </si>
  <si>
    <t>SHOT</t>
  </si>
  <si>
    <t>SMART</t>
  </si>
  <si>
    <t>Sofi</t>
  </si>
  <si>
    <t>Tande</t>
  </si>
  <si>
    <t>WELCOME</t>
  </si>
  <si>
    <t>DO IT</t>
  </si>
  <si>
    <t>THIS DIET</t>
  </si>
  <si>
    <t>Author</t>
  </si>
  <si>
    <t>Year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</si>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</sst>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E1" workbookViewId="0">
      <selection activeCell="I14" sqref="I14"/>
    </sheetView>
  </sheetViews>
  <sheetFormatPr defaultRowHeight="15" x14ac:dyDescent="0.25"/>
  <cols>
    <col min="1" max="1" width="13.42578125" bestFit="1" customWidth="1"/>
    <col min="2" max="2" width="5" bestFit="1" customWidth="1"/>
    <col min="3" max="3" width="7.42578125" bestFit="1" customWidth="1"/>
    <col min="4" max="4" width="11.28515625" bestFit="1" customWidth="1"/>
    <col min="5" max="5" width="8.28515625" bestFit="1" customWidth="1"/>
    <col min="6" max="6" width="9.42578125" bestFit="1" customWidth="1"/>
    <col min="7" max="7" width="13.42578125" bestFit="1" customWidth="1"/>
    <col min="8" max="8" width="10.28515625" bestFit="1" customWidth="1"/>
    <col min="9" max="11" width="5.7109375" bestFit="1" customWidth="1"/>
  </cols>
  <sheetData>
    <row r="1" spans="1:17" x14ac:dyDescent="0.25">
      <c r="A1" t="s">
        <v>29</v>
      </c>
      <c r="B1" t="s">
        <v>30</v>
      </c>
      <c r="C1" t="s">
        <v>2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25">
      <c r="A2" t="s">
        <v>6</v>
      </c>
      <c r="B2">
        <v>2010</v>
      </c>
      <c r="C2">
        <v>605</v>
      </c>
      <c r="D2">
        <v>-0.1</v>
      </c>
      <c r="E2">
        <v>1.2</v>
      </c>
      <c r="F2">
        <v>605</v>
      </c>
      <c r="G2">
        <v>0</v>
      </c>
      <c r="H2">
        <v>1</v>
      </c>
      <c r="I2">
        <v>-0.03</v>
      </c>
      <c r="J2">
        <v>-0.15</v>
      </c>
      <c r="K2">
        <v>0.09</v>
      </c>
      <c r="L2">
        <f>(K2-J2)/2/1.96</f>
        <v>6.1224489795918366E-2</v>
      </c>
      <c r="M2">
        <f>L2*SQRT((C2+F2)/4)</f>
        <v>1.0648485998526176</v>
      </c>
      <c r="N2">
        <f>-I2/M2</f>
        <v>2.8173019154227378E-2</v>
      </c>
      <c r="O2">
        <f>1-3/(4*(C2+F2-2)-1)</f>
        <v>0.99937901055682055</v>
      </c>
      <c r="P2">
        <f>O2*N2</f>
        <v>2.8155524006750109E-2</v>
      </c>
      <c r="Q2">
        <f>O2*L2/M2</f>
        <v>5.7460253075000217E-2</v>
      </c>
    </row>
    <row r="3" spans="1:17" x14ac:dyDescent="0.25">
      <c r="A3" t="s">
        <v>7</v>
      </c>
      <c r="B3">
        <v>2004</v>
      </c>
      <c r="C3">
        <v>105</v>
      </c>
      <c r="D3">
        <v>1.1000000000000001</v>
      </c>
      <c r="E3">
        <v>0.7</v>
      </c>
      <c r="F3">
        <v>103</v>
      </c>
      <c r="G3">
        <v>1.4</v>
      </c>
      <c r="H3">
        <v>1.2</v>
      </c>
      <c r="I3">
        <v>-0.33</v>
      </c>
      <c r="J3">
        <v>-0.6</v>
      </c>
      <c r="K3">
        <v>-0.06</v>
      </c>
      <c r="L3">
        <f t="shared" ref="L3:L24" si="0">(K3-J3)/2/1.96</f>
        <v>0.13775510204081634</v>
      </c>
      <c r="M3">
        <f t="shared" ref="M3:M24" si="1">L3*SQRT((C3+F3)/4)</f>
        <v>0.99336616772987463</v>
      </c>
      <c r="N3">
        <f t="shared" ref="N3:N24" si="2">-I3/M3</f>
        <v>0.33220378418377611</v>
      </c>
      <c r="O3">
        <f t="shared" ref="O3:O24" si="3">1-3/(4*(C3+F3-2)-1)</f>
        <v>0.99635479951397332</v>
      </c>
      <c r="P3">
        <f t="shared" ref="P3:P24" si="4">O3*N3</f>
        <v>0.33099283478820951</v>
      </c>
      <c r="Q3">
        <f t="shared" ref="Q3:Q24" si="5">O3*L3/M3</f>
        <v>0.13816955070008749</v>
      </c>
    </row>
    <row r="4" spans="1:17" x14ac:dyDescent="0.25">
      <c r="A4" t="s">
        <v>8</v>
      </c>
      <c r="B4">
        <v>2016</v>
      </c>
      <c r="C4">
        <v>128</v>
      </c>
      <c r="D4">
        <v>1.4</v>
      </c>
      <c r="E4">
        <v>3.4</v>
      </c>
      <c r="F4">
        <v>130</v>
      </c>
      <c r="G4">
        <v>1.9</v>
      </c>
      <c r="H4">
        <v>4.5999999999999996</v>
      </c>
      <c r="I4">
        <v>-0.5</v>
      </c>
      <c r="J4">
        <v>-1.49</v>
      </c>
      <c r="K4">
        <v>0.49</v>
      </c>
      <c r="L4">
        <f t="shared" si="0"/>
        <v>0.50510204081632648</v>
      </c>
      <c r="M4">
        <f t="shared" si="1"/>
        <v>4.0565700561650306</v>
      </c>
      <c r="N4">
        <f t="shared" si="2"/>
        <v>0.12325683843179729</v>
      </c>
      <c r="O4">
        <f t="shared" si="3"/>
        <v>0.99706744868035191</v>
      </c>
      <c r="P4">
        <f t="shared" si="4"/>
        <v>0.12289538142759847</v>
      </c>
      <c r="Q4">
        <f t="shared" si="5"/>
        <v>0.12414941593196169</v>
      </c>
    </row>
    <row r="5" spans="1:17" x14ac:dyDescent="0.25">
      <c r="A5" t="s">
        <v>9</v>
      </c>
      <c r="B5">
        <v>1992</v>
      </c>
      <c r="C5">
        <v>14</v>
      </c>
      <c r="D5">
        <v>0.8</v>
      </c>
      <c r="E5">
        <v>0.4</v>
      </c>
      <c r="F5">
        <v>14</v>
      </c>
      <c r="G5">
        <v>1.2</v>
      </c>
      <c r="H5">
        <v>0.8</v>
      </c>
      <c r="I5">
        <v>-0.43</v>
      </c>
      <c r="J5">
        <v>-0.88</v>
      </c>
      <c r="K5">
        <v>0.02</v>
      </c>
      <c r="L5">
        <f t="shared" si="0"/>
        <v>0.22959183673469388</v>
      </c>
      <c r="M5">
        <f t="shared" si="1"/>
        <v>0.60744290305054383</v>
      </c>
      <c r="N5">
        <f t="shared" si="2"/>
        <v>0.70788546189372592</v>
      </c>
      <c r="O5">
        <f t="shared" si="3"/>
        <v>0.970873786407767</v>
      </c>
      <c r="P5">
        <f t="shared" si="4"/>
        <v>0.68726743873177276</v>
      </c>
      <c r="Q5">
        <f t="shared" si="5"/>
        <v>0.36695579903808467</v>
      </c>
    </row>
    <row r="6" spans="1:17" x14ac:dyDescent="0.25">
      <c r="A6" t="s">
        <v>10</v>
      </c>
      <c r="B6">
        <v>2015</v>
      </c>
      <c r="C6">
        <v>90</v>
      </c>
      <c r="D6">
        <v>1.5</v>
      </c>
      <c r="E6">
        <v>1.1000000000000001</v>
      </c>
      <c r="F6">
        <v>71</v>
      </c>
      <c r="G6">
        <v>1.4</v>
      </c>
      <c r="H6">
        <v>0.8</v>
      </c>
      <c r="I6">
        <v>0.01</v>
      </c>
      <c r="J6">
        <v>-0.28000000000000003</v>
      </c>
      <c r="K6">
        <v>0.3</v>
      </c>
      <c r="L6">
        <f t="shared" si="0"/>
        <v>0.14795918367346941</v>
      </c>
      <c r="M6">
        <f t="shared" si="1"/>
        <v>0.93869578743121462</v>
      </c>
      <c r="N6">
        <f t="shared" si="2"/>
        <v>-1.0653078594680256E-2</v>
      </c>
      <c r="O6">
        <f t="shared" si="3"/>
        <v>0.99527559055118109</v>
      </c>
      <c r="P6">
        <f t="shared" si="4"/>
        <v>-1.0602749089508538E-2</v>
      </c>
      <c r="Q6">
        <f t="shared" si="5"/>
        <v>0.15687740999783042</v>
      </c>
    </row>
    <row r="7" spans="1:17" x14ac:dyDescent="0.25">
      <c r="A7" t="s">
        <v>27</v>
      </c>
      <c r="B7">
        <v>2010</v>
      </c>
      <c r="C7">
        <v>124</v>
      </c>
      <c r="D7">
        <v>1.4</v>
      </c>
      <c r="E7">
        <v>0.8</v>
      </c>
      <c r="F7">
        <v>117</v>
      </c>
      <c r="G7">
        <v>1.6</v>
      </c>
      <c r="H7">
        <v>0.9</v>
      </c>
      <c r="I7">
        <v>-0.16</v>
      </c>
      <c r="J7">
        <v>-0.38</v>
      </c>
      <c r="K7">
        <v>0.06</v>
      </c>
      <c r="L7">
        <f t="shared" si="0"/>
        <v>0.11224489795918367</v>
      </c>
      <c r="M7">
        <f t="shared" si="1"/>
        <v>0.87125470234112379</v>
      </c>
      <c r="N7">
        <f t="shared" si="2"/>
        <v>0.18364319821754596</v>
      </c>
      <c r="O7">
        <f t="shared" si="3"/>
        <v>0.99685863874345548</v>
      </c>
      <c r="P7">
        <f t="shared" si="4"/>
        <v>0.18306630858963743</v>
      </c>
      <c r="Q7">
        <f t="shared" si="5"/>
        <v>0.12842661954630177</v>
      </c>
    </row>
    <row r="8" spans="1:17" x14ac:dyDescent="0.25">
      <c r="A8" t="s">
        <v>11</v>
      </c>
      <c r="B8">
        <v>1995</v>
      </c>
      <c r="C8">
        <v>31</v>
      </c>
      <c r="D8">
        <v>1.1000000000000001</v>
      </c>
      <c r="E8">
        <v>0.6</v>
      </c>
      <c r="F8">
        <v>28</v>
      </c>
      <c r="G8">
        <v>1.6</v>
      </c>
      <c r="H8">
        <v>0.8</v>
      </c>
      <c r="I8">
        <v>-0.47</v>
      </c>
      <c r="J8">
        <v>-0.81</v>
      </c>
      <c r="K8">
        <v>-0.13</v>
      </c>
      <c r="L8">
        <f t="shared" si="0"/>
        <v>0.17346938775510207</v>
      </c>
      <c r="M8">
        <f t="shared" si="1"/>
        <v>0.66622182507023653</v>
      </c>
      <c r="N8">
        <f t="shared" si="2"/>
        <v>0.70547073409138183</v>
      </c>
      <c r="O8">
        <f t="shared" si="3"/>
        <v>0.986784140969163</v>
      </c>
      <c r="P8">
        <f t="shared" si="4"/>
        <v>0.69614733231924908</v>
      </c>
      <c r="Q8">
        <f t="shared" si="5"/>
        <v>0.25693670537184626</v>
      </c>
    </row>
    <row r="9" spans="1:17" x14ac:dyDescent="0.25">
      <c r="A9" t="s">
        <v>12</v>
      </c>
      <c r="B9">
        <v>1996</v>
      </c>
      <c r="C9">
        <v>13</v>
      </c>
      <c r="D9">
        <v>-0.4</v>
      </c>
      <c r="E9">
        <v>0.7</v>
      </c>
      <c r="F9">
        <v>12</v>
      </c>
      <c r="G9">
        <v>-0.1</v>
      </c>
      <c r="H9">
        <v>0.5</v>
      </c>
      <c r="I9">
        <v>-0.32</v>
      </c>
      <c r="J9">
        <v>-0.76</v>
      </c>
      <c r="K9">
        <v>0.12</v>
      </c>
      <c r="L9">
        <f t="shared" si="0"/>
        <v>0.22448979591836735</v>
      </c>
      <c r="M9">
        <f t="shared" si="1"/>
        <v>0.56122448979591832</v>
      </c>
      <c r="N9">
        <f t="shared" si="2"/>
        <v>0.57018181818181823</v>
      </c>
      <c r="O9">
        <f t="shared" si="3"/>
        <v>0.96703296703296704</v>
      </c>
      <c r="P9">
        <f t="shared" si="4"/>
        <v>0.55138461538461547</v>
      </c>
      <c r="Q9">
        <f t="shared" si="5"/>
        <v>0.38681318681318688</v>
      </c>
    </row>
    <row r="10" spans="1:17" x14ac:dyDescent="0.25">
      <c r="A10" t="s">
        <v>13</v>
      </c>
      <c r="B10">
        <v>2011</v>
      </c>
      <c r="C10">
        <v>80</v>
      </c>
      <c r="D10">
        <v>-0.2</v>
      </c>
      <c r="E10">
        <v>0.5</v>
      </c>
      <c r="F10">
        <v>71</v>
      </c>
      <c r="G10">
        <v>0.1</v>
      </c>
      <c r="H10">
        <v>0.6</v>
      </c>
      <c r="I10">
        <v>-0.3</v>
      </c>
      <c r="J10">
        <v>-0.48</v>
      </c>
      <c r="K10">
        <v>-0.12</v>
      </c>
      <c r="L10">
        <f t="shared" si="0"/>
        <v>9.1836734693877556E-2</v>
      </c>
      <c r="M10">
        <f t="shared" si="1"/>
        <v>0.56425434462755397</v>
      </c>
      <c r="N10">
        <f t="shared" si="2"/>
        <v>0.53167512639715742</v>
      </c>
      <c r="O10">
        <f t="shared" si="3"/>
        <v>0.99495798319327733</v>
      </c>
      <c r="P10">
        <f t="shared" si="4"/>
        <v>0.5289944114741465</v>
      </c>
      <c r="Q10">
        <f t="shared" si="5"/>
        <v>0.16193706473698366</v>
      </c>
    </row>
    <row r="11" spans="1:17" x14ac:dyDescent="0.25">
      <c r="A11" t="s">
        <v>14</v>
      </c>
      <c r="B11">
        <v>2007</v>
      </c>
      <c r="C11">
        <v>30</v>
      </c>
      <c r="D11">
        <v>1.8</v>
      </c>
      <c r="E11">
        <v>1.1000000000000001</v>
      </c>
      <c r="F11">
        <v>30</v>
      </c>
      <c r="G11">
        <v>1.5</v>
      </c>
      <c r="H11">
        <v>0.9</v>
      </c>
      <c r="I11">
        <v>0.26</v>
      </c>
      <c r="J11">
        <v>-0.24</v>
      </c>
      <c r="K11">
        <v>0.76</v>
      </c>
      <c r="L11">
        <f t="shared" si="0"/>
        <v>0.25510204081632654</v>
      </c>
      <c r="M11">
        <f t="shared" si="1"/>
        <v>0.98800595566515748</v>
      </c>
      <c r="N11">
        <f t="shared" si="2"/>
        <v>-0.26315630843030657</v>
      </c>
      <c r="O11">
        <f t="shared" si="3"/>
        <v>0.98701298701298701</v>
      </c>
      <c r="P11">
        <f t="shared" si="4"/>
        <v>-0.2597386940351078</v>
      </c>
      <c r="Q11">
        <f t="shared" si="5"/>
        <v>0.25484565741278237</v>
      </c>
    </row>
    <row r="12" spans="1:17" x14ac:dyDescent="0.25">
      <c r="A12" t="s">
        <v>15</v>
      </c>
      <c r="B12">
        <v>2011</v>
      </c>
      <c r="C12">
        <v>67</v>
      </c>
      <c r="D12">
        <v>1.6</v>
      </c>
      <c r="E12">
        <v>0.5</v>
      </c>
      <c r="F12">
        <v>66</v>
      </c>
      <c r="G12">
        <v>1.8</v>
      </c>
      <c r="H12">
        <v>0.8</v>
      </c>
      <c r="I12">
        <v>-0.14000000000000001</v>
      </c>
      <c r="J12">
        <v>-0.36</v>
      </c>
      <c r="K12">
        <v>0.08</v>
      </c>
      <c r="L12">
        <f t="shared" si="0"/>
        <v>0.11224489795918367</v>
      </c>
      <c r="M12">
        <f t="shared" si="1"/>
        <v>0.64723565582336107</v>
      </c>
      <c r="N12">
        <f t="shared" si="2"/>
        <v>0.2163045233067441</v>
      </c>
      <c r="O12">
        <f t="shared" si="3"/>
        <v>0.99426386233269604</v>
      </c>
      <c r="P12">
        <f t="shared" si="4"/>
        <v>0.21506377078299604</v>
      </c>
      <c r="Q12">
        <f t="shared" si="5"/>
        <v>0.17242722147324754</v>
      </c>
    </row>
    <row r="13" spans="1:17" x14ac:dyDescent="0.25">
      <c r="A13" t="s">
        <v>16</v>
      </c>
      <c r="B13">
        <v>1990</v>
      </c>
      <c r="C13">
        <v>12</v>
      </c>
      <c r="D13">
        <v>1.4</v>
      </c>
      <c r="E13">
        <v>0.6</v>
      </c>
      <c r="F13">
        <v>12</v>
      </c>
      <c r="G13">
        <v>1.8</v>
      </c>
      <c r="H13">
        <v>0.6</v>
      </c>
      <c r="I13">
        <v>-0.4</v>
      </c>
      <c r="J13">
        <v>-0.85</v>
      </c>
      <c r="K13">
        <v>0.05</v>
      </c>
      <c r="L13">
        <f t="shared" si="0"/>
        <v>0.22959183673469388</v>
      </c>
      <c r="M13">
        <f t="shared" si="1"/>
        <v>0.56238284910838265</v>
      </c>
      <c r="N13">
        <f t="shared" si="2"/>
        <v>0.71125924383037475</v>
      </c>
      <c r="O13">
        <f t="shared" si="3"/>
        <v>0.96551724137931039</v>
      </c>
      <c r="P13">
        <f t="shared" si="4"/>
        <v>0.68673306300863768</v>
      </c>
      <c r="Q13">
        <f t="shared" si="5"/>
        <v>0.39417076320648847</v>
      </c>
    </row>
    <row r="14" spans="1:17" x14ac:dyDescent="0.25">
      <c r="A14" t="s">
        <v>17</v>
      </c>
      <c r="B14">
        <v>2001</v>
      </c>
      <c r="C14">
        <v>120</v>
      </c>
      <c r="D14">
        <v>1.3</v>
      </c>
      <c r="E14">
        <v>0.6</v>
      </c>
      <c r="F14">
        <v>121</v>
      </c>
      <c r="G14">
        <v>1.8</v>
      </c>
      <c r="H14">
        <v>1.1000000000000001</v>
      </c>
      <c r="I14">
        <v>-0.51</v>
      </c>
      <c r="J14">
        <v>-0.73</v>
      </c>
      <c r="K14">
        <v>-0.28999999999999998</v>
      </c>
      <c r="L14">
        <f t="shared" si="0"/>
        <v>0.11224489795918367</v>
      </c>
      <c r="M14">
        <f t="shared" si="1"/>
        <v>0.87125470234112379</v>
      </c>
      <c r="N14">
        <f t="shared" si="2"/>
        <v>0.5853626943184278</v>
      </c>
      <c r="O14">
        <f t="shared" si="3"/>
        <v>0.99685863874345548</v>
      </c>
      <c r="P14">
        <f t="shared" si="4"/>
        <v>0.58352385862946943</v>
      </c>
      <c r="Q14">
        <f t="shared" si="5"/>
        <v>0.12842661954630177</v>
      </c>
    </row>
    <row r="15" spans="1:17" x14ac:dyDescent="0.25">
      <c r="A15" t="s">
        <v>18</v>
      </c>
      <c r="B15">
        <v>2012</v>
      </c>
      <c r="C15">
        <v>6281</v>
      </c>
      <c r="D15">
        <v>-0.3</v>
      </c>
      <c r="E15">
        <v>2.7</v>
      </c>
      <c r="F15">
        <v>6255</v>
      </c>
      <c r="G15">
        <v>-0.1</v>
      </c>
      <c r="H15">
        <v>2.7</v>
      </c>
      <c r="I15">
        <v>-0.16</v>
      </c>
      <c r="J15">
        <v>-0.26</v>
      </c>
      <c r="K15">
        <v>-7.0000000000000007E-2</v>
      </c>
      <c r="L15">
        <f t="shared" si="0"/>
        <v>4.8469387755102039E-2</v>
      </c>
      <c r="M15">
        <f t="shared" si="1"/>
        <v>2.7134200514621396</v>
      </c>
      <c r="N15">
        <f t="shared" si="2"/>
        <v>5.8966174409223235E-2</v>
      </c>
      <c r="O15">
        <f t="shared" si="3"/>
        <v>0.99994016156377785</v>
      </c>
      <c r="P15">
        <f t="shared" si="4"/>
        <v>5.8962645965556587E-2</v>
      </c>
      <c r="Q15">
        <f t="shared" si="5"/>
        <v>1.7861770939821029E-2</v>
      </c>
    </row>
    <row r="16" spans="1:17" x14ac:dyDescent="0.25">
      <c r="A16" t="s">
        <v>19</v>
      </c>
      <c r="B16">
        <v>2013</v>
      </c>
      <c r="C16">
        <v>170</v>
      </c>
      <c r="D16">
        <v>-0.8</v>
      </c>
      <c r="E16">
        <v>0.9</v>
      </c>
      <c r="F16">
        <v>165</v>
      </c>
      <c r="G16">
        <v>-0.4</v>
      </c>
      <c r="H16">
        <v>0.9</v>
      </c>
      <c r="I16">
        <v>-0.38</v>
      </c>
      <c r="J16">
        <v>-0.56999999999999995</v>
      </c>
      <c r="K16">
        <v>-0.19</v>
      </c>
      <c r="L16">
        <f t="shared" si="0"/>
        <v>9.6938775510204064E-2</v>
      </c>
      <c r="M16">
        <f t="shared" si="1"/>
        <v>0.88713545698147789</v>
      </c>
      <c r="N16">
        <f t="shared" si="2"/>
        <v>0.42834495793119209</v>
      </c>
      <c r="O16">
        <f t="shared" si="3"/>
        <v>0.99774605559729523</v>
      </c>
      <c r="P16">
        <f t="shared" si="4"/>
        <v>0.42737949221083626</v>
      </c>
      <c r="Q16">
        <f t="shared" si="5"/>
        <v>0.10902538066602964</v>
      </c>
    </row>
    <row r="17" spans="1:17" x14ac:dyDescent="0.25">
      <c r="A17" t="s">
        <v>20</v>
      </c>
      <c r="B17">
        <v>2016</v>
      </c>
      <c r="C17">
        <v>49</v>
      </c>
      <c r="D17">
        <v>1.1000000000000001</v>
      </c>
      <c r="E17">
        <v>0.6</v>
      </c>
      <c r="F17">
        <v>47</v>
      </c>
      <c r="G17">
        <v>1.2</v>
      </c>
      <c r="H17">
        <v>0.5</v>
      </c>
      <c r="I17">
        <v>-0.16</v>
      </c>
      <c r="J17">
        <v>-0.37</v>
      </c>
      <c r="K17">
        <v>0.05</v>
      </c>
      <c r="L17">
        <f t="shared" si="0"/>
        <v>0.10714285714285714</v>
      </c>
      <c r="M17">
        <f t="shared" si="1"/>
        <v>0.52489065916782385</v>
      </c>
      <c r="N17">
        <f t="shared" si="2"/>
        <v>0.30482539021301774</v>
      </c>
      <c r="O17">
        <f t="shared" si="3"/>
        <v>0.99199999999999999</v>
      </c>
      <c r="P17">
        <f t="shared" si="4"/>
        <v>0.30238678709131361</v>
      </c>
      <c r="Q17">
        <f t="shared" si="5"/>
        <v>0.20249115207007604</v>
      </c>
    </row>
    <row r="18" spans="1:17" x14ac:dyDescent="0.25">
      <c r="A18" t="s">
        <v>21</v>
      </c>
      <c r="B18">
        <v>1999</v>
      </c>
      <c r="C18">
        <v>87</v>
      </c>
      <c r="D18">
        <v>-0.2</v>
      </c>
      <c r="E18">
        <v>1</v>
      </c>
      <c r="F18">
        <v>84</v>
      </c>
      <c r="G18">
        <v>0.1</v>
      </c>
      <c r="H18">
        <v>1.2</v>
      </c>
      <c r="I18">
        <v>-0.25</v>
      </c>
      <c r="J18">
        <v>-0.57999999999999996</v>
      </c>
      <c r="K18">
        <v>0.08</v>
      </c>
      <c r="L18">
        <f t="shared" si="0"/>
        <v>0.1683673469387755</v>
      </c>
      <c r="M18">
        <f t="shared" si="1"/>
        <v>1.1008443760472619</v>
      </c>
      <c r="N18">
        <f t="shared" si="2"/>
        <v>0.22709840322540459</v>
      </c>
      <c r="O18">
        <f t="shared" si="3"/>
        <v>0.99555555555555553</v>
      </c>
      <c r="P18">
        <f t="shared" si="4"/>
        <v>0.22608907698884723</v>
      </c>
      <c r="Q18">
        <f t="shared" si="5"/>
        <v>0.15226407225779506</v>
      </c>
    </row>
    <row r="19" spans="1:17" x14ac:dyDescent="0.25">
      <c r="A19" t="s">
        <v>22</v>
      </c>
      <c r="B19">
        <v>1996</v>
      </c>
      <c r="C19">
        <v>289</v>
      </c>
      <c r="D19">
        <v>1.6</v>
      </c>
      <c r="E19">
        <v>1</v>
      </c>
      <c r="F19">
        <v>267</v>
      </c>
      <c r="G19">
        <v>2.1</v>
      </c>
      <c r="H19">
        <v>1.2</v>
      </c>
      <c r="I19">
        <v>-0.45</v>
      </c>
      <c r="J19">
        <v>-0.64</v>
      </c>
      <c r="K19">
        <v>-0.26</v>
      </c>
      <c r="L19">
        <f t="shared" si="0"/>
        <v>9.6938775510204078E-2</v>
      </c>
      <c r="M19">
        <f t="shared" si="1"/>
        <v>1.1428913077983689</v>
      </c>
      <c r="N19">
        <f t="shared" si="2"/>
        <v>0.39373822946196552</v>
      </c>
      <c r="O19">
        <f t="shared" si="3"/>
        <v>0.9986455981941309</v>
      </c>
      <c r="P19">
        <f t="shared" si="4"/>
        <v>0.39320494969294251</v>
      </c>
      <c r="Q19">
        <f t="shared" si="5"/>
        <v>8.4704014106189426E-2</v>
      </c>
    </row>
    <row r="20" spans="1:17" x14ac:dyDescent="0.25">
      <c r="A20" t="s">
        <v>23</v>
      </c>
      <c r="B20">
        <v>2013</v>
      </c>
      <c r="C20">
        <v>21</v>
      </c>
      <c r="D20">
        <v>1.1000000000000001</v>
      </c>
      <c r="E20">
        <v>0.6</v>
      </c>
      <c r="F20">
        <v>24</v>
      </c>
      <c r="G20">
        <v>1.2</v>
      </c>
      <c r="H20">
        <v>0.5</v>
      </c>
      <c r="I20">
        <v>-7.0000000000000007E-2</v>
      </c>
      <c r="J20">
        <v>-0.38</v>
      </c>
      <c r="K20">
        <v>0.24</v>
      </c>
      <c r="L20">
        <f t="shared" si="0"/>
        <v>0.15816326530612246</v>
      </c>
      <c r="M20">
        <f t="shared" si="1"/>
        <v>0.53049571915173588</v>
      </c>
      <c r="N20">
        <f t="shared" si="2"/>
        <v>0.13195205441418115</v>
      </c>
      <c r="O20">
        <f t="shared" si="3"/>
        <v>0.98245614035087714</v>
      </c>
      <c r="P20">
        <f t="shared" si="4"/>
        <v>0.12963710609112533</v>
      </c>
      <c r="Q20">
        <f t="shared" si="5"/>
        <v>0.29291182863155135</v>
      </c>
    </row>
    <row r="21" spans="1:17" x14ac:dyDescent="0.25">
      <c r="A21" t="s">
        <v>24</v>
      </c>
      <c r="B21">
        <v>2010</v>
      </c>
      <c r="C21">
        <v>6</v>
      </c>
      <c r="D21">
        <v>-0.4</v>
      </c>
      <c r="E21">
        <v>0.8</v>
      </c>
      <c r="F21">
        <v>5</v>
      </c>
      <c r="G21">
        <v>0.2</v>
      </c>
      <c r="H21">
        <v>0.2</v>
      </c>
      <c r="I21">
        <v>-0.59</v>
      </c>
      <c r="J21">
        <v>-1.23</v>
      </c>
      <c r="K21">
        <v>0.05</v>
      </c>
      <c r="L21">
        <f t="shared" si="0"/>
        <v>0.32653061224489799</v>
      </c>
      <c r="M21">
        <f t="shared" si="1"/>
        <v>0.54148976169067753</v>
      </c>
      <c r="N21">
        <f t="shared" si="2"/>
        <v>1.0895866214678933</v>
      </c>
      <c r="O21">
        <f t="shared" si="3"/>
        <v>0.91428571428571426</v>
      </c>
      <c r="P21">
        <f t="shared" si="4"/>
        <v>0.996193482484931</v>
      </c>
      <c r="Q21">
        <f t="shared" si="5"/>
        <v>0.55133503008505347</v>
      </c>
    </row>
    <row r="22" spans="1:17" x14ac:dyDescent="0.25">
      <c r="A22" t="s">
        <v>25</v>
      </c>
      <c r="B22">
        <v>2016</v>
      </c>
      <c r="C22">
        <v>50</v>
      </c>
      <c r="D22">
        <v>0</v>
      </c>
      <c r="E22">
        <v>0.7</v>
      </c>
      <c r="F22">
        <v>50</v>
      </c>
      <c r="G22">
        <v>0.2</v>
      </c>
      <c r="H22">
        <v>0.7</v>
      </c>
      <c r="I22">
        <v>-0.21</v>
      </c>
      <c r="J22">
        <v>-0.47</v>
      </c>
      <c r="K22">
        <v>0.05</v>
      </c>
      <c r="L22">
        <f t="shared" si="0"/>
        <v>0.1326530612244898</v>
      </c>
      <c r="M22">
        <f t="shared" si="1"/>
        <v>0.66326530612244905</v>
      </c>
      <c r="N22">
        <f t="shared" si="2"/>
        <v>0.31661538461538458</v>
      </c>
      <c r="O22">
        <f t="shared" si="3"/>
        <v>0.99232736572890023</v>
      </c>
      <c r="P22">
        <f t="shared" si="4"/>
        <v>0.31418611056462714</v>
      </c>
      <c r="Q22">
        <f t="shared" si="5"/>
        <v>0.19846547314578003</v>
      </c>
    </row>
    <row r="23" spans="1:17" x14ac:dyDescent="0.25">
      <c r="A23" t="s">
        <v>28</v>
      </c>
      <c r="B23">
        <v>2008</v>
      </c>
      <c r="C23">
        <v>37</v>
      </c>
      <c r="D23">
        <v>1.5</v>
      </c>
      <c r="E23">
        <v>0.8</v>
      </c>
      <c r="F23">
        <v>34</v>
      </c>
      <c r="G23">
        <v>1.4</v>
      </c>
      <c r="H23">
        <v>0.9</v>
      </c>
      <c r="I23">
        <v>0.02</v>
      </c>
      <c r="J23">
        <v>-0.36</v>
      </c>
      <c r="K23">
        <v>0.4</v>
      </c>
      <c r="L23">
        <f t="shared" si="0"/>
        <v>0.19387755102040816</v>
      </c>
      <c r="M23">
        <f t="shared" si="1"/>
        <v>0.81682064127730003</v>
      </c>
      <c r="N23">
        <f t="shared" si="2"/>
        <v>-2.4485179474315291E-2</v>
      </c>
      <c r="O23">
        <f t="shared" si="3"/>
        <v>0.98909090909090913</v>
      </c>
      <c r="P23">
        <f t="shared" si="4"/>
        <v>-2.4218068425504578E-2</v>
      </c>
      <c r="Q23">
        <f t="shared" si="5"/>
        <v>0.23476698983907501</v>
      </c>
    </row>
    <row r="24" spans="1:17" x14ac:dyDescent="0.25">
      <c r="A24" t="s">
        <v>26</v>
      </c>
      <c r="B24">
        <v>2015</v>
      </c>
      <c r="C24">
        <v>47</v>
      </c>
      <c r="D24">
        <v>1.5</v>
      </c>
      <c r="E24">
        <v>1.2</v>
      </c>
      <c r="F24">
        <v>48</v>
      </c>
      <c r="G24">
        <v>1.8</v>
      </c>
      <c r="H24">
        <v>0.6</v>
      </c>
      <c r="I24">
        <v>-0.3</v>
      </c>
      <c r="J24">
        <v>-0.68</v>
      </c>
      <c r="K24">
        <v>0.08</v>
      </c>
      <c r="L24">
        <f t="shared" si="0"/>
        <v>0.19387755102040816</v>
      </c>
      <c r="M24">
        <f t="shared" si="1"/>
        <v>0.94484230893556276</v>
      </c>
      <c r="N24">
        <f t="shared" si="2"/>
        <v>0.31751330054003718</v>
      </c>
      <c r="O24">
        <f t="shared" si="3"/>
        <v>0.99191374663072773</v>
      </c>
      <c r="P24">
        <f t="shared" si="4"/>
        <v>0.31494580754375656</v>
      </c>
      <c r="Q24">
        <f t="shared" si="5"/>
        <v>0.20353640623576102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cp:lastPrinted>2026-01-12T00:01:08Z</cp:lastPrinted>
  <dcterms:created xsi:type="dcterms:W3CDTF">2015-06-05T18:17:20Z</dcterms:created>
  <dcterms:modified xsi:type="dcterms:W3CDTF">2026-01-12T00:06:06Z</dcterms:modified>
</cp:coreProperties>
</file>