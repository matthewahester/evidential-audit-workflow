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abdelhamid2018\"/>
    </mc:Choice>
  </mc:AlternateContent>
  <xr:revisionPtr revIDLastSave="0" documentId="13_ncr:1_{63409DC6-06BD-4C35-B2CC-7B37566920D9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L11" i="1" s="1"/>
  <c r="J12" i="1"/>
  <c r="L12" i="1" s="1"/>
  <c r="J13" i="1"/>
  <c r="L13" i="1" s="1"/>
  <c r="J14" i="1"/>
  <c r="L14" i="1" s="1"/>
  <c r="J15" i="1"/>
  <c r="J16" i="1"/>
  <c r="J17" i="1"/>
  <c r="J18" i="1"/>
  <c r="J19" i="1"/>
  <c r="J20" i="1"/>
  <c r="J21" i="1"/>
  <c r="J22" i="1"/>
  <c r="J23" i="1"/>
  <c r="L23" i="1" s="1"/>
  <c r="J24" i="1"/>
  <c r="L24" i="1" s="1"/>
  <c r="J25" i="1"/>
  <c r="L25" i="1" s="1"/>
  <c r="J26" i="1"/>
  <c r="L26" i="1" s="1"/>
  <c r="J27" i="1"/>
  <c r="J28" i="1"/>
  <c r="J29" i="1"/>
  <c r="J30" i="1"/>
  <c r="J31" i="1"/>
  <c r="J32" i="1"/>
  <c r="J33" i="1"/>
  <c r="J2" i="1"/>
  <c r="K4" i="1"/>
  <c r="L4" i="1" s="1"/>
  <c r="M4" i="1"/>
  <c r="N4" i="1" s="1"/>
  <c r="K5" i="1"/>
  <c r="L5" i="1"/>
  <c r="M5" i="1"/>
  <c r="N5" i="1" s="1"/>
  <c r="K6" i="1"/>
  <c r="L6" i="1" s="1"/>
  <c r="M6" i="1"/>
  <c r="N6" i="1" s="1"/>
  <c r="K7" i="1"/>
  <c r="L7" i="1" s="1"/>
  <c r="M7" i="1"/>
  <c r="K8" i="1"/>
  <c r="L8" i="1"/>
  <c r="M8" i="1"/>
  <c r="N8" i="1" s="1"/>
  <c r="K9" i="1"/>
  <c r="L9" i="1" s="1"/>
  <c r="M9" i="1"/>
  <c r="N9" i="1" s="1"/>
  <c r="K10" i="1"/>
  <c r="L10" i="1" s="1"/>
  <c r="M10" i="1"/>
  <c r="N10" i="1"/>
  <c r="K11" i="1"/>
  <c r="M11" i="1"/>
  <c r="N11" i="1" s="1"/>
  <c r="K12" i="1"/>
  <c r="M12" i="1"/>
  <c r="N12" i="1" s="1"/>
  <c r="K13" i="1"/>
  <c r="N13" i="1" s="1"/>
  <c r="M13" i="1"/>
  <c r="K14" i="1"/>
  <c r="M14" i="1"/>
  <c r="N14" i="1"/>
  <c r="L15" i="1"/>
  <c r="K15" i="1"/>
  <c r="M15" i="1"/>
  <c r="N15" i="1"/>
  <c r="K16" i="1"/>
  <c r="L16" i="1" s="1"/>
  <c r="M16" i="1"/>
  <c r="N16" i="1"/>
  <c r="K17" i="1"/>
  <c r="L17" i="1"/>
  <c r="M17" i="1"/>
  <c r="N17" i="1" s="1"/>
  <c r="K18" i="1"/>
  <c r="L18" i="1" s="1"/>
  <c r="M18" i="1"/>
  <c r="N18" i="1" s="1"/>
  <c r="K19" i="1"/>
  <c r="L19" i="1" s="1"/>
  <c r="M19" i="1"/>
  <c r="K20" i="1"/>
  <c r="L20" i="1"/>
  <c r="M20" i="1"/>
  <c r="N20" i="1" s="1"/>
  <c r="K21" i="1"/>
  <c r="M21" i="1"/>
  <c r="N21" i="1" s="1"/>
  <c r="K22" i="1"/>
  <c r="L22" i="1" s="1"/>
  <c r="M22" i="1"/>
  <c r="N22" i="1"/>
  <c r="K23" i="1"/>
  <c r="M23" i="1"/>
  <c r="N23" i="1" s="1"/>
  <c r="K24" i="1"/>
  <c r="M24" i="1"/>
  <c r="N24" i="1" s="1"/>
  <c r="K25" i="1"/>
  <c r="M25" i="1"/>
  <c r="N25" i="1" s="1"/>
  <c r="K26" i="1"/>
  <c r="M26" i="1"/>
  <c r="N26" i="1"/>
  <c r="K27" i="1"/>
  <c r="L27" i="1" s="1"/>
  <c r="M27" i="1"/>
  <c r="N27" i="1"/>
  <c r="K28" i="1"/>
  <c r="L28" i="1" s="1"/>
  <c r="M28" i="1"/>
  <c r="N28" i="1"/>
  <c r="K29" i="1"/>
  <c r="L29" i="1"/>
  <c r="M29" i="1"/>
  <c r="N29" i="1" s="1"/>
  <c r="K30" i="1"/>
  <c r="L30" i="1" s="1"/>
  <c r="M30" i="1"/>
  <c r="N30" i="1" s="1"/>
  <c r="K31" i="1"/>
  <c r="L31" i="1" s="1"/>
  <c r="M31" i="1"/>
  <c r="K32" i="1"/>
  <c r="L32" i="1"/>
  <c r="M32" i="1"/>
  <c r="N32" i="1" s="1"/>
  <c r="K33" i="1"/>
  <c r="M33" i="1"/>
  <c r="N33" i="1" s="1"/>
  <c r="M3" i="1"/>
  <c r="N3" i="1" s="1"/>
  <c r="K3" i="1"/>
  <c r="L3" i="1" s="1"/>
  <c r="M2" i="1"/>
  <c r="N2" i="1" s="1"/>
  <c r="K2" i="1"/>
  <c r="L2" i="1" s="1"/>
  <c r="L21" i="1" l="1"/>
  <c r="L33" i="1"/>
  <c r="N31" i="1"/>
  <c r="N19" i="1"/>
  <c r="N7" i="1"/>
</calcChain>
</file>

<file path=xl/sharedStrings.xml><?xml version="1.0" encoding="utf-8"?>
<sst xmlns="http://schemas.openxmlformats.org/spreadsheetml/2006/main" count="46" uniqueCount="46">
  <si>
    <t>AlphaOmega</t>
  </si>
  <si>
    <t>AREDS2</t>
  </si>
  <si>
    <t>ASCEND</t>
  </si>
  <si>
    <t>Baldassarre</t>
  </si>
  <si>
    <t>Brox</t>
  </si>
  <si>
    <t>DART</t>
  </si>
  <si>
    <t>Derosa</t>
  </si>
  <si>
    <t>Doi</t>
  </si>
  <si>
    <t>EPE-A</t>
  </si>
  <si>
    <t>EPOCH</t>
  </si>
  <si>
    <t>FORWARD</t>
  </si>
  <si>
    <t>FOSTAR</t>
  </si>
  <si>
    <t>GISSI-HF</t>
  </si>
  <si>
    <t>GISSI-P</t>
  </si>
  <si>
    <t>HARP</t>
  </si>
  <si>
    <t>HEARTS</t>
  </si>
  <si>
    <t>JELIS</t>
  </si>
  <si>
    <t>Nye</t>
  </si>
  <si>
    <t>OFAMI</t>
  </si>
  <si>
    <t>OMEGA</t>
  </si>
  <si>
    <t>ORIGIN</t>
  </si>
  <si>
    <t>Proudman</t>
  </si>
  <si>
    <t>Raitt</t>
  </si>
  <si>
    <t>REDUCE-IT</t>
  </si>
  <si>
    <t>SCIMO</t>
  </si>
  <si>
    <t>SHOT</t>
  </si>
  <si>
    <t>SOFA</t>
  </si>
  <si>
    <t>SU.FOL.OM3</t>
  </si>
  <si>
    <t>VITAL</t>
  </si>
  <si>
    <t>DO IT</t>
  </si>
  <si>
    <t>Risk &amp; Prevention</t>
  </si>
  <si>
    <t>THIS DIET</t>
  </si>
  <si>
    <t>Study</t>
  </si>
  <si>
    <t>Year</t>
  </si>
  <si>
    <t>events_treat</t>
  </si>
  <si>
    <t>n_treat</t>
  </si>
  <si>
    <t>events_ctrl</t>
  </si>
  <si>
    <t>n_ctrl</t>
  </si>
  <si>
    <t>OR</t>
  </si>
  <si>
    <t>lCI</t>
  </si>
  <si>
    <t>uCI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</si>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</sst>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C1" workbookViewId="0">
      <selection activeCell="P19" sqref="P19"/>
    </sheetView>
  </sheetViews>
  <sheetFormatPr defaultRowHeight="15" x14ac:dyDescent="0.25"/>
  <cols>
    <col min="1" max="1" width="27.28515625" bestFit="1" customWidth="1"/>
    <col min="3" max="3" width="9.85546875" bestFit="1" customWidth="1"/>
    <col min="4" max="4" width="9.85546875" customWidth="1"/>
    <col min="5" max="5" width="9.85546875" bestFit="1" customWidth="1"/>
    <col min="6" max="6" width="9.85546875" customWidth="1"/>
    <col min="7" max="7" width="14.85546875" bestFit="1" customWidth="1"/>
  </cols>
  <sheetData>
    <row r="1" spans="1:14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  <row r="2" spans="1:14" x14ac:dyDescent="0.25">
      <c r="A2" t="s">
        <v>0</v>
      </c>
      <c r="B2">
        <v>2010</v>
      </c>
      <c r="C2">
        <v>120</v>
      </c>
      <c r="D2">
        <v>2404</v>
      </c>
      <c r="E2">
        <v>128</v>
      </c>
      <c r="F2">
        <v>2433</v>
      </c>
      <c r="G2">
        <v>0.95</v>
      </c>
      <c r="H2">
        <v>0.74</v>
      </c>
      <c r="I2">
        <v>1.21</v>
      </c>
      <c r="J2">
        <f>-LN(G2)/1.81</f>
        <v>2.8338836678204738E-2</v>
      </c>
      <c r="K2">
        <f>1-3/(4*(F2+D2-2)-1)</f>
        <v>0.99984487305444958</v>
      </c>
      <c r="L2">
        <f>K2*J2</f>
        <v>2.8334440561030395E-2</v>
      </c>
      <c r="M2">
        <f>(LN(I2)-LN(H2))/2/1.96/1.81</f>
        <v>6.9303959351754887E-2</v>
      </c>
      <c r="N2">
        <f>M2*K2</f>
        <v>6.9293208440226101E-2</v>
      </c>
    </row>
    <row r="3" spans="1:14" x14ac:dyDescent="0.25">
      <c r="A3" t="s">
        <v>1</v>
      </c>
      <c r="B3">
        <v>2014</v>
      </c>
      <c r="C3">
        <v>39</v>
      </c>
      <c r="D3">
        <v>2147</v>
      </c>
      <c r="E3">
        <v>49</v>
      </c>
      <c r="F3">
        <v>2056</v>
      </c>
      <c r="G3">
        <v>0.76</v>
      </c>
      <c r="H3">
        <v>0.5</v>
      </c>
      <c r="I3">
        <v>1.1599999999999999</v>
      </c>
      <c r="J3">
        <f t="shared" ref="J3:J33" si="0">-LN(G3)/1.81</f>
        <v>0.15162256668605542</v>
      </c>
      <c r="K3">
        <f t="shared" ref="K3" si="1">1-3/(4*(F3+D3-2)-1)</f>
        <v>0.99982146045349041</v>
      </c>
      <c r="L3">
        <f t="shared" ref="L3" si="2">K3*J3</f>
        <v>0.15159549606175868</v>
      </c>
      <c r="M3">
        <f t="shared" ref="M3" si="3">(LN(I3)-LN(H3))/2/1.96/1.81</f>
        <v>0.11861077709976019</v>
      </c>
      <c r="N3">
        <f t="shared" ref="N3" si="4">M3*K3</f>
        <v>0.11858960038540564</v>
      </c>
    </row>
    <row r="4" spans="1:14" x14ac:dyDescent="0.25">
      <c r="A4" t="s">
        <v>2</v>
      </c>
      <c r="B4">
        <v>2018</v>
      </c>
      <c r="C4">
        <v>275</v>
      </c>
      <c r="D4">
        <v>7740</v>
      </c>
      <c r="E4">
        <v>310</v>
      </c>
      <c r="F4">
        <v>7740</v>
      </c>
      <c r="G4">
        <v>0.89</v>
      </c>
      <c r="H4">
        <v>0.76</v>
      </c>
      <c r="I4">
        <v>1.04</v>
      </c>
      <c r="J4">
        <f t="shared" si="0"/>
        <v>6.4383323898315747E-2</v>
      </c>
      <c r="K4">
        <f t="shared" ref="K4:K33" si="5">1-3/(4*(F4+D4-2)-1)</f>
        <v>0.99995154334447833</v>
      </c>
      <c r="L4">
        <f t="shared" ref="L4:L33" si="6">K4*J4</f>
        <v>6.4380204097768262E-2</v>
      </c>
      <c r="M4">
        <f t="shared" ref="M4:M33" si="7">(LN(I4)-LN(H4))/2/1.96/1.81</f>
        <v>4.4207007393032141E-2</v>
      </c>
      <c r="N4">
        <f t="shared" ref="N4:N33" si="8">M4*K4</f>
        <v>4.4204865269303256E-2</v>
      </c>
    </row>
    <row r="5" spans="1:14" x14ac:dyDescent="0.25">
      <c r="A5" t="s">
        <v>3</v>
      </c>
      <c r="B5">
        <v>2006</v>
      </c>
      <c r="C5">
        <v>1</v>
      </c>
      <c r="D5">
        <v>32</v>
      </c>
      <c r="E5">
        <v>0</v>
      </c>
      <c r="F5">
        <v>32</v>
      </c>
      <c r="G5">
        <v>3</v>
      </c>
      <c r="H5">
        <v>0.13</v>
      </c>
      <c r="I5">
        <v>71</v>
      </c>
      <c r="J5">
        <f t="shared" si="0"/>
        <v>-0.6069681152862485</v>
      </c>
      <c r="K5">
        <f t="shared" si="5"/>
        <v>0.98785425101214575</v>
      </c>
      <c r="L5">
        <f t="shared" si="6"/>
        <v>-0.59959603291435071</v>
      </c>
      <c r="M5">
        <f t="shared" si="7"/>
        <v>0.88833305693537468</v>
      </c>
      <c r="N5">
        <f t="shared" si="8"/>
        <v>0.8775435866082244</v>
      </c>
    </row>
    <row r="6" spans="1:14" x14ac:dyDescent="0.25">
      <c r="A6" t="s">
        <v>4</v>
      </c>
      <c r="B6">
        <v>2001</v>
      </c>
      <c r="C6">
        <v>0</v>
      </c>
      <c r="D6">
        <v>80</v>
      </c>
      <c r="E6">
        <v>1</v>
      </c>
      <c r="F6">
        <v>40</v>
      </c>
      <c r="G6">
        <v>0.17</v>
      </c>
      <c r="H6">
        <v>0.01</v>
      </c>
      <c r="I6">
        <v>4.05</v>
      </c>
      <c r="J6">
        <f t="shared" si="0"/>
        <v>0.97898168062534541</v>
      </c>
      <c r="K6">
        <f t="shared" si="5"/>
        <v>0.99363057324840764</v>
      </c>
      <c r="L6">
        <f t="shared" si="6"/>
        <v>0.97274612851945153</v>
      </c>
      <c r="M6">
        <f t="shared" si="7"/>
        <v>0.84618996886719744</v>
      </c>
      <c r="N6">
        <f t="shared" si="8"/>
        <v>0.84080022384256559</v>
      </c>
    </row>
    <row r="7" spans="1:14" x14ac:dyDescent="0.25">
      <c r="A7" t="s">
        <v>5</v>
      </c>
      <c r="B7">
        <v>1989</v>
      </c>
      <c r="C7">
        <v>337</v>
      </c>
      <c r="D7">
        <v>1015</v>
      </c>
      <c r="E7">
        <v>366</v>
      </c>
      <c r="F7">
        <v>1018</v>
      </c>
      <c r="G7">
        <v>0.92</v>
      </c>
      <c r="H7">
        <v>0.82</v>
      </c>
      <c r="I7">
        <v>1.04</v>
      </c>
      <c r="J7">
        <f t="shared" si="0"/>
        <v>4.6067187259144202E-2</v>
      </c>
      <c r="K7">
        <f t="shared" si="5"/>
        <v>0.99963067832081742</v>
      </c>
      <c r="L7">
        <f t="shared" si="6"/>
        <v>4.6050173648190439E-2</v>
      </c>
      <c r="M7">
        <f t="shared" si="7"/>
        <v>3.349752676134847E-2</v>
      </c>
      <c r="N7">
        <f t="shared" si="8"/>
        <v>3.3485155398516507E-2</v>
      </c>
    </row>
    <row r="8" spans="1:14" x14ac:dyDescent="0.25">
      <c r="A8" t="s">
        <v>6</v>
      </c>
      <c r="B8">
        <v>2016</v>
      </c>
      <c r="C8">
        <v>0</v>
      </c>
      <c r="D8">
        <v>128</v>
      </c>
      <c r="E8">
        <v>4</v>
      </c>
      <c r="F8">
        <v>130</v>
      </c>
      <c r="G8">
        <v>0.11</v>
      </c>
      <c r="H8">
        <v>0.01</v>
      </c>
      <c r="I8">
        <v>2.0699999999999998</v>
      </c>
      <c r="J8">
        <f t="shared" si="0"/>
        <v>1.2194889023147628</v>
      </c>
      <c r="K8">
        <f t="shared" si="5"/>
        <v>0.99706744868035191</v>
      </c>
      <c r="L8">
        <f t="shared" si="6"/>
        <v>1.2159126885249834</v>
      </c>
      <c r="M8">
        <f t="shared" si="7"/>
        <v>0.7515952747301512</v>
      </c>
      <c r="N8">
        <f t="shared" si="8"/>
        <v>0.74939118301539998</v>
      </c>
    </row>
    <row r="9" spans="1:14" x14ac:dyDescent="0.25">
      <c r="A9" t="s">
        <v>29</v>
      </c>
      <c r="B9">
        <v>2010</v>
      </c>
      <c r="C9">
        <v>11</v>
      </c>
      <c r="D9">
        <v>282</v>
      </c>
      <c r="E9">
        <v>12</v>
      </c>
      <c r="F9">
        <v>281</v>
      </c>
      <c r="G9">
        <v>0.91</v>
      </c>
      <c r="H9">
        <v>0.41</v>
      </c>
      <c r="I9">
        <v>2.04</v>
      </c>
      <c r="J9">
        <f t="shared" si="0"/>
        <v>5.2105347774166456E-2</v>
      </c>
      <c r="K9">
        <f t="shared" si="5"/>
        <v>0.99866250557289349</v>
      </c>
      <c r="L9">
        <f t="shared" si="6"/>
        <v>5.2035657161896065E-2</v>
      </c>
      <c r="M9">
        <f t="shared" si="7"/>
        <v>0.22614555292872765</v>
      </c>
      <c r="N9">
        <f t="shared" si="8"/>
        <v>0.22584308451197055</v>
      </c>
    </row>
    <row r="10" spans="1:14" x14ac:dyDescent="0.25">
      <c r="A10" t="s">
        <v>7</v>
      </c>
      <c r="B10">
        <v>2014</v>
      </c>
      <c r="C10">
        <v>1</v>
      </c>
      <c r="D10">
        <v>119</v>
      </c>
      <c r="E10">
        <v>0</v>
      </c>
      <c r="F10">
        <v>119</v>
      </c>
      <c r="G10">
        <v>3</v>
      </c>
      <c r="H10">
        <v>0.12</v>
      </c>
      <c r="I10">
        <v>72.91</v>
      </c>
      <c r="J10">
        <f t="shared" si="0"/>
        <v>-0.6069681152862485</v>
      </c>
      <c r="K10">
        <f t="shared" si="5"/>
        <v>0.99681866383881235</v>
      </c>
      <c r="L10">
        <f t="shared" si="6"/>
        <v>-0.60503714567240041</v>
      </c>
      <c r="M10">
        <f t="shared" si="7"/>
        <v>0.90335569681170791</v>
      </c>
      <c r="N10">
        <f t="shared" si="8"/>
        <v>0.90048181866702592</v>
      </c>
    </row>
    <row r="11" spans="1:14" x14ac:dyDescent="0.25">
      <c r="A11" t="s">
        <v>8</v>
      </c>
      <c r="B11">
        <v>2014</v>
      </c>
      <c r="C11">
        <v>2</v>
      </c>
      <c r="D11">
        <v>168</v>
      </c>
      <c r="E11">
        <v>1</v>
      </c>
      <c r="F11">
        <v>75</v>
      </c>
      <c r="G11">
        <v>0.89</v>
      </c>
      <c r="H11">
        <v>0.08</v>
      </c>
      <c r="I11">
        <v>9.6999999999999993</v>
      </c>
      <c r="J11">
        <f t="shared" si="0"/>
        <v>6.4383323898315747E-2</v>
      </c>
      <c r="K11">
        <f t="shared" si="5"/>
        <v>0.99688473520249221</v>
      </c>
      <c r="L11">
        <f t="shared" si="6"/>
        <v>6.4182752795828787E-2</v>
      </c>
      <c r="M11">
        <f t="shared" si="7"/>
        <v>0.67621131607531748</v>
      </c>
      <c r="N11">
        <f t="shared" si="8"/>
        <v>0.67410473876667165</v>
      </c>
    </row>
    <row r="12" spans="1:14" x14ac:dyDescent="0.25">
      <c r="A12" t="s">
        <v>9</v>
      </c>
      <c r="B12">
        <v>2014</v>
      </c>
      <c r="C12">
        <v>1</v>
      </c>
      <c r="D12">
        <v>195</v>
      </c>
      <c r="E12">
        <v>0</v>
      </c>
      <c r="F12">
        <v>196</v>
      </c>
      <c r="G12">
        <v>3.02</v>
      </c>
      <c r="H12">
        <v>0.12</v>
      </c>
      <c r="I12">
        <v>73.569999999999993</v>
      </c>
      <c r="J12">
        <f t="shared" si="0"/>
        <v>-0.61063913336286091</v>
      </c>
      <c r="K12">
        <f t="shared" si="5"/>
        <v>0.99807073954983927</v>
      </c>
      <c r="L12">
        <f t="shared" si="6"/>
        <v>-0.60946105143354357</v>
      </c>
      <c r="M12">
        <f t="shared" si="7"/>
        <v>0.90462578505810465</v>
      </c>
      <c r="N12">
        <f t="shared" si="8"/>
        <v>0.90288052630879645</v>
      </c>
    </row>
    <row r="13" spans="1:14" x14ac:dyDescent="0.25">
      <c r="A13" t="s">
        <v>10</v>
      </c>
      <c r="B13">
        <v>2013</v>
      </c>
      <c r="C13">
        <v>1</v>
      </c>
      <c r="D13">
        <v>289</v>
      </c>
      <c r="E13">
        <v>1</v>
      </c>
      <c r="F13">
        <v>297</v>
      </c>
      <c r="G13">
        <v>1.03</v>
      </c>
      <c r="H13">
        <v>0.06</v>
      </c>
      <c r="I13">
        <v>16.350000000000001</v>
      </c>
      <c r="J13">
        <f t="shared" si="0"/>
        <v>-1.6330829967704102E-2</v>
      </c>
      <c r="K13">
        <f t="shared" si="5"/>
        <v>0.99871520342612419</v>
      </c>
      <c r="L13">
        <f t="shared" si="6"/>
        <v>-1.6309848173313046E-2</v>
      </c>
      <c r="M13">
        <f t="shared" si="7"/>
        <v>0.79034257161225885</v>
      </c>
      <c r="N13">
        <f t="shared" si="8"/>
        <v>0.78932714218406319</v>
      </c>
    </row>
    <row r="14" spans="1:14" x14ac:dyDescent="0.25">
      <c r="A14" t="s">
        <v>11</v>
      </c>
      <c r="B14">
        <v>2016</v>
      </c>
      <c r="C14">
        <v>10</v>
      </c>
      <c r="D14">
        <v>101</v>
      </c>
      <c r="E14">
        <v>10</v>
      </c>
      <c r="F14">
        <v>101</v>
      </c>
      <c r="G14">
        <v>1</v>
      </c>
      <c r="H14">
        <v>0.44</v>
      </c>
      <c r="I14">
        <v>2.2999999999999998</v>
      </c>
      <c r="J14">
        <f t="shared" si="0"/>
        <v>0</v>
      </c>
      <c r="K14">
        <f t="shared" si="5"/>
        <v>0.99624530663329158</v>
      </c>
      <c r="L14">
        <f t="shared" si="6"/>
        <v>0</v>
      </c>
      <c r="M14">
        <f t="shared" si="7"/>
        <v>0.23309979634188382</v>
      </c>
      <c r="N14">
        <f t="shared" si="8"/>
        <v>0.23222457808277788</v>
      </c>
    </row>
    <row r="15" spans="1:14" x14ac:dyDescent="0.25">
      <c r="A15" t="s">
        <v>12</v>
      </c>
      <c r="B15">
        <v>2008</v>
      </c>
      <c r="C15">
        <v>1309</v>
      </c>
      <c r="D15">
        <v>3494</v>
      </c>
      <c r="E15">
        <v>1360</v>
      </c>
      <c r="F15">
        <v>3481</v>
      </c>
      <c r="G15">
        <v>0.96</v>
      </c>
      <c r="H15">
        <v>0.9</v>
      </c>
      <c r="I15">
        <v>1.02</v>
      </c>
      <c r="J15">
        <f t="shared" si="0"/>
        <v>2.2553588132737661E-2</v>
      </c>
      <c r="K15">
        <f t="shared" si="5"/>
        <v>0.99989243842099607</v>
      </c>
      <c r="L15">
        <f t="shared" si="6"/>
        <v>2.2551162233185897E-2</v>
      </c>
      <c r="M15">
        <f t="shared" si="7"/>
        <v>1.7640537680968262E-2</v>
      </c>
      <c r="N15">
        <f t="shared" si="8"/>
        <v>1.7638640236880818E-2</v>
      </c>
    </row>
    <row r="16" spans="1:14" x14ac:dyDescent="0.25">
      <c r="A16" t="s">
        <v>13</v>
      </c>
      <c r="B16">
        <v>1999</v>
      </c>
      <c r="C16">
        <v>424</v>
      </c>
      <c r="D16">
        <v>5666</v>
      </c>
      <c r="E16">
        <v>485</v>
      </c>
      <c r="F16">
        <v>5658</v>
      </c>
      <c r="G16">
        <v>0.87</v>
      </c>
      <c r="H16">
        <v>0.77</v>
      </c>
      <c r="I16">
        <v>0.99</v>
      </c>
      <c r="J16">
        <f t="shared" si="0"/>
        <v>7.6940368692545669E-2</v>
      </c>
      <c r="K16">
        <f t="shared" si="5"/>
        <v>0.99993375582396715</v>
      </c>
      <c r="L16">
        <f t="shared" si="6"/>
        <v>7.693527184121797E-2</v>
      </c>
      <c r="M16">
        <f t="shared" si="7"/>
        <v>3.5420344497816281E-2</v>
      </c>
      <c r="N16">
        <f t="shared" si="8"/>
        <v>3.541799810628022E-2</v>
      </c>
    </row>
    <row r="17" spans="1:14" x14ac:dyDescent="0.25">
      <c r="A17" t="s">
        <v>14</v>
      </c>
      <c r="B17">
        <v>1995</v>
      </c>
      <c r="C17">
        <v>7</v>
      </c>
      <c r="D17">
        <v>41</v>
      </c>
      <c r="E17">
        <v>7</v>
      </c>
      <c r="F17">
        <v>39</v>
      </c>
      <c r="G17">
        <v>0.95</v>
      </c>
      <c r="H17">
        <v>0.37</v>
      </c>
      <c r="I17">
        <v>2.46</v>
      </c>
      <c r="J17">
        <f t="shared" si="0"/>
        <v>2.8338836678204738E-2</v>
      </c>
      <c r="K17">
        <f t="shared" si="5"/>
        <v>0.99035369774919613</v>
      </c>
      <c r="L17">
        <f t="shared" si="6"/>
        <v>2.8065471694170608E-2</v>
      </c>
      <c r="M17">
        <f t="shared" si="7"/>
        <v>0.26699932676853905</v>
      </c>
      <c r="N17">
        <f t="shared" si="8"/>
        <v>0.26442377056176858</v>
      </c>
    </row>
    <row r="18" spans="1:14" x14ac:dyDescent="0.25">
      <c r="A18" t="s">
        <v>15</v>
      </c>
      <c r="B18">
        <v>2017</v>
      </c>
      <c r="C18">
        <v>41</v>
      </c>
      <c r="D18">
        <v>143</v>
      </c>
      <c r="E18">
        <v>35</v>
      </c>
      <c r="F18">
        <v>142</v>
      </c>
      <c r="G18">
        <v>1.1599999999999999</v>
      </c>
      <c r="H18">
        <v>0.79</v>
      </c>
      <c r="I18">
        <v>1.71</v>
      </c>
      <c r="J18">
        <f t="shared" si="0"/>
        <v>-8.2000002827775254E-2</v>
      </c>
      <c r="K18">
        <f t="shared" si="5"/>
        <v>0.99734748010610075</v>
      </c>
      <c r="L18">
        <f t="shared" si="6"/>
        <v>-8.178249618897479E-2</v>
      </c>
      <c r="M18">
        <f t="shared" si="7"/>
        <v>0.10883635472370592</v>
      </c>
      <c r="N18">
        <f t="shared" si="8"/>
        <v>0.10854766412762182</v>
      </c>
    </row>
    <row r="19" spans="1:14" x14ac:dyDescent="0.25">
      <c r="A19" t="s">
        <v>16</v>
      </c>
      <c r="B19">
        <v>2007</v>
      </c>
      <c r="C19">
        <v>88</v>
      </c>
      <c r="D19">
        <v>9326</v>
      </c>
      <c r="E19">
        <v>113</v>
      </c>
      <c r="F19">
        <v>9319</v>
      </c>
      <c r="G19">
        <v>0.78</v>
      </c>
      <c r="H19">
        <v>0.59</v>
      </c>
      <c r="I19">
        <v>1.03</v>
      </c>
      <c r="J19">
        <f t="shared" si="0"/>
        <v>0.13727146922569039</v>
      </c>
      <c r="K19">
        <f t="shared" si="5"/>
        <v>0.99995976988373492</v>
      </c>
      <c r="L19">
        <f t="shared" si="6"/>
        <v>0.13726594677852355</v>
      </c>
      <c r="M19">
        <f t="shared" si="7"/>
        <v>7.8530773526315878E-2</v>
      </c>
      <c r="N19">
        <f t="shared" si="8"/>
        <v>7.8527614224166528E-2</v>
      </c>
    </row>
    <row r="20" spans="1:14" x14ac:dyDescent="0.25">
      <c r="A20" t="s">
        <v>17</v>
      </c>
      <c r="B20">
        <v>1990</v>
      </c>
      <c r="C20">
        <v>5</v>
      </c>
      <c r="D20">
        <v>36</v>
      </c>
      <c r="E20">
        <v>11</v>
      </c>
      <c r="F20">
        <v>37</v>
      </c>
      <c r="G20">
        <v>0.47</v>
      </c>
      <c r="H20">
        <v>0.18</v>
      </c>
      <c r="I20">
        <v>1.21</v>
      </c>
      <c r="J20">
        <f t="shared" si="0"/>
        <v>0.41713954932488001</v>
      </c>
      <c r="K20">
        <f t="shared" si="5"/>
        <v>0.98939929328621912</v>
      </c>
      <c r="L20">
        <f t="shared" si="6"/>
        <v>0.41271757530376824</v>
      </c>
      <c r="M20">
        <f t="shared" si="7"/>
        <v>0.26855039853712037</v>
      </c>
      <c r="N20">
        <f t="shared" si="8"/>
        <v>0.26570357452435939</v>
      </c>
    </row>
    <row r="21" spans="1:14" x14ac:dyDescent="0.25">
      <c r="A21" t="s">
        <v>18</v>
      </c>
      <c r="B21">
        <v>2001</v>
      </c>
      <c r="C21">
        <v>42</v>
      </c>
      <c r="D21">
        <v>150</v>
      </c>
      <c r="E21">
        <v>36</v>
      </c>
      <c r="F21">
        <v>150</v>
      </c>
      <c r="G21">
        <v>1.17</v>
      </c>
      <c r="H21">
        <v>0.8</v>
      </c>
      <c r="I21">
        <v>1.71</v>
      </c>
      <c r="J21">
        <f t="shared" si="0"/>
        <v>-8.6742402657273315E-2</v>
      </c>
      <c r="K21">
        <f t="shared" si="5"/>
        <v>0.9974811083123426</v>
      </c>
      <c r="L21">
        <f t="shared" si="6"/>
        <v>-8.6523907940252484E-2</v>
      </c>
      <c r="M21">
        <f t="shared" si="7"/>
        <v>0.10706349670605171</v>
      </c>
      <c r="N21">
        <f t="shared" si="8"/>
        <v>0.10679381535414731</v>
      </c>
    </row>
    <row r="22" spans="1:14" x14ac:dyDescent="0.25">
      <c r="A22" t="s">
        <v>19</v>
      </c>
      <c r="B22">
        <v>2009</v>
      </c>
      <c r="C22">
        <v>112</v>
      </c>
      <c r="D22">
        <v>1919</v>
      </c>
      <c r="E22">
        <v>96</v>
      </c>
      <c r="F22">
        <v>1885</v>
      </c>
      <c r="G22">
        <v>1.1499999999999999</v>
      </c>
      <c r="H22">
        <v>0.88</v>
      </c>
      <c r="I22">
        <v>1.49</v>
      </c>
      <c r="J22">
        <f t="shared" si="0"/>
        <v>-7.7216542748706415E-2</v>
      </c>
      <c r="K22">
        <f t="shared" si="5"/>
        <v>0.99980272243045964</v>
      </c>
      <c r="L22">
        <f t="shared" si="6"/>
        <v>-7.7201309656824646E-2</v>
      </c>
      <c r="M22">
        <f t="shared" si="7"/>
        <v>7.4220528169361352E-2</v>
      </c>
      <c r="N22">
        <f t="shared" si="8"/>
        <v>7.4205886123954096E-2</v>
      </c>
    </row>
    <row r="23" spans="1:14" x14ac:dyDescent="0.25">
      <c r="A23" t="s">
        <v>20</v>
      </c>
      <c r="B23">
        <v>2012</v>
      </c>
      <c r="C23">
        <v>635</v>
      </c>
      <c r="D23">
        <v>6281</v>
      </c>
      <c r="E23">
        <v>580</v>
      </c>
      <c r="F23">
        <v>6255</v>
      </c>
      <c r="G23">
        <v>1.0900000000000001</v>
      </c>
      <c r="H23">
        <v>0.98</v>
      </c>
      <c r="I23">
        <v>1.21</v>
      </c>
      <c r="J23">
        <f t="shared" si="0"/>
        <v>-4.7611986873509621E-2</v>
      </c>
      <c r="K23">
        <f t="shared" si="5"/>
        <v>0.99994016156377785</v>
      </c>
      <c r="L23">
        <f t="shared" si="6"/>
        <v>-4.7609137846669682E-2</v>
      </c>
      <c r="M23">
        <f t="shared" si="7"/>
        <v>2.9713477692830247E-2</v>
      </c>
      <c r="N23">
        <f t="shared" si="8"/>
        <v>2.9711699684790385E-2</v>
      </c>
    </row>
    <row r="24" spans="1:14" x14ac:dyDescent="0.25">
      <c r="A24" t="s">
        <v>21</v>
      </c>
      <c r="B24">
        <v>2015</v>
      </c>
      <c r="C24">
        <v>1</v>
      </c>
      <c r="D24">
        <v>87</v>
      </c>
      <c r="E24">
        <v>0</v>
      </c>
      <c r="F24">
        <v>53</v>
      </c>
      <c r="G24">
        <v>1.84</v>
      </c>
      <c r="H24">
        <v>0.08</v>
      </c>
      <c r="I24">
        <v>44.38</v>
      </c>
      <c r="J24">
        <f t="shared" si="0"/>
        <v>-0.3368870561441405</v>
      </c>
      <c r="K24">
        <f t="shared" si="5"/>
        <v>0.99455535390199634</v>
      </c>
      <c r="L24">
        <f t="shared" si="6"/>
        <v>-0.33505282534843739</v>
      </c>
      <c r="M24">
        <f t="shared" si="7"/>
        <v>0.89053410218354712</v>
      </c>
      <c r="N24">
        <f t="shared" si="8"/>
        <v>0.88568545915895425</v>
      </c>
    </row>
    <row r="25" spans="1:14" x14ac:dyDescent="0.25">
      <c r="A25" t="s">
        <v>22</v>
      </c>
      <c r="B25">
        <v>2005</v>
      </c>
      <c r="C25">
        <v>1</v>
      </c>
      <c r="D25">
        <v>100</v>
      </c>
      <c r="E25">
        <v>3</v>
      </c>
      <c r="F25">
        <v>100</v>
      </c>
      <c r="G25">
        <v>0.33</v>
      </c>
      <c r="H25">
        <v>0.04</v>
      </c>
      <c r="I25">
        <v>3.15</v>
      </c>
      <c r="J25">
        <f t="shared" si="0"/>
        <v>0.61252078702851442</v>
      </c>
      <c r="K25">
        <f t="shared" si="5"/>
        <v>0.99620733249051829</v>
      </c>
      <c r="L25">
        <f t="shared" si="6"/>
        <v>0.61019769934066925</v>
      </c>
      <c r="M25">
        <f t="shared" si="7"/>
        <v>0.61538480630648074</v>
      </c>
      <c r="N25">
        <f t="shared" si="8"/>
        <v>0.6130508563457735</v>
      </c>
    </row>
    <row r="26" spans="1:14" x14ac:dyDescent="0.25">
      <c r="A26" t="s">
        <v>23</v>
      </c>
      <c r="B26">
        <v>2019</v>
      </c>
      <c r="C26">
        <v>250</v>
      </c>
      <c r="D26">
        <v>4089</v>
      </c>
      <c r="E26">
        <v>355</v>
      </c>
      <c r="F26">
        <v>4090</v>
      </c>
      <c r="G26">
        <v>0.7</v>
      </c>
      <c r="H26">
        <v>0.6</v>
      </c>
      <c r="I26">
        <v>0.82</v>
      </c>
      <c r="J26">
        <f t="shared" si="0"/>
        <v>0.19705798007664777</v>
      </c>
      <c r="K26">
        <f t="shared" si="5"/>
        <v>0.99990827651573055</v>
      </c>
      <c r="L26">
        <f t="shared" si="6"/>
        <v>0.19703990523211204</v>
      </c>
      <c r="M26">
        <f t="shared" si="7"/>
        <v>4.4026198703652097E-2</v>
      </c>
      <c r="N26">
        <f t="shared" si="8"/>
        <v>4.4022160467307857E-2</v>
      </c>
    </row>
    <row r="27" spans="1:14" x14ac:dyDescent="0.25">
      <c r="A27" t="s">
        <v>30</v>
      </c>
      <c r="B27">
        <v>2013</v>
      </c>
      <c r="C27">
        <v>310</v>
      </c>
      <c r="D27">
        <v>6239</v>
      </c>
      <c r="E27">
        <v>324</v>
      </c>
      <c r="F27">
        <v>6266</v>
      </c>
      <c r="G27">
        <v>0.96</v>
      </c>
      <c r="H27">
        <v>0.83</v>
      </c>
      <c r="I27">
        <v>1.1200000000000001</v>
      </c>
      <c r="J27">
        <f t="shared" si="0"/>
        <v>2.2553588132737661E-2</v>
      </c>
      <c r="K27">
        <f t="shared" si="5"/>
        <v>0.99994001319709669</v>
      </c>
      <c r="L27">
        <f t="shared" si="6"/>
        <v>2.255223521509158E-2</v>
      </c>
      <c r="M27">
        <f t="shared" si="7"/>
        <v>4.223394174913981E-2</v>
      </c>
      <c r="N27">
        <f t="shared" si="8"/>
        <v>4.2231408270000277E-2</v>
      </c>
    </row>
    <row r="28" spans="1:14" x14ac:dyDescent="0.25">
      <c r="A28" t="s">
        <v>24</v>
      </c>
      <c r="B28">
        <v>1999</v>
      </c>
      <c r="C28">
        <v>1</v>
      </c>
      <c r="D28">
        <v>112</v>
      </c>
      <c r="E28">
        <v>4</v>
      </c>
      <c r="F28">
        <v>111</v>
      </c>
      <c r="G28">
        <v>0.25</v>
      </c>
      <c r="H28">
        <v>0.03</v>
      </c>
      <c r="I28">
        <v>2.1800000000000002</v>
      </c>
      <c r="J28">
        <f t="shared" si="0"/>
        <v>0.76590848680656931</v>
      </c>
      <c r="K28">
        <f t="shared" si="5"/>
        <v>0.99660249150622882</v>
      </c>
      <c r="L28">
        <f t="shared" si="6"/>
        <v>0.76330630621719253</v>
      </c>
      <c r="M28">
        <f t="shared" si="7"/>
        <v>0.60405383556784586</v>
      </c>
      <c r="N28">
        <f t="shared" si="8"/>
        <v>0.60200155753080908</v>
      </c>
    </row>
    <row r="29" spans="1:14" x14ac:dyDescent="0.25">
      <c r="A29" t="s">
        <v>25</v>
      </c>
      <c r="B29">
        <v>1996</v>
      </c>
      <c r="C29">
        <v>7</v>
      </c>
      <c r="D29">
        <v>317</v>
      </c>
      <c r="E29">
        <v>12</v>
      </c>
      <c r="F29">
        <v>293</v>
      </c>
      <c r="G29">
        <v>0.54</v>
      </c>
      <c r="H29">
        <v>0.22</v>
      </c>
      <c r="I29">
        <v>1.35</v>
      </c>
      <c r="J29">
        <f t="shared" si="0"/>
        <v>0.34043433117337951</v>
      </c>
      <c r="K29">
        <f t="shared" si="5"/>
        <v>0.99876593994241059</v>
      </c>
      <c r="L29">
        <f t="shared" si="6"/>
        <v>0.34001421476304627</v>
      </c>
      <c r="M29">
        <f t="shared" si="7"/>
        <v>0.25569854621153926</v>
      </c>
      <c r="N29">
        <f t="shared" si="8"/>
        <v>0.25538299884887594</v>
      </c>
    </row>
    <row r="30" spans="1:14" x14ac:dyDescent="0.25">
      <c r="A30" t="s">
        <v>26</v>
      </c>
      <c r="B30">
        <v>2006</v>
      </c>
      <c r="C30">
        <v>1</v>
      </c>
      <c r="D30">
        <v>273</v>
      </c>
      <c r="E30">
        <v>3</v>
      </c>
      <c r="F30">
        <v>273</v>
      </c>
      <c r="G30">
        <v>0.33</v>
      </c>
      <c r="H30">
        <v>0.03</v>
      </c>
      <c r="I30">
        <v>3.18</v>
      </c>
      <c r="J30">
        <f t="shared" si="0"/>
        <v>0.61252078702851442</v>
      </c>
      <c r="K30">
        <f t="shared" si="5"/>
        <v>0.99862068965517237</v>
      </c>
      <c r="L30">
        <f t="shared" si="6"/>
        <v>0.61167593077054405</v>
      </c>
      <c r="M30">
        <f t="shared" si="7"/>
        <v>0.65726675697824832</v>
      </c>
      <c r="N30">
        <f t="shared" si="8"/>
        <v>0.65636018214103686</v>
      </c>
    </row>
    <row r="31" spans="1:14" x14ac:dyDescent="0.25">
      <c r="A31" t="s">
        <v>27</v>
      </c>
      <c r="B31">
        <v>2010</v>
      </c>
      <c r="C31">
        <v>37</v>
      </c>
      <c r="D31">
        <v>1253</v>
      </c>
      <c r="E31">
        <v>41</v>
      </c>
      <c r="F31">
        <v>1248</v>
      </c>
      <c r="G31">
        <v>0.9</v>
      </c>
      <c r="H31">
        <v>0.57999999999999996</v>
      </c>
      <c r="I31">
        <v>1.39</v>
      </c>
      <c r="J31">
        <f t="shared" si="0"/>
        <v>5.8210229645207889E-2</v>
      </c>
      <c r="K31">
        <f t="shared" si="5"/>
        <v>0.99969984992496252</v>
      </c>
      <c r="L31">
        <f t="shared" si="6"/>
        <v>5.8192757840411932E-2</v>
      </c>
      <c r="M31">
        <f t="shared" si="7"/>
        <v>0.12318622767283127</v>
      </c>
      <c r="N31">
        <f t="shared" si="8"/>
        <v>0.12314925331735169</v>
      </c>
    </row>
    <row r="32" spans="1:14" x14ac:dyDescent="0.25">
      <c r="A32" t="s">
        <v>31</v>
      </c>
      <c r="B32">
        <v>2008</v>
      </c>
      <c r="C32">
        <v>10</v>
      </c>
      <c r="D32">
        <v>51</v>
      </c>
      <c r="E32">
        <v>6</v>
      </c>
      <c r="F32">
        <v>50</v>
      </c>
      <c r="G32">
        <v>1.63</v>
      </c>
      <c r="H32">
        <v>0.64</v>
      </c>
      <c r="I32">
        <v>4.16</v>
      </c>
      <c r="J32">
        <f t="shared" si="0"/>
        <v>-0.26993370984456955</v>
      </c>
      <c r="K32">
        <f t="shared" si="5"/>
        <v>0.9924050632911392</v>
      </c>
      <c r="L32">
        <f t="shared" si="6"/>
        <v>-0.26788358040271204</v>
      </c>
      <c r="M32">
        <f t="shared" si="7"/>
        <v>0.26381246150941356</v>
      </c>
      <c r="N32">
        <f t="shared" si="8"/>
        <v>0.26180882256124077</v>
      </c>
    </row>
    <row r="33" spans="1:14" x14ac:dyDescent="0.25">
      <c r="A33" t="s">
        <v>28</v>
      </c>
      <c r="B33">
        <v>2019</v>
      </c>
      <c r="C33">
        <v>145</v>
      </c>
      <c r="D33">
        <v>12933</v>
      </c>
      <c r="E33">
        <v>200</v>
      </c>
      <c r="F33">
        <v>12938</v>
      </c>
      <c r="G33">
        <v>0.73</v>
      </c>
      <c r="H33">
        <v>0.59</v>
      </c>
      <c r="I33">
        <v>0.9</v>
      </c>
      <c r="J33">
        <f t="shared" si="0"/>
        <v>0.17387333969044211</v>
      </c>
      <c r="K33">
        <f t="shared" si="5"/>
        <v>0.99997100748973178</v>
      </c>
      <c r="L33">
        <f t="shared" si="6"/>
        <v>0.17386829866585576</v>
      </c>
      <c r="M33">
        <f t="shared" si="7"/>
        <v>5.9515197094450571E-2</v>
      </c>
      <c r="N33">
        <f t="shared" si="8"/>
        <v>5.9513471599487694E-2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2026-01-11T23:52:47Z</dcterms:modified>
</cp:coreProperties>
</file>