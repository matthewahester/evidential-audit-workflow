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khorshidi2022\"/>
    </mc:Choice>
  </mc:AlternateContent>
  <xr:revisionPtr revIDLastSave="0" documentId="13_ncr:1_{BD042BAC-21BF-471D-9CAA-E9B7C9124623}" xr6:coauthVersionLast="47" xr6:coauthVersionMax="47" xr10:uidLastSave="{00000000-0000-0000-0000-000000000000}"/>
  <bookViews>
    <workbookView xWindow="39900" yWindow="2940" windowWidth="273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H5" i="1"/>
  <c r="I5" i="1" s="1"/>
  <c r="J5" i="1" s="1"/>
  <c r="K5" i="1"/>
  <c r="H6" i="1"/>
  <c r="I6" i="1" s="1"/>
  <c r="K6" i="1"/>
  <c r="H7" i="1"/>
  <c r="I7" i="1" s="1"/>
  <c r="J7" i="1" s="1"/>
  <c r="K7" i="1"/>
  <c r="H8" i="1"/>
  <c r="I8" i="1" s="1"/>
  <c r="K8" i="1"/>
  <c r="H9" i="1"/>
  <c r="I9" i="1" s="1"/>
  <c r="J9" i="1" s="1"/>
  <c r="K9" i="1"/>
  <c r="H10" i="1"/>
  <c r="I10" i="1" s="1"/>
  <c r="K10" i="1"/>
  <c r="H11" i="1"/>
  <c r="I11" i="1" s="1"/>
  <c r="J11" i="1" s="1"/>
  <c r="K11" i="1"/>
  <c r="H12" i="1"/>
  <c r="I12" i="1" s="1"/>
  <c r="K12" i="1"/>
  <c r="H13" i="1"/>
  <c r="I13" i="1" s="1"/>
  <c r="J13" i="1" s="1"/>
  <c r="K13" i="1"/>
  <c r="H14" i="1"/>
  <c r="I14" i="1" s="1"/>
  <c r="K14" i="1"/>
  <c r="H15" i="1"/>
  <c r="I15" i="1" s="1"/>
  <c r="J15" i="1" s="1"/>
  <c r="K15" i="1"/>
  <c r="M4" i="1"/>
  <c r="K4" i="1"/>
  <c r="J4" i="1"/>
  <c r="I4" i="1"/>
  <c r="H4" i="1"/>
  <c r="H3" i="1"/>
  <c r="I3" i="1" s="1"/>
  <c r="J3" i="1" s="1"/>
  <c r="K3" i="1"/>
  <c r="M2" i="1"/>
  <c r="K2" i="1"/>
  <c r="J2" i="1"/>
  <c r="I2" i="1"/>
  <c r="H2" i="1"/>
  <c r="J8" i="1" l="1"/>
  <c r="M8" i="1"/>
  <c r="J10" i="1"/>
  <c r="M10" i="1"/>
  <c r="J14" i="1"/>
  <c r="M14" i="1"/>
  <c r="M12" i="1"/>
  <c r="J12" i="1"/>
  <c r="M6" i="1"/>
  <c r="J6" i="1"/>
  <c r="M15" i="1"/>
  <c r="M13" i="1"/>
  <c r="M11" i="1"/>
  <c r="M9" i="1"/>
  <c r="M7" i="1"/>
  <c r="M5" i="1"/>
  <c r="M3" i="1"/>
</calcChain>
</file>

<file path=xl/sharedStrings.xml><?xml version="1.0" encoding="utf-8"?>
<sst xmlns="http://schemas.openxmlformats.org/spreadsheetml/2006/main" count="41" uniqueCount="29">
  <si>
    <t>Agostoni</t>
  </si>
  <si>
    <t>Ahmadi</t>
  </si>
  <si>
    <t>Ateya</t>
  </si>
  <si>
    <t>Boyraz</t>
  </si>
  <si>
    <t>Del-Rio-Navarro</t>
  </si>
  <si>
    <t>Gidding</t>
  </si>
  <si>
    <t>Huang</t>
  </si>
  <si>
    <t>Janczyk</t>
  </si>
  <si>
    <t>Pacifico</t>
  </si>
  <si>
    <t>Pedersen</t>
  </si>
  <si>
    <t>Aidamiz</t>
  </si>
  <si>
    <t>deFerranti</t>
  </si>
  <si>
    <t>Nobilia</t>
  </si>
  <si>
    <t>Nobilib</t>
  </si>
  <si>
    <t>Year</t>
  </si>
  <si>
    <t>Author</t>
  </si>
  <si>
    <t>es</t>
  </si>
  <si>
    <t>lCI</t>
  </si>
  <si>
    <t>uCI</t>
  </si>
  <si>
    <t>n</t>
  </si>
  <si>
    <t>design</t>
  </si>
  <si>
    <t>p</t>
  </si>
  <si>
    <t>c</t>
  </si>
  <si>
    <t>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</si>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</sst>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K5" sqref="K5"/>
    </sheetView>
  </sheetViews>
  <sheetFormatPr defaultColWidth="9.28515625" defaultRowHeight="15" x14ac:dyDescent="0.25"/>
  <cols>
    <col min="1" max="1" width="15.42578125" bestFit="1" customWidth="1"/>
    <col min="2" max="2" width="4" bestFit="1" customWidth="1"/>
    <col min="3" max="3" width="6.85546875" bestFit="1" customWidth="1"/>
    <col min="4" max="4" width="5" bestFit="1" customWidth="1"/>
    <col min="5" max="5" width="6.7109375" bestFit="1" customWidth="1"/>
    <col min="6" max="6" width="7.7109375" bestFit="1" customWidth="1"/>
    <col min="7" max="7" width="6.7109375" bestFit="1" customWidth="1"/>
  </cols>
  <sheetData>
    <row r="1" spans="1:13" x14ac:dyDescent="0.25">
      <c r="A1" t="s">
        <v>15</v>
      </c>
      <c r="B1" t="s">
        <v>19</v>
      </c>
      <c r="C1" t="s">
        <v>20</v>
      </c>
      <c r="D1" t="s">
        <v>14</v>
      </c>
      <c r="E1" t="s">
        <v>16</v>
      </c>
      <c r="F1" t="s">
        <v>17</v>
      </c>
      <c r="G1" t="s">
        <v>18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 t="s">
        <v>10</v>
      </c>
      <c r="B2">
        <v>60</v>
      </c>
      <c r="C2" t="s">
        <v>22</v>
      </c>
      <c r="D2">
        <v>2006</v>
      </c>
      <c r="E2">
        <v>-97.4</v>
      </c>
      <c r="F2">
        <v>-155.88</v>
      </c>
      <c r="G2">
        <v>-38.92</v>
      </c>
      <c r="H2">
        <f>(G2-F2)/2/1.96</f>
        <v>29.836734693877549</v>
      </c>
      <c r="I2">
        <f>H2*SQRT(B2)</f>
        <v>231.11435314919362</v>
      </c>
      <c r="J2">
        <f>E2/I2</f>
        <v>-0.42143639576173092</v>
      </c>
      <c r="K2">
        <f>1-3/(4*(B2-1)-1)</f>
        <v>0.98723404255319147</v>
      </c>
      <c r="L2">
        <f>-K2*J2</f>
        <v>0.41605635666690033</v>
      </c>
      <c r="M2">
        <f>K2*H2/I2</f>
        <v>0.12745136685391784</v>
      </c>
    </row>
    <row r="3" spans="1:13" x14ac:dyDescent="0.25">
      <c r="A3" t="s">
        <v>5</v>
      </c>
      <c r="B3">
        <v>42</v>
      </c>
      <c r="C3" t="s">
        <v>22</v>
      </c>
      <c r="D3">
        <v>2014</v>
      </c>
      <c r="E3">
        <v>-36</v>
      </c>
      <c r="F3">
        <v>-78.959999999999994</v>
      </c>
      <c r="G3">
        <v>6.96</v>
      </c>
      <c r="H3">
        <f>(G3-F3)/2/1.96</f>
        <v>21.918367346938773</v>
      </c>
      <c r="I3">
        <f>H3*SQRT(B3)</f>
        <v>142.04725530796003</v>
      </c>
      <c r="J3">
        <f>E3/I3</f>
        <v>-0.25343678708857553</v>
      </c>
      <c r="K3">
        <f>1-3/(4*(B3-1)-1)</f>
        <v>0.98159509202453987</v>
      </c>
      <c r="L3">
        <f t="shared" ref="L3:L15" si="0">-K3*J3</f>
        <v>0.24877230634461403</v>
      </c>
      <c r="M3">
        <f>K3*H3/I3</f>
        <v>0.15146341100573438</v>
      </c>
    </row>
    <row r="4" spans="1:13" x14ac:dyDescent="0.25">
      <c r="A4" t="s">
        <v>0</v>
      </c>
      <c r="B4">
        <v>20</v>
      </c>
      <c r="C4" t="s">
        <v>21</v>
      </c>
      <c r="D4">
        <v>2001</v>
      </c>
      <c r="E4">
        <v>3.2</v>
      </c>
      <c r="F4">
        <v>-37.39</v>
      </c>
      <c r="G4">
        <v>43.79</v>
      </c>
      <c r="H4">
        <f>(G4-F4)/2/1.96</f>
        <v>20.70918367346939</v>
      </c>
      <c r="I4">
        <f>H4*SQRT(B4/4)</f>
        <v>46.307142452406367</v>
      </c>
      <c r="J4">
        <f>E4/I4</f>
        <v>6.9103810568507909E-2</v>
      </c>
      <c r="K4">
        <f>1-3/(4*(B4-2)-1)</f>
        <v>0.95774647887323949</v>
      </c>
      <c r="L4">
        <f t="shared" si="0"/>
        <v>-6.6183931248711803E-2</v>
      </c>
      <c r="M4">
        <f>K4*H4/I4</f>
        <v>0.42831724639432589</v>
      </c>
    </row>
    <row r="5" spans="1:13" x14ac:dyDescent="0.25">
      <c r="A5" t="s">
        <v>1</v>
      </c>
      <c r="B5">
        <v>53</v>
      </c>
      <c r="C5" t="s">
        <v>21</v>
      </c>
      <c r="D5">
        <v>2014</v>
      </c>
      <c r="E5">
        <v>23.64</v>
      </c>
      <c r="F5">
        <v>-12.23</v>
      </c>
      <c r="G5">
        <v>59.51</v>
      </c>
      <c r="H5">
        <f t="shared" ref="H5:H15" si="1">(G5-F5)/2/1.96</f>
        <v>18.301020408163264</v>
      </c>
      <c r="I5">
        <f t="shared" ref="I5:I15" si="2">H5*SQRT(B5/4)</f>
        <v>66.616719828696986</v>
      </c>
      <c r="J5">
        <f t="shared" ref="J5:J15" si="3">E5/I5</f>
        <v>0.354865866418965</v>
      </c>
      <c r="K5">
        <f t="shared" ref="K5:K15" si="4">1-3/(4*(B5-2)-1)</f>
        <v>0.98522167487684731</v>
      </c>
      <c r="L5">
        <f t="shared" si="0"/>
        <v>-0.34962154326991629</v>
      </c>
      <c r="M5">
        <f t="shared" ref="M5:M15" si="5">K5*H5/I5</f>
        <v>0.27066120975111135</v>
      </c>
    </row>
    <row r="6" spans="1:13" x14ac:dyDescent="0.25">
      <c r="A6" t="s">
        <v>2</v>
      </c>
      <c r="B6">
        <v>49</v>
      </c>
      <c r="C6" t="s">
        <v>21</v>
      </c>
      <c r="D6">
        <v>2017</v>
      </c>
      <c r="E6">
        <v>-7.13</v>
      </c>
      <c r="F6">
        <v>-15.34</v>
      </c>
      <c r="G6">
        <v>1.08</v>
      </c>
      <c r="H6">
        <f t="shared" si="1"/>
        <v>4.1887755102040822</v>
      </c>
      <c r="I6">
        <f t="shared" si="2"/>
        <v>14.660714285714288</v>
      </c>
      <c r="J6">
        <f t="shared" si="3"/>
        <v>-0.48633373934226543</v>
      </c>
      <c r="K6">
        <f t="shared" si="4"/>
        <v>0.98395721925133695</v>
      </c>
      <c r="L6">
        <f t="shared" si="0"/>
        <v>0.47853159379131999</v>
      </c>
      <c r="M6">
        <f t="shared" si="5"/>
        <v>0.28113063407181055</v>
      </c>
    </row>
    <row r="7" spans="1:13" x14ac:dyDescent="0.25">
      <c r="A7" t="s">
        <v>3</v>
      </c>
      <c r="B7">
        <v>108</v>
      </c>
      <c r="C7" t="s">
        <v>21</v>
      </c>
      <c r="D7">
        <v>2015</v>
      </c>
      <c r="E7">
        <v>-8.6999999999999993</v>
      </c>
      <c r="F7">
        <v>-19.72</v>
      </c>
      <c r="G7">
        <v>2.3199999999999998</v>
      </c>
      <c r="H7">
        <f t="shared" si="1"/>
        <v>5.6224489795918364</v>
      </c>
      <c r="I7">
        <f t="shared" si="2"/>
        <v>29.215101886850551</v>
      </c>
      <c r="J7">
        <f t="shared" si="3"/>
        <v>-0.29779119147675431</v>
      </c>
      <c r="K7">
        <f t="shared" si="4"/>
        <v>0.99290780141843971</v>
      </c>
      <c r="L7">
        <f t="shared" si="0"/>
        <v>0.29567919721096175</v>
      </c>
      <c r="M7">
        <f t="shared" si="5"/>
        <v>0.19108519547647188</v>
      </c>
    </row>
    <row r="8" spans="1:13" x14ac:dyDescent="0.25">
      <c r="A8" t="s">
        <v>11</v>
      </c>
      <c r="B8">
        <v>21</v>
      </c>
      <c r="C8" t="s">
        <v>21</v>
      </c>
      <c r="D8">
        <v>2014</v>
      </c>
      <c r="E8">
        <v>-30</v>
      </c>
      <c r="F8">
        <v>-118.69</v>
      </c>
      <c r="G8">
        <v>58.69</v>
      </c>
      <c r="H8">
        <f t="shared" si="1"/>
        <v>45.25</v>
      </c>
      <c r="I8">
        <f t="shared" si="2"/>
        <v>103.68077509837588</v>
      </c>
      <c r="J8">
        <f t="shared" si="3"/>
        <v>-0.28934968871070815</v>
      </c>
      <c r="K8">
        <f t="shared" si="4"/>
        <v>0.96</v>
      </c>
      <c r="L8">
        <f t="shared" si="0"/>
        <v>0.27777570116227984</v>
      </c>
      <c r="M8">
        <f t="shared" si="5"/>
        <v>0.4189783492531054</v>
      </c>
    </row>
    <row r="9" spans="1:13" x14ac:dyDescent="0.25">
      <c r="A9" t="s">
        <v>4</v>
      </c>
      <c r="B9">
        <v>130</v>
      </c>
      <c r="C9" t="s">
        <v>21</v>
      </c>
      <c r="D9">
        <v>2019</v>
      </c>
      <c r="E9">
        <v>-59.4</v>
      </c>
      <c r="F9">
        <v>-74.540000000000006</v>
      </c>
      <c r="G9">
        <v>-44.26</v>
      </c>
      <c r="H9">
        <f t="shared" si="1"/>
        <v>7.7244897959183696</v>
      </c>
      <c r="I9">
        <f t="shared" si="2"/>
        <v>44.0363671836759</v>
      </c>
      <c r="J9">
        <f t="shared" si="3"/>
        <v>-1.3488851101691088</v>
      </c>
      <c r="K9">
        <f t="shared" si="4"/>
        <v>0.9941291585127201</v>
      </c>
      <c r="L9">
        <f t="shared" si="0"/>
        <v>1.340966019502754</v>
      </c>
      <c r="M9">
        <f t="shared" si="5"/>
        <v>0.17438179014010602</v>
      </c>
    </row>
    <row r="10" spans="1:13" x14ac:dyDescent="0.25">
      <c r="A10" t="s">
        <v>6</v>
      </c>
      <c r="B10">
        <v>65</v>
      </c>
      <c r="C10" t="s">
        <v>21</v>
      </c>
      <c r="D10">
        <v>2019</v>
      </c>
      <c r="E10">
        <v>-27.7</v>
      </c>
      <c r="F10">
        <v>-39.01</v>
      </c>
      <c r="G10">
        <v>-16.39</v>
      </c>
      <c r="H10">
        <f t="shared" si="1"/>
        <v>5.7704081632653059</v>
      </c>
      <c r="I10">
        <f t="shared" si="2"/>
        <v>23.261258962565456</v>
      </c>
      <c r="J10">
        <f t="shared" si="3"/>
        <v>-1.1908211866166765</v>
      </c>
      <c r="K10">
        <f t="shared" si="4"/>
        <v>0.98804780876494025</v>
      </c>
      <c r="L10">
        <f t="shared" si="0"/>
        <v>1.1765882640674732</v>
      </c>
      <c r="M10">
        <f t="shared" si="5"/>
        <v>0.24510449544321675</v>
      </c>
    </row>
    <row r="11" spans="1:13" x14ac:dyDescent="0.25">
      <c r="A11" t="s">
        <v>7</v>
      </c>
      <c r="B11">
        <v>64</v>
      </c>
      <c r="C11" t="s">
        <v>21</v>
      </c>
      <c r="D11">
        <v>2015</v>
      </c>
      <c r="E11">
        <v>-13.83</v>
      </c>
      <c r="F11">
        <v>-27.95</v>
      </c>
      <c r="G11">
        <v>0.28999999999999998</v>
      </c>
      <c r="H11">
        <f t="shared" si="1"/>
        <v>7.204081632653061</v>
      </c>
      <c r="I11">
        <f t="shared" si="2"/>
        <v>28.816326530612244</v>
      </c>
      <c r="J11">
        <f t="shared" si="3"/>
        <v>-0.47993626062322947</v>
      </c>
      <c r="K11">
        <f t="shared" si="4"/>
        <v>0.98785425101214575</v>
      </c>
      <c r="L11">
        <f t="shared" si="0"/>
        <v>0.47410707527153034</v>
      </c>
      <c r="M11">
        <f t="shared" si="5"/>
        <v>0.24696356275303646</v>
      </c>
    </row>
    <row r="12" spans="1:13" x14ac:dyDescent="0.25">
      <c r="A12" t="s">
        <v>12</v>
      </c>
      <c r="B12">
        <v>40</v>
      </c>
      <c r="C12" t="s">
        <v>21</v>
      </c>
      <c r="D12">
        <v>2013</v>
      </c>
      <c r="E12">
        <v>-10.37</v>
      </c>
      <c r="F12">
        <v>-26.72</v>
      </c>
      <c r="G12">
        <v>5.98</v>
      </c>
      <c r="H12">
        <f t="shared" si="1"/>
        <v>8.341836734693878</v>
      </c>
      <c r="I12">
        <f t="shared" si="2"/>
        <v>26.379203950894393</v>
      </c>
      <c r="J12">
        <f t="shared" si="3"/>
        <v>-0.39311269662663195</v>
      </c>
      <c r="K12">
        <f t="shared" si="4"/>
        <v>0.98013245033112584</v>
      </c>
      <c r="L12">
        <f t="shared" si="0"/>
        <v>0.38530251060093729</v>
      </c>
      <c r="M12">
        <f t="shared" si="5"/>
        <v>0.30994509516882129</v>
      </c>
    </row>
    <row r="13" spans="1:13" x14ac:dyDescent="0.25">
      <c r="A13" t="s">
        <v>13</v>
      </c>
      <c r="B13">
        <v>40</v>
      </c>
      <c r="C13" t="s">
        <v>21</v>
      </c>
      <c r="D13">
        <v>2013</v>
      </c>
      <c r="E13">
        <v>-9.3699999999999992</v>
      </c>
      <c r="F13">
        <v>-23.48</v>
      </c>
      <c r="G13">
        <v>4.74</v>
      </c>
      <c r="H13">
        <f t="shared" si="1"/>
        <v>7.1989795918367347</v>
      </c>
      <c r="I13">
        <f t="shared" si="2"/>
        <v>22.765172339273384</v>
      </c>
      <c r="J13">
        <f t="shared" si="3"/>
        <v>-0.41159363348351746</v>
      </c>
      <c r="K13">
        <f t="shared" si="4"/>
        <v>0.98013245033112584</v>
      </c>
      <c r="L13">
        <f t="shared" si="0"/>
        <v>0.40341627652689127</v>
      </c>
      <c r="M13">
        <f t="shared" si="5"/>
        <v>0.30994509516882129</v>
      </c>
    </row>
    <row r="14" spans="1:13" x14ac:dyDescent="0.25">
      <c r="A14" t="s">
        <v>8</v>
      </c>
      <c r="B14">
        <v>51</v>
      </c>
      <c r="C14" t="s">
        <v>21</v>
      </c>
      <c r="D14">
        <v>2015</v>
      </c>
      <c r="E14">
        <v>-5.67</v>
      </c>
      <c r="F14">
        <v>-26.01</v>
      </c>
      <c r="G14">
        <v>14.67</v>
      </c>
      <c r="H14">
        <f t="shared" si="1"/>
        <v>10.377551020408163</v>
      </c>
      <c r="I14">
        <f t="shared" si="2"/>
        <v>37.055268937898362</v>
      </c>
      <c r="J14">
        <f t="shared" si="3"/>
        <v>-0.15301467679272446</v>
      </c>
      <c r="K14">
        <f t="shared" si="4"/>
        <v>0.98461538461538467</v>
      </c>
      <c r="L14">
        <f t="shared" si="0"/>
        <v>0.15066060484206717</v>
      </c>
      <c r="M14">
        <f t="shared" si="5"/>
        <v>0.27574746270090039</v>
      </c>
    </row>
    <row r="15" spans="1:13" x14ac:dyDescent="0.25">
      <c r="A15" t="s">
        <v>9</v>
      </c>
      <c r="B15">
        <v>78</v>
      </c>
      <c r="C15" t="s">
        <v>21</v>
      </c>
      <c r="D15">
        <v>2010</v>
      </c>
      <c r="E15">
        <v>0.13</v>
      </c>
      <c r="F15">
        <v>0.03</v>
      </c>
      <c r="G15">
        <v>0.23</v>
      </c>
      <c r="H15">
        <f t="shared" si="1"/>
        <v>5.1020408163265307E-2</v>
      </c>
      <c r="I15">
        <f t="shared" si="2"/>
        <v>0.2253000221002002</v>
      </c>
      <c r="J15">
        <f t="shared" si="3"/>
        <v>0.57700837660008597</v>
      </c>
      <c r="K15">
        <f t="shared" si="4"/>
        <v>0.99009900990099009</v>
      </c>
      <c r="L15">
        <f t="shared" si="0"/>
        <v>-0.57129542237632269</v>
      </c>
      <c r="M15">
        <f t="shared" si="5"/>
        <v>0.22421327408803873</v>
      </c>
    </row>
  </sheetData>
  <sortState xmlns:xlrd2="http://schemas.microsoft.com/office/spreadsheetml/2017/richdata2" ref="A2:G15">
    <sortCondition ref="C2:C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2026-01-18T03:35:34Z</dcterms:modified>
</cp:coreProperties>
</file>