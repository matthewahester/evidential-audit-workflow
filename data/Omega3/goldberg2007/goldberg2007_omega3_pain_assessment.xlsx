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goldberg2007\"/>
    </mc:Choice>
  </mc:AlternateContent>
  <xr:revisionPtr revIDLastSave="0" documentId="13_ncr:1_{38BBC43E-0795-45E0-85A9-0CC904C6C75F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2" i="1"/>
  <c r="M3" i="1"/>
  <c r="O3" i="1"/>
  <c r="M4" i="1"/>
  <c r="M5" i="1"/>
  <c r="O5" i="1"/>
  <c r="M6" i="1"/>
  <c r="O6" i="1" s="1"/>
  <c r="M7" i="1"/>
  <c r="O7" i="1"/>
  <c r="M8" i="1"/>
  <c r="M9" i="1"/>
  <c r="O9" i="1"/>
  <c r="M10" i="1"/>
  <c r="O10" i="1"/>
  <c r="M11" i="1"/>
  <c r="O11" i="1"/>
  <c r="M12" i="1"/>
  <c r="M13" i="1"/>
  <c r="O13" i="1"/>
  <c r="M14" i="1"/>
  <c r="O14" i="1"/>
  <c r="O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2" i="1"/>
  <c r="O8" i="1" l="1"/>
  <c r="O4" i="1"/>
  <c r="O12" i="1"/>
</calcChain>
</file>

<file path=xl/sharedStrings.xml><?xml version="1.0" encoding="utf-8"?>
<sst xmlns="http://schemas.openxmlformats.org/spreadsheetml/2006/main" count="28" uniqueCount="28">
  <si>
    <t>Cleland</t>
  </si>
  <si>
    <t>vanderTempel</t>
  </si>
  <si>
    <t>Kremer</t>
  </si>
  <si>
    <t>Tulleken</t>
  </si>
  <si>
    <t>Nielson</t>
  </si>
  <si>
    <t>Skoldstam</t>
  </si>
  <si>
    <t>Geusens</t>
  </si>
  <si>
    <t>Nordstrom</t>
  </si>
  <si>
    <t>Sampalis</t>
  </si>
  <si>
    <t>Bjorkkjaer</t>
  </si>
  <si>
    <t>Remans</t>
  </si>
  <si>
    <t>Sundrarjun</t>
  </si>
  <si>
    <t>Berbert</t>
  </si>
  <si>
    <t>Author</t>
  </si>
  <si>
    <t>Year</t>
  </si>
  <si>
    <t>n_treat</t>
  </si>
  <si>
    <t>mean_treat</t>
  </si>
  <si>
    <t>sd_treat</t>
  </si>
  <si>
    <t>n_control</t>
  </si>
  <si>
    <t>mean_control</t>
  </si>
  <si>
    <t>sd_control</t>
  </si>
  <si>
    <t>lCI</t>
  </si>
  <si>
    <t>uCI</t>
  </si>
  <si>
    <t>d</t>
  </si>
  <si>
    <t>J</t>
  </si>
  <si>
    <t>g</t>
  </si>
  <si>
    <t>se_g</t>
  </si>
  <si>
    <t>se_d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</si>
</sst>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topLeftCell="E1" workbookViewId="0">
      <selection activeCell="O3" sqref="O3"/>
    </sheetView>
  </sheetViews>
  <sheetFormatPr defaultRowHeight="15" x14ac:dyDescent="0.25"/>
  <cols>
    <col min="1" max="1" width="18.5703125" bestFit="1" customWidth="1"/>
    <col min="3" max="3" width="3" bestFit="1" customWidth="1"/>
    <col min="4" max="4" width="11.5703125" bestFit="1" customWidth="1"/>
    <col min="5" max="5" width="11.5703125" customWidth="1"/>
    <col min="6" max="6" width="3" bestFit="1" customWidth="1"/>
    <col min="7" max="7" width="12.5703125" bestFit="1" customWidth="1"/>
    <col min="8" max="8" width="12.5703125" customWidth="1"/>
    <col min="9" max="9" width="16.85546875" bestFit="1" customWidth="1"/>
  </cols>
  <sheetData>
    <row r="1" spans="1:1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23</v>
      </c>
      <c r="J1" t="s">
        <v>21</v>
      </c>
      <c r="K1" t="s">
        <v>22</v>
      </c>
      <c r="L1" t="s">
        <v>27</v>
      </c>
      <c r="M1" t="s">
        <v>24</v>
      </c>
      <c r="N1" t="s">
        <v>25</v>
      </c>
      <c r="O1" t="s">
        <v>26</v>
      </c>
    </row>
    <row r="2" spans="1:15" x14ac:dyDescent="0.25">
      <c r="A2" t="s">
        <v>0</v>
      </c>
      <c r="B2">
        <v>1988</v>
      </c>
      <c r="C2">
        <v>23</v>
      </c>
      <c r="D2">
        <v>7</v>
      </c>
      <c r="E2">
        <v>4.5999999999999996</v>
      </c>
      <c r="F2">
        <v>23</v>
      </c>
      <c r="G2">
        <v>7.1</v>
      </c>
      <c r="H2">
        <v>5.0999999999999996</v>
      </c>
      <c r="I2">
        <v>-0.02</v>
      </c>
      <c r="J2">
        <v>-0.6</v>
      </c>
      <c r="K2">
        <v>0.56000000000000005</v>
      </c>
      <c r="L2">
        <f>(K2-J2)/2/1.96</f>
        <v>0.29591836734693883</v>
      </c>
      <c r="M2">
        <f>1-3/(4*(C2+F2-2)-1)</f>
        <v>0.98285714285714287</v>
      </c>
      <c r="N2">
        <f>-M2*I2</f>
        <v>1.9657142857142859E-2</v>
      </c>
      <c r="O2">
        <f>M2*L2</f>
        <v>0.29084548104956276</v>
      </c>
    </row>
    <row r="3" spans="1:15" x14ac:dyDescent="0.25">
      <c r="A3" t="s">
        <v>1</v>
      </c>
      <c r="B3">
        <v>1989</v>
      </c>
      <c r="C3">
        <v>14</v>
      </c>
      <c r="D3">
        <v>29</v>
      </c>
      <c r="E3">
        <v>26.19</v>
      </c>
      <c r="F3">
        <v>14</v>
      </c>
      <c r="G3">
        <v>42</v>
      </c>
      <c r="H3">
        <v>33.67</v>
      </c>
      <c r="I3">
        <v>-0.42</v>
      </c>
      <c r="J3">
        <v>-1.17</v>
      </c>
      <c r="K3">
        <v>0.33</v>
      </c>
      <c r="L3">
        <f t="shared" ref="L3:L14" si="0">(K3-J3)/2/1.96</f>
        <v>0.38265306122448978</v>
      </c>
      <c r="M3">
        <f t="shared" ref="M3:M14" si="1">1-3/(4*(C3+F3-2)-1)</f>
        <v>0.970873786407767</v>
      </c>
      <c r="N3">
        <f t="shared" ref="N3:N14" si="2">-M3*I3</f>
        <v>0.40776699029126212</v>
      </c>
      <c r="O3">
        <f t="shared" ref="O3:O14" si="3">M3*L3</f>
        <v>0.37150782643154345</v>
      </c>
    </row>
    <row r="4" spans="1:15" x14ac:dyDescent="0.25">
      <c r="A4" t="s">
        <v>2</v>
      </c>
      <c r="B4">
        <v>1990</v>
      </c>
      <c r="C4">
        <v>17</v>
      </c>
      <c r="D4">
        <v>1.4</v>
      </c>
      <c r="E4">
        <v>0.84</v>
      </c>
      <c r="F4">
        <v>12</v>
      </c>
      <c r="G4">
        <v>1.6</v>
      </c>
      <c r="H4">
        <v>0.71</v>
      </c>
      <c r="I4">
        <v>-0.25</v>
      </c>
      <c r="J4">
        <v>-0.99</v>
      </c>
      <c r="K4">
        <v>0.5</v>
      </c>
      <c r="L4">
        <f t="shared" si="0"/>
        <v>0.38010204081632654</v>
      </c>
      <c r="M4">
        <f t="shared" si="1"/>
        <v>0.9719626168224299</v>
      </c>
      <c r="N4">
        <f t="shared" si="2"/>
        <v>0.24299065420560748</v>
      </c>
      <c r="O4">
        <f t="shared" si="3"/>
        <v>0.36944497425138279</v>
      </c>
    </row>
    <row r="5" spans="1:15" x14ac:dyDescent="0.25">
      <c r="A5" t="s">
        <v>3</v>
      </c>
      <c r="B5">
        <v>1990</v>
      </c>
      <c r="C5">
        <v>13</v>
      </c>
      <c r="D5">
        <v>3.05</v>
      </c>
      <c r="E5">
        <v>2.17</v>
      </c>
      <c r="F5">
        <v>14</v>
      </c>
      <c r="G5">
        <v>4.05</v>
      </c>
      <c r="H5">
        <v>2.2000000000000002</v>
      </c>
      <c r="I5">
        <v>-0.44</v>
      </c>
      <c r="J5">
        <v>-1.21</v>
      </c>
      <c r="K5">
        <v>0.32</v>
      </c>
      <c r="L5">
        <f t="shared" si="0"/>
        <v>0.39030612244897961</v>
      </c>
      <c r="M5">
        <f t="shared" si="1"/>
        <v>0.96969696969696972</v>
      </c>
      <c r="N5">
        <f t="shared" si="2"/>
        <v>0.42666666666666669</v>
      </c>
      <c r="O5">
        <f t="shared" si="3"/>
        <v>0.37847866419294995</v>
      </c>
    </row>
    <row r="6" spans="1:15" x14ac:dyDescent="0.25">
      <c r="A6" t="s">
        <v>4</v>
      </c>
      <c r="B6">
        <v>1992</v>
      </c>
      <c r="C6">
        <v>27</v>
      </c>
      <c r="D6">
        <v>78.75</v>
      </c>
      <c r="E6">
        <v>41.25</v>
      </c>
      <c r="F6">
        <v>24</v>
      </c>
      <c r="G6">
        <v>120</v>
      </c>
      <c r="H6">
        <v>60</v>
      </c>
      <c r="I6">
        <v>-0.8</v>
      </c>
      <c r="J6">
        <v>-1.37</v>
      </c>
      <c r="K6">
        <v>-0.22</v>
      </c>
      <c r="L6">
        <f t="shared" si="0"/>
        <v>0.29336734693877553</v>
      </c>
      <c r="M6">
        <f t="shared" si="1"/>
        <v>0.98461538461538467</v>
      </c>
      <c r="N6">
        <f t="shared" si="2"/>
        <v>0.7876923076923078</v>
      </c>
      <c r="O6">
        <f t="shared" si="3"/>
        <v>0.28885400313971749</v>
      </c>
    </row>
    <row r="7" spans="1:15" x14ac:dyDescent="0.25">
      <c r="A7" t="s">
        <v>5</v>
      </c>
      <c r="B7">
        <v>1992</v>
      </c>
      <c r="C7">
        <v>22</v>
      </c>
      <c r="D7">
        <v>1.36</v>
      </c>
      <c r="E7">
        <v>0.61</v>
      </c>
      <c r="F7">
        <v>21</v>
      </c>
      <c r="G7">
        <v>1.28</v>
      </c>
      <c r="H7">
        <v>0.6</v>
      </c>
      <c r="I7">
        <v>0.13</v>
      </c>
      <c r="J7">
        <v>-0.47</v>
      </c>
      <c r="K7">
        <v>0.73</v>
      </c>
      <c r="L7">
        <f t="shared" si="0"/>
        <v>0.30612244897959184</v>
      </c>
      <c r="M7">
        <f t="shared" si="1"/>
        <v>0.98159509202453987</v>
      </c>
      <c r="N7">
        <f t="shared" si="2"/>
        <v>-0.1276073619631902</v>
      </c>
      <c r="O7">
        <f t="shared" si="3"/>
        <v>0.30048829347689998</v>
      </c>
    </row>
    <row r="8" spans="1:15" x14ac:dyDescent="0.25">
      <c r="A8" t="s">
        <v>6</v>
      </c>
      <c r="B8">
        <v>1994</v>
      </c>
      <c r="C8">
        <v>19</v>
      </c>
      <c r="D8">
        <v>1.84</v>
      </c>
      <c r="E8">
        <v>0.65</v>
      </c>
      <c r="F8">
        <v>20</v>
      </c>
      <c r="G8">
        <v>1.97</v>
      </c>
      <c r="H8">
        <v>0.4</v>
      </c>
      <c r="I8">
        <v>-0.24</v>
      </c>
      <c r="J8">
        <v>-0.87</v>
      </c>
      <c r="K8">
        <v>0.39</v>
      </c>
      <c r="L8">
        <f t="shared" si="0"/>
        <v>0.32142857142857145</v>
      </c>
      <c r="M8">
        <f t="shared" si="1"/>
        <v>0.97959183673469385</v>
      </c>
      <c r="N8">
        <f t="shared" si="2"/>
        <v>0.23510204081632652</v>
      </c>
      <c r="O8">
        <f t="shared" si="3"/>
        <v>0.31486880466472306</v>
      </c>
    </row>
    <row r="9" spans="1:15" x14ac:dyDescent="0.25">
      <c r="A9" t="s">
        <v>7</v>
      </c>
      <c r="B9">
        <v>1995</v>
      </c>
      <c r="C9">
        <v>11</v>
      </c>
      <c r="D9">
        <v>4</v>
      </c>
      <c r="E9">
        <v>3.3</v>
      </c>
      <c r="F9">
        <v>11</v>
      </c>
      <c r="G9">
        <v>4.5999999999999996</v>
      </c>
      <c r="H9">
        <v>2.2000000000000002</v>
      </c>
      <c r="I9">
        <v>-0.21</v>
      </c>
      <c r="J9">
        <v>-1.04</v>
      </c>
      <c r="K9">
        <v>0.63</v>
      </c>
      <c r="L9">
        <f t="shared" si="0"/>
        <v>0.42602040816326531</v>
      </c>
      <c r="M9">
        <f t="shared" si="1"/>
        <v>0.96202531645569622</v>
      </c>
      <c r="N9">
        <f t="shared" si="2"/>
        <v>0.20202531645569619</v>
      </c>
      <c r="O9">
        <f t="shared" si="3"/>
        <v>0.40984241797985016</v>
      </c>
    </row>
    <row r="10" spans="1:15" x14ac:dyDescent="0.25">
      <c r="A10" t="s">
        <v>8</v>
      </c>
      <c r="B10">
        <v>2003</v>
      </c>
      <c r="C10">
        <v>36</v>
      </c>
      <c r="D10">
        <v>2.1</v>
      </c>
      <c r="E10">
        <v>2</v>
      </c>
      <c r="F10">
        <v>34</v>
      </c>
      <c r="G10">
        <v>4</v>
      </c>
      <c r="H10">
        <v>2</v>
      </c>
      <c r="I10">
        <v>-0.94</v>
      </c>
      <c r="J10">
        <v>-1.43</v>
      </c>
      <c r="K10">
        <v>-0.44</v>
      </c>
      <c r="L10">
        <f t="shared" si="0"/>
        <v>0.25255102040816324</v>
      </c>
      <c r="M10">
        <f t="shared" si="1"/>
        <v>0.98892988929889303</v>
      </c>
      <c r="N10">
        <f t="shared" si="2"/>
        <v>0.92959409594095943</v>
      </c>
      <c r="O10">
        <f t="shared" si="3"/>
        <v>0.24975525265456736</v>
      </c>
    </row>
    <row r="11" spans="1:15" x14ac:dyDescent="0.25">
      <c r="A11" t="s">
        <v>9</v>
      </c>
      <c r="B11">
        <v>2004</v>
      </c>
      <c r="C11">
        <v>10</v>
      </c>
      <c r="D11">
        <v>26.2</v>
      </c>
      <c r="E11">
        <v>26.56</v>
      </c>
      <c r="F11">
        <v>9</v>
      </c>
      <c r="G11">
        <v>39.130000000000003</v>
      </c>
      <c r="H11">
        <v>35.01</v>
      </c>
      <c r="I11">
        <v>-0.4</v>
      </c>
      <c r="J11">
        <v>-1.31</v>
      </c>
      <c r="K11">
        <v>0.51</v>
      </c>
      <c r="L11">
        <f t="shared" si="0"/>
        <v>0.4642857142857143</v>
      </c>
      <c r="M11">
        <f t="shared" si="1"/>
        <v>0.95522388059701491</v>
      </c>
      <c r="N11">
        <f t="shared" si="2"/>
        <v>0.38208955223880597</v>
      </c>
      <c r="O11">
        <f t="shared" si="3"/>
        <v>0.44349680170575695</v>
      </c>
    </row>
    <row r="12" spans="1:15" x14ac:dyDescent="0.25">
      <c r="A12" t="s">
        <v>10</v>
      </c>
      <c r="B12">
        <v>2004</v>
      </c>
      <c r="C12">
        <v>26</v>
      </c>
      <c r="D12">
        <v>55</v>
      </c>
      <c r="E12">
        <v>18</v>
      </c>
      <c r="F12">
        <v>29</v>
      </c>
      <c r="G12">
        <v>51</v>
      </c>
      <c r="H12">
        <v>17</v>
      </c>
      <c r="I12">
        <v>0.23</v>
      </c>
      <c r="J12">
        <v>-0.31</v>
      </c>
      <c r="K12">
        <v>0.76</v>
      </c>
      <c r="L12">
        <f t="shared" si="0"/>
        <v>0.27295918367346939</v>
      </c>
      <c r="M12">
        <f t="shared" si="1"/>
        <v>0.98578199052132698</v>
      </c>
      <c r="N12">
        <f t="shared" si="2"/>
        <v>-0.22672985781990521</v>
      </c>
      <c r="O12">
        <f t="shared" si="3"/>
        <v>0.26907824741270914</v>
      </c>
    </row>
    <row r="13" spans="1:15" x14ac:dyDescent="0.25">
      <c r="A13" t="s">
        <v>11</v>
      </c>
      <c r="B13">
        <v>2004</v>
      </c>
      <c r="C13">
        <v>23</v>
      </c>
      <c r="D13">
        <v>48.47</v>
      </c>
      <c r="E13">
        <v>26.04</v>
      </c>
      <c r="F13">
        <v>23</v>
      </c>
      <c r="G13">
        <v>42.82</v>
      </c>
      <c r="H13">
        <v>21.24</v>
      </c>
      <c r="I13">
        <v>0.23</v>
      </c>
      <c r="J13">
        <v>-0.35</v>
      </c>
      <c r="K13">
        <v>0.81</v>
      </c>
      <c r="L13">
        <f t="shared" si="0"/>
        <v>0.29591836734693883</v>
      </c>
      <c r="M13">
        <f t="shared" si="1"/>
        <v>0.98285714285714287</v>
      </c>
      <c r="N13">
        <f t="shared" si="2"/>
        <v>-0.22605714285714287</v>
      </c>
      <c r="O13">
        <f t="shared" si="3"/>
        <v>0.29084548104956276</v>
      </c>
    </row>
    <row r="14" spans="1:15" x14ac:dyDescent="0.25">
      <c r="A14" t="s">
        <v>12</v>
      </c>
      <c r="B14">
        <v>2005</v>
      </c>
      <c r="C14">
        <v>13</v>
      </c>
      <c r="D14">
        <v>1.46</v>
      </c>
      <c r="E14">
        <v>0.66</v>
      </c>
      <c r="F14">
        <v>13</v>
      </c>
      <c r="G14">
        <v>1.77</v>
      </c>
      <c r="H14">
        <v>1.17</v>
      </c>
      <c r="I14">
        <v>-0.32</v>
      </c>
      <c r="J14">
        <v>-1.0900000000000001</v>
      </c>
      <c r="K14">
        <v>0.46</v>
      </c>
      <c r="L14">
        <f t="shared" si="0"/>
        <v>0.39540816326530615</v>
      </c>
      <c r="M14">
        <f t="shared" si="1"/>
        <v>0.96842105263157896</v>
      </c>
      <c r="N14">
        <f t="shared" si="2"/>
        <v>0.30989473684210528</v>
      </c>
      <c r="O14">
        <f t="shared" si="3"/>
        <v>0.38292158968850704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2026-01-13T02:37:08Z</dcterms:modified>
</cp:coreProperties>
</file>