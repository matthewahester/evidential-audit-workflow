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goldberg2007\"/>
    </mc:Choice>
  </mc:AlternateContent>
  <xr:revisionPtr revIDLastSave="0" documentId="13_ncr:1_{6DE9C478-F74F-449B-8009-D8A6A1ECA082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N3" i="1" s="1"/>
  <c r="L4" i="1"/>
  <c r="M4" i="1"/>
  <c r="N4" i="1" s="1"/>
  <c r="O4" i="1"/>
  <c r="L5" i="1"/>
  <c r="M5" i="1"/>
  <c r="N5" i="1"/>
  <c r="O5" i="1"/>
  <c r="L6" i="1"/>
  <c r="M6" i="1"/>
  <c r="N6" i="1" s="1"/>
  <c r="L7" i="1"/>
  <c r="M7" i="1"/>
  <c r="N7" i="1"/>
  <c r="O7" i="1"/>
  <c r="L8" i="1"/>
  <c r="M8" i="1"/>
  <c r="N8" i="1" s="1"/>
  <c r="O8" i="1"/>
  <c r="L9" i="1"/>
  <c r="M9" i="1"/>
  <c r="N9" i="1" s="1"/>
  <c r="L10" i="1"/>
  <c r="M10" i="1"/>
  <c r="N10" i="1"/>
  <c r="O10" i="1"/>
  <c r="L11" i="1"/>
  <c r="M11" i="1"/>
  <c r="N11" i="1"/>
  <c r="O11" i="1"/>
  <c r="M2" i="1"/>
  <c r="O2" i="1" s="1"/>
  <c r="L2" i="1"/>
  <c r="O9" i="1" l="1"/>
  <c r="O6" i="1"/>
  <c r="O3" i="1"/>
  <c r="N2" i="1"/>
</calcChain>
</file>

<file path=xl/sharedStrings.xml><?xml version="1.0" encoding="utf-8"?>
<sst xmlns="http://schemas.openxmlformats.org/spreadsheetml/2006/main" count="25" uniqueCount="24">
  <si>
    <t>Author</t>
  </si>
  <si>
    <t>Year</t>
  </si>
  <si>
    <t>n_treat</t>
  </si>
  <si>
    <t>mean_treat</t>
  </si>
  <si>
    <t>sd_treat</t>
  </si>
  <si>
    <t>n_control</t>
  </si>
  <si>
    <t>mean_control</t>
  </si>
  <si>
    <t>sd_control</t>
  </si>
  <si>
    <t>d</t>
  </si>
  <si>
    <t>lCI</t>
  </si>
  <si>
    <t>uCI</t>
  </si>
  <si>
    <t>se_d</t>
  </si>
  <si>
    <t>J</t>
  </si>
  <si>
    <t>g</t>
  </si>
  <si>
    <t>se_g</t>
  </si>
  <si>
    <t>Kremer</t>
  </si>
  <si>
    <t>Cleland</t>
  </si>
  <si>
    <t>vanderTempel</t>
  </si>
  <si>
    <t>Tulleken</t>
  </si>
  <si>
    <t>Nielson</t>
  </si>
  <si>
    <t>Geusens</t>
  </si>
  <si>
    <t>Adam</t>
  </si>
  <si>
    <t>Remans</t>
  </si>
  <si>
    <t>Sundrarjun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</si>
</sst>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topLeftCell="F1" workbookViewId="0">
      <selection activeCell="I6" sqref="I6"/>
    </sheetView>
  </sheetViews>
  <sheetFormatPr defaultRowHeight="15" x14ac:dyDescent="0.25"/>
  <cols>
    <col min="1" max="1" width="18.5703125" bestFit="1" customWidth="1"/>
    <col min="2" max="2" width="18.5703125" customWidth="1"/>
    <col min="3" max="3" width="3" bestFit="1" customWidth="1"/>
    <col min="4" max="4" width="11.5703125" bestFit="1" customWidth="1"/>
    <col min="5" max="5" width="11.5703125" customWidth="1"/>
    <col min="6" max="6" width="3" bestFit="1" customWidth="1"/>
    <col min="7" max="7" width="11.5703125" bestFit="1" customWidth="1"/>
    <col min="8" max="8" width="11.5703125" customWidth="1"/>
    <col min="9" max="9" width="16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1985</v>
      </c>
      <c r="C2">
        <v>23</v>
      </c>
      <c r="D2">
        <v>6.4</v>
      </c>
      <c r="E2">
        <v>5.6</v>
      </c>
      <c r="F2">
        <v>21</v>
      </c>
      <c r="G2">
        <v>9</v>
      </c>
      <c r="H2">
        <v>8.3000000000000007</v>
      </c>
      <c r="I2">
        <v>-0.36</v>
      </c>
      <c r="J2">
        <v>-0.96</v>
      </c>
      <c r="K2">
        <v>0.23</v>
      </c>
      <c r="L2">
        <f>(K2-J2)/2/1.96</f>
        <v>0.30357142857142855</v>
      </c>
      <c r="M2">
        <f>1-3/(4*(C2+F2-2)-1)</f>
        <v>0.98203592814371254</v>
      </c>
      <c r="N2">
        <f>-M2*I2</f>
        <v>0.35353293413173648</v>
      </c>
      <c r="O2">
        <f>M2*L2</f>
        <v>0.29811804961505556</v>
      </c>
    </row>
    <row r="3" spans="1:15" x14ac:dyDescent="0.25">
      <c r="A3" t="s">
        <v>16</v>
      </c>
      <c r="B3">
        <v>1988</v>
      </c>
      <c r="C3">
        <v>23</v>
      </c>
      <c r="D3">
        <v>9.5</v>
      </c>
      <c r="E3">
        <v>7.5</v>
      </c>
      <c r="F3">
        <v>23</v>
      </c>
      <c r="G3">
        <v>12</v>
      </c>
      <c r="H3">
        <v>10.25</v>
      </c>
      <c r="I3">
        <v>-0.27</v>
      </c>
      <c r="J3">
        <v>-0.85</v>
      </c>
      <c r="K3">
        <v>0.31</v>
      </c>
      <c r="L3">
        <f t="shared" ref="L3:L11" si="0">(K3-J3)/2/1.96</f>
        <v>0.29591836734693877</v>
      </c>
      <c r="M3">
        <f t="shared" ref="M3:M11" si="1">1-3/(4*(C3+F3-2)-1)</f>
        <v>0.98285714285714287</v>
      </c>
      <c r="N3">
        <f t="shared" ref="N3:N11" si="2">-M3*I3</f>
        <v>0.26537142857142859</v>
      </c>
      <c r="O3">
        <f t="shared" ref="O3:O11" si="3">M3*L3</f>
        <v>0.2908454810495627</v>
      </c>
    </row>
    <row r="4" spans="1:15" x14ac:dyDescent="0.25">
      <c r="A4" t="s">
        <v>17</v>
      </c>
      <c r="B4">
        <v>1989</v>
      </c>
      <c r="C4">
        <v>14</v>
      </c>
      <c r="D4">
        <v>29</v>
      </c>
      <c r="E4">
        <v>26.19</v>
      </c>
      <c r="F4">
        <v>14</v>
      </c>
      <c r="G4">
        <v>42</v>
      </c>
      <c r="H4">
        <v>33.67</v>
      </c>
      <c r="I4">
        <v>-0.42</v>
      </c>
      <c r="J4">
        <v>-1.17</v>
      </c>
      <c r="K4">
        <v>0.33</v>
      </c>
      <c r="L4">
        <f t="shared" si="0"/>
        <v>0.38265306122448978</v>
      </c>
      <c r="M4">
        <f t="shared" si="1"/>
        <v>0.970873786407767</v>
      </c>
      <c r="N4">
        <f t="shared" si="2"/>
        <v>0.40776699029126212</v>
      </c>
      <c r="O4">
        <f t="shared" si="3"/>
        <v>0.37150782643154345</v>
      </c>
    </row>
    <row r="5" spans="1:15" x14ac:dyDescent="0.25">
      <c r="A5" t="s">
        <v>15</v>
      </c>
      <c r="B5">
        <v>1990</v>
      </c>
      <c r="C5">
        <v>17</v>
      </c>
      <c r="D5">
        <v>3</v>
      </c>
      <c r="E5">
        <v>5.15</v>
      </c>
      <c r="F5">
        <v>12</v>
      </c>
      <c r="G5">
        <v>6.2</v>
      </c>
      <c r="H5">
        <v>4.1500000000000004</v>
      </c>
      <c r="I5">
        <v>-0.65</v>
      </c>
      <c r="J5">
        <v>-1.41</v>
      </c>
      <c r="K5">
        <v>0.11</v>
      </c>
      <c r="L5">
        <f t="shared" si="0"/>
        <v>0.38775510204081631</v>
      </c>
      <c r="M5">
        <f t="shared" si="1"/>
        <v>0.9719626168224299</v>
      </c>
      <c r="N5">
        <f t="shared" si="2"/>
        <v>0.63177570093457946</v>
      </c>
      <c r="O5">
        <f t="shared" si="3"/>
        <v>0.37688346366584013</v>
      </c>
    </row>
    <row r="6" spans="1:15" x14ac:dyDescent="0.25">
      <c r="A6" t="s">
        <v>18</v>
      </c>
      <c r="B6">
        <v>1990</v>
      </c>
      <c r="C6">
        <v>13</v>
      </c>
      <c r="D6">
        <v>14.5</v>
      </c>
      <c r="E6">
        <v>12.69</v>
      </c>
      <c r="F6">
        <v>14</v>
      </c>
      <c r="G6">
        <v>16.5</v>
      </c>
      <c r="H6">
        <v>8.7799999999999994</v>
      </c>
      <c r="I6">
        <v>-0.18</v>
      </c>
      <c r="J6">
        <v>-0.94</v>
      </c>
      <c r="K6">
        <v>0.57999999999999996</v>
      </c>
      <c r="L6">
        <f t="shared" si="0"/>
        <v>0.38775510204081631</v>
      </c>
      <c r="M6">
        <f t="shared" si="1"/>
        <v>0.96969696969696972</v>
      </c>
      <c r="N6">
        <f t="shared" si="2"/>
        <v>0.17454545454545453</v>
      </c>
      <c r="O6">
        <f t="shared" si="3"/>
        <v>0.37600494743351887</v>
      </c>
    </row>
    <row r="7" spans="1:15" x14ac:dyDescent="0.25">
      <c r="A7" t="s">
        <v>19</v>
      </c>
      <c r="B7">
        <v>1992</v>
      </c>
      <c r="C7">
        <v>27</v>
      </c>
      <c r="D7">
        <v>8</v>
      </c>
      <c r="E7">
        <v>3</v>
      </c>
      <c r="F7">
        <v>24</v>
      </c>
      <c r="G7">
        <v>11</v>
      </c>
      <c r="H7">
        <v>5</v>
      </c>
      <c r="I7">
        <v>-0.73</v>
      </c>
      <c r="J7">
        <v>-1.3</v>
      </c>
      <c r="K7">
        <v>-0.16</v>
      </c>
      <c r="L7">
        <f t="shared" si="0"/>
        <v>0.29081632653061229</v>
      </c>
      <c r="M7">
        <f t="shared" si="1"/>
        <v>0.98461538461538467</v>
      </c>
      <c r="N7">
        <f t="shared" si="2"/>
        <v>0.71876923076923083</v>
      </c>
      <c r="O7">
        <f t="shared" si="3"/>
        <v>0.28634222919937213</v>
      </c>
    </row>
    <row r="8" spans="1:15" x14ac:dyDescent="0.25">
      <c r="A8" t="s">
        <v>20</v>
      </c>
      <c r="B8">
        <v>1994</v>
      </c>
      <c r="C8">
        <v>19</v>
      </c>
      <c r="D8">
        <v>15</v>
      </c>
      <c r="E8">
        <v>8.7200000000000006</v>
      </c>
      <c r="F8">
        <v>20</v>
      </c>
      <c r="G8">
        <v>19</v>
      </c>
      <c r="H8">
        <v>13.42</v>
      </c>
      <c r="I8">
        <v>-0.34</v>
      </c>
      <c r="J8">
        <v>-0.98</v>
      </c>
      <c r="K8">
        <v>0.28999999999999998</v>
      </c>
      <c r="L8">
        <f t="shared" si="0"/>
        <v>0.32397959183673469</v>
      </c>
      <c r="M8">
        <f t="shared" si="1"/>
        <v>0.97959183673469385</v>
      </c>
      <c r="N8">
        <f t="shared" si="2"/>
        <v>0.33306122448979592</v>
      </c>
      <c r="O8">
        <f t="shared" si="3"/>
        <v>0.31736776343190337</v>
      </c>
    </row>
    <row r="9" spans="1:15" x14ac:dyDescent="0.25">
      <c r="A9" t="s">
        <v>21</v>
      </c>
      <c r="B9">
        <v>2003</v>
      </c>
      <c r="C9">
        <v>30</v>
      </c>
      <c r="D9">
        <v>33.6</v>
      </c>
      <c r="E9">
        <v>18.07</v>
      </c>
      <c r="F9">
        <v>30</v>
      </c>
      <c r="G9">
        <v>36</v>
      </c>
      <c r="H9">
        <v>21.91</v>
      </c>
      <c r="I9">
        <v>-0.12</v>
      </c>
      <c r="J9">
        <v>-0.62</v>
      </c>
      <c r="K9">
        <v>0.39</v>
      </c>
      <c r="L9">
        <f t="shared" si="0"/>
        <v>0.25765306122448978</v>
      </c>
      <c r="M9">
        <f t="shared" si="1"/>
        <v>0.98701298701298701</v>
      </c>
      <c r="N9">
        <f t="shared" si="2"/>
        <v>0.11844155844155843</v>
      </c>
      <c r="O9">
        <f t="shared" si="3"/>
        <v>0.25430691757222368</v>
      </c>
    </row>
    <row r="10" spans="1:15" x14ac:dyDescent="0.25">
      <c r="A10" t="s">
        <v>22</v>
      </c>
      <c r="B10">
        <v>2004</v>
      </c>
      <c r="C10">
        <v>26</v>
      </c>
      <c r="D10">
        <v>10.7</v>
      </c>
      <c r="E10">
        <v>4.0999999999999996</v>
      </c>
      <c r="F10">
        <v>29</v>
      </c>
      <c r="G10">
        <v>9.6999999999999993</v>
      </c>
      <c r="H10">
        <v>5.0999999999999996</v>
      </c>
      <c r="I10">
        <v>0.21</v>
      </c>
      <c r="J10">
        <v>-0.32</v>
      </c>
      <c r="K10">
        <v>0.74</v>
      </c>
      <c r="L10">
        <f t="shared" si="0"/>
        <v>0.27040816326530615</v>
      </c>
      <c r="M10">
        <f t="shared" si="1"/>
        <v>0.98578199052132698</v>
      </c>
      <c r="N10">
        <f t="shared" si="2"/>
        <v>-0.20701421800947867</v>
      </c>
      <c r="O10">
        <f t="shared" si="3"/>
        <v>0.26656349743688945</v>
      </c>
    </row>
    <row r="11" spans="1:15" x14ac:dyDescent="0.25">
      <c r="A11" t="s">
        <v>23</v>
      </c>
      <c r="B11">
        <v>2004</v>
      </c>
      <c r="C11">
        <v>23</v>
      </c>
      <c r="D11">
        <v>9.1300000000000008</v>
      </c>
      <c r="E11">
        <v>6.62</v>
      </c>
      <c r="F11">
        <v>23</v>
      </c>
      <c r="G11">
        <v>12.3</v>
      </c>
      <c r="H11">
        <v>10.31</v>
      </c>
      <c r="I11">
        <v>-0.36</v>
      </c>
      <c r="J11">
        <v>-0.94</v>
      </c>
      <c r="K11">
        <v>0.22</v>
      </c>
      <c r="L11">
        <f t="shared" si="0"/>
        <v>0.29591836734693877</v>
      </c>
      <c r="M11">
        <f t="shared" si="1"/>
        <v>0.98285714285714287</v>
      </c>
      <c r="N11">
        <f t="shared" si="2"/>
        <v>0.35382857142857144</v>
      </c>
      <c r="O11">
        <f t="shared" si="3"/>
        <v>0.2908454810495627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2026-01-13T02:37:16Z</dcterms:modified>
</cp:coreProperties>
</file>