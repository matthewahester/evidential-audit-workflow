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rizos2012\"/>
    </mc:Choice>
  </mc:AlternateContent>
  <xr:revisionPtr revIDLastSave="0" documentId="13_ncr:1_{D9EEC3B0-E658-4775-9C31-2B6BA8CC94E6}" xr6:coauthVersionLast="47" xr6:coauthVersionMax="47" xr10:uidLastSave="{00000000-0000-0000-0000-000000000000}"/>
  <bookViews>
    <workbookView xWindow="38400" yWindow="2940" windowWidth="14400" windowHeight="1620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M3" i="4"/>
  <c r="N3" i="4" s="1"/>
  <c r="J4" i="4"/>
  <c r="K4" i="4"/>
  <c r="L4" i="4" s="1"/>
  <c r="M4" i="4"/>
  <c r="N4" i="4" s="1"/>
  <c r="J5" i="4"/>
  <c r="K5" i="4"/>
  <c r="L5" i="4" s="1"/>
  <c r="M5" i="4"/>
  <c r="J6" i="4"/>
  <c r="L6" i="4" s="1"/>
  <c r="K6" i="4"/>
  <c r="M6" i="4"/>
  <c r="N6" i="4" s="1"/>
  <c r="J7" i="4"/>
  <c r="K7" i="4"/>
  <c r="L7" i="4"/>
  <c r="M7" i="4"/>
  <c r="N7" i="4" s="1"/>
  <c r="J8" i="4"/>
  <c r="K8" i="4"/>
  <c r="L8" i="4"/>
  <c r="M8" i="4"/>
  <c r="N8" i="4"/>
  <c r="J9" i="4"/>
  <c r="K9" i="4"/>
  <c r="L9" i="4"/>
  <c r="M9" i="4"/>
  <c r="N9" i="4"/>
  <c r="J10" i="4"/>
  <c r="L10" i="4" s="1"/>
  <c r="K10" i="4"/>
  <c r="M10" i="4"/>
  <c r="N10" i="4" s="1"/>
  <c r="J11" i="4"/>
  <c r="K11" i="4"/>
  <c r="L11" i="4" s="1"/>
  <c r="M11" i="4"/>
  <c r="N11" i="4"/>
  <c r="J12" i="4"/>
  <c r="K12" i="4"/>
  <c r="N12" i="4" s="1"/>
  <c r="L12" i="4"/>
  <c r="M12" i="4"/>
  <c r="J13" i="4"/>
  <c r="K13" i="4"/>
  <c r="L13" i="4" s="1"/>
  <c r="M13" i="4"/>
  <c r="N13" i="4" s="1"/>
  <c r="J14" i="4"/>
  <c r="K14" i="4"/>
  <c r="L14" i="4" s="1"/>
  <c r="M14" i="4"/>
  <c r="N14" i="4"/>
  <c r="J15" i="4"/>
  <c r="K15" i="4"/>
  <c r="L15" i="4"/>
  <c r="M15" i="4"/>
  <c r="N15" i="4" s="1"/>
  <c r="J16" i="4"/>
  <c r="K16" i="4"/>
  <c r="L16" i="4"/>
  <c r="M16" i="4"/>
  <c r="N16" i="4" s="1"/>
  <c r="J17" i="4"/>
  <c r="K17" i="4"/>
  <c r="L17" i="4" s="1"/>
  <c r="M17" i="4"/>
  <c r="J18" i="4"/>
  <c r="L18" i="4" s="1"/>
  <c r="K18" i="4"/>
  <c r="M18" i="4"/>
  <c r="N18" i="4"/>
  <c r="N2" i="4"/>
  <c r="M2" i="4"/>
  <c r="L2" i="4"/>
  <c r="K2" i="4"/>
  <c r="J2" i="4"/>
  <c r="N5" i="4" l="1"/>
  <c r="N17" i="4"/>
</calcChain>
</file>

<file path=xl/sharedStrings.xml><?xml version="1.0" encoding="utf-8"?>
<sst xmlns="http://schemas.openxmlformats.org/spreadsheetml/2006/main" count="31" uniqueCount="31">
  <si>
    <t>Sacks</t>
  </si>
  <si>
    <t>Leng</t>
  </si>
  <si>
    <t>Marchioli</t>
  </si>
  <si>
    <t>Nilsen</t>
  </si>
  <si>
    <t>Leaf</t>
  </si>
  <si>
    <t>Raitt</t>
  </si>
  <si>
    <t>Brouwer</t>
  </si>
  <si>
    <t>Svensson</t>
  </si>
  <si>
    <t>Yokoyama</t>
  </si>
  <si>
    <t>Tavazzi</t>
  </si>
  <si>
    <t>Garbagnati</t>
  </si>
  <si>
    <t>Kromhout</t>
  </si>
  <si>
    <t>Einvik</t>
  </si>
  <si>
    <t>Rauch</t>
  </si>
  <si>
    <t>Galan</t>
  </si>
  <si>
    <t>ORIGIN</t>
  </si>
  <si>
    <t>von Schacky</t>
  </si>
  <si>
    <t>Author</t>
  </si>
  <si>
    <t>Year</t>
  </si>
  <si>
    <t>events_treat</t>
  </si>
  <si>
    <t>events_control</t>
  </si>
  <si>
    <t>n_treat</t>
  </si>
  <si>
    <t>n_control</t>
  </si>
  <si>
    <t>RR</t>
  </si>
  <si>
    <t>lCI</t>
  </si>
  <si>
    <t>uCI</t>
  </si>
  <si>
    <t>ES</t>
  </si>
  <si>
    <t>J</t>
  </si>
  <si>
    <t>g</t>
  </si>
  <si>
    <t>se_es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</si>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</sst>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C9E7-1D77-47C9-9BDF-0BB163D2A5F0}">
  <dimension ref="A1:N18"/>
  <sheetViews>
    <sheetView tabSelected="1" topLeftCell="B1" workbookViewId="0">
      <selection activeCell="L10" sqref="L10"/>
    </sheetView>
  </sheetViews>
  <sheetFormatPr defaultRowHeight="15" x14ac:dyDescent="0.25"/>
  <cols>
    <col min="1" max="1" width="23.28515625" bestFit="1" customWidth="1"/>
    <col min="3" max="3" width="4" bestFit="1" customWidth="1"/>
    <col min="4" max="5" width="5" bestFit="1" customWidth="1"/>
    <col min="6" max="6" width="6" bestFit="1" customWidth="1"/>
    <col min="7" max="7" width="15" bestFit="1" customWidth="1"/>
  </cols>
  <sheetData>
    <row r="1" spans="1:14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5">
      <c r="A2" t="s">
        <v>8</v>
      </c>
      <c r="B2">
        <v>2007</v>
      </c>
      <c r="C2">
        <v>286</v>
      </c>
      <c r="D2">
        <v>265</v>
      </c>
      <c r="E2">
        <v>9326</v>
      </c>
      <c r="F2">
        <v>9319</v>
      </c>
      <c r="G2">
        <v>1.08</v>
      </c>
      <c r="H2">
        <v>0.91</v>
      </c>
      <c r="I2">
        <v>1.27</v>
      </c>
      <c r="J2">
        <f>-LN(G2)/1.81</f>
        <v>-4.2519912229905192E-2</v>
      </c>
      <c r="K2">
        <f>1-3/(4*(F2+E2-2)-1)</f>
        <v>0.99995976988373492</v>
      </c>
      <c r="L2">
        <f>K2*J2</f>
        <v>-4.2518201648892605E-2</v>
      </c>
      <c r="M2">
        <f>(LN(I2)-LN(H2))/2/1.96/1.81</f>
        <v>4.697930712900851E-2</v>
      </c>
      <c r="N2">
        <f>M2*K2</f>
        <v>4.6977417146020654E-2</v>
      </c>
    </row>
    <row r="3" spans="1:14" x14ac:dyDescent="0.25">
      <c r="A3" t="s">
        <v>9</v>
      </c>
      <c r="B3">
        <v>2008</v>
      </c>
      <c r="C3">
        <v>955</v>
      </c>
      <c r="D3">
        <v>1014</v>
      </c>
      <c r="E3">
        <v>3494</v>
      </c>
      <c r="F3">
        <v>3481</v>
      </c>
      <c r="G3">
        <v>0.94</v>
      </c>
      <c r="H3">
        <v>0.87</v>
      </c>
      <c r="I3">
        <v>1.01</v>
      </c>
      <c r="J3">
        <f t="shared" ref="J3:J18" si="0">-LN(G3)/1.81</f>
        <v>3.418530592159532E-2</v>
      </c>
      <c r="K3">
        <f t="shared" ref="K3:K18" si="1">1-3/(4*(F3+E3-2)-1)</f>
        <v>0.99989243842099607</v>
      </c>
      <c r="L3">
        <f t="shared" ref="L3:L18" si="2">K3*J3</f>
        <v>3.4181628896111663E-2</v>
      </c>
      <c r="M3">
        <f t="shared" ref="M3:M18" si="3">(LN(I3)-LN(H3))/2/1.96/1.81</f>
        <v>2.1030048227911231E-2</v>
      </c>
      <c r="N3">
        <f t="shared" ref="N3:N18" si="4">M3*K3</f>
        <v>2.1027786202717308E-2</v>
      </c>
    </row>
    <row r="4" spans="1:14" x14ac:dyDescent="0.25">
      <c r="A4" t="s">
        <v>12</v>
      </c>
      <c r="B4">
        <v>2010</v>
      </c>
      <c r="C4">
        <v>14</v>
      </c>
      <c r="D4">
        <v>24</v>
      </c>
      <c r="E4">
        <v>282</v>
      </c>
      <c r="F4">
        <v>281</v>
      </c>
      <c r="G4">
        <v>0.57999999999999996</v>
      </c>
      <c r="H4">
        <v>0.31</v>
      </c>
      <c r="I4">
        <v>1.1000000000000001</v>
      </c>
      <c r="J4">
        <f t="shared" si="0"/>
        <v>0.30095424057550946</v>
      </c>
      <c r="K4">
        <f t="shared" si="1"/>
        <v>0.99866250557289349</v>
      </c>
      <c r="L4">
        <f t="shared" si="2"/>
        <v>0.30055171595592561</v>
      </c>
      <c r="M4">
        <f t="shared" si="3"/>
        <v>0.17849999454663293</v>
      </c>
      <c r="N4">
        <f t="shared" si="4"/>
        <v>0.17826125179868826</v>
      </c>
    </row>
    <row r="5" spans="1:14" x14ac:dyDescent="0.25">
      <c r="A5" t="s">
        <v>15</v>
      </c>
      <c r="B5">
        <v>2012</v>
      </c>
      <c r="C5">
        <v>951</v>
      </c>
      <c r="D5">
        <v>964</v>
      </c>
      <c r="E5">
        <v>6281</v>
      </c>
      <c r="F5">
        <v>6255</v>
      </c>
      <c r="G5">
        <v>0.98</v>
      </c>
      <c r="H5">
        <v>0.9</v>
      </c>
      <c r="I5">
        <v>1.07</v>
      </c>
      <c r="J5">
        <f t="shared" si="0"/>
        <v>1.1161716750010754E-2</v>
      </c>
      <c r="K5">
        <f t="shared" si="1"/>
        <v>0.99994016156377785</v>
      </c>
      <c r="L5">
        <f t="shared" si="2"/>
        <v>1.1161048850334879E-2</v>
      </c>
      <c r="M5">
        <f t="shared" si="3"/>
        <v>2.4385382248793712E-2</v>
      </c>
      <c r="N5">
        <f t="shared" si="4"/>
        <v>2.4383923065653266E-2</v>
      </c>
    </row>
    <row r="6" spans="1:14" x14ac:dyDescent="0.25">
      <c r="A6" t="s">
        <v>0</v>
      </c>
      <c r="B6">
        <v>1995</v>
      </c>
      <c r="C6">
        <v>0</v>
      </c>
      <c r="D6">
        <v>1</v>
      </c>
      <c r="E6">
        <v>31</v>
      </c>
      <c r="F6">
        <v>28</v>
      </c>
      <c r="G6">
        <v>0.3</v>
      </c>
      <c r="H6">
        <v>0.01</v>
      </c>
      <c r="I6">
        <v>7.13</v>
      </c>
      <c r="J6">
        <f t="shared" si="0"/>
        <v>0.66517834493145644</v>
      </c>
      <c r="K6">
        <f t="shared" si="1"/>
        <v>0.986784140969163</v>
      </c>
      <c r="L6">
        <f t="shared" si="2"/>
        <v>0.65638744169447683</v>
      </c>
      <c r="M6">
        <f t="shared" si="3"/>
        <v>0.9259050372666443</v>
      </c>
      <c r="N6">
        <f t="shared" si="4"/>
        <v>0.91366840681818651</v>
      </c>
    </row>
    <row r="7" spans="1:14" x14ac:dyDescent="0.25">
      <c r="A7" t="s">
        <v>1</v>
      </c>
      <c r="B7">
        <v>1998</v>
      </c>
      <c r="C7">
        <v>3</v>
      </c>
      <c r="D7">
        <v>3</v>
      </c>
      <c r="E7">
        <v>60</v>
      </c>
      <c r="F7">
        <v>60</v>
      </c>
      <c r="G7">
        <v>1</v>
      </c>
      <c r="H7">
        <v>0.21</v>
      </c>
      <c r="I7">
        <v>4.76</v>
      </c>
      <c r="J7">
        <f t="shared" si="0"/>
        <v>0</v>
      </c>
      <c r="K7">
        <f t="shared" si="1"/>
        <v>0.99363057324840764</v>
      </c>
      <c r="L7">
        <f t="shared" si="2"/>
        <v>0</v>
      </c>
      <c r="M7">
        <f t="shared" si="3"/>
        <v>0.43986010493122069</v>
      </c>
      <c r="N7">
        <f t="shared" si="4"/>
        <v>0.43705844821191353</v>
      </c>
    </row>
    <row r="8" spans="1:14" x14ac:dyDescent="0.25">
      <c r="A8" t="s">
        <v>2</v>
      </c>
      <c r="B8">
        <v>1999</v>
      </c>
      <c r="C8">
        <v>472</v>
      </c>
      <c r="D8">
        <v>545</v>
      </c>
      <c r="E8">
        <v>5666</v>
      </c>
      <c r="F8">
        <v>5658</v>
      </c>
      <c r="G8">
        <v>0.86</v>
      </c>
      <c r="H8">
        <v>0.77</v>
      </c>
      <c r="I8">
        <v>0.97</v>
      </c>
      <c r="J8">
        <f t="shared" si="0"/>
        <v>8.3327563389272732E-2</v>
      </c>
      <c r="K8">
        <f t="shared" si="1"/>
        <v>0.99993375582396715</v>
      </c>
      <c r="L8">
        <f t="shared" si="2"/>
        <v>8.3322043423495182E-2</v>
      </c>
      <c r="M8">
        <f t="shared" si="3"/>
        <v>3.2543910904512759E-2</v>
      </c>
      <c r="N8">
        <f t="shared" si="4"/>
        <v>3.2541755059950002E-2</v>
      </c>
    </row>
    <row r="9" spans="1:14" x14ac:dyDescent="0.25">
      <c r="A9" t="s">
        <v>16</v>
      </c>
      <c r="B9">
        <v>1999</v>
      </c>
      <c r="D9">
        <v>2</v>
      </c>
      <c r="E9">
        <v>112</v>
      </c>
      <c r="F9">
        <v>111</v>
      </c>
      <c r="G9">
        <v>0.5</v>
      </c>
      <c r="H9">
        <v>0.05</v>
      </c>
      <c r="I9">
        <v>5.39</v>
      </c>
      <c r="J9">
        <f t="shared" si="0"/>
        <v>0.38295424340328466</v>
      </c>
      <c r="K9">
        <f t="shared" si="1"/>
        <v>0.99660249150622882</v>
      </c>
      <c r="L9">
        <f t="shared" si="2"/>
        <v>0.38165315310859627</v>
      </c>
      <c r="M9">
        <f t="shared" si="3"/>
        <v>0.65963999020110731</v>
      </c>
      <c r="N9">
        <f t="shared" si="4"/>
        <v>0.65739885773156792</v>
      </c>
    </row>
    <row r="10" spans="1:14" x14ac:dyDescent="0.25">
      <c r="A10" t="s">
        <v>3</v>
      </c>
      <c r="B10">
        <v>2001</v>
      </c>
      <c r="C10">
        <v>11</v>
      </c>
      <c r="D10">
        <v>11</v>
      </c>
      <c r="E10">
        <v>150</v>
      </c>
      <c r="F10">
        <v>150</v>
      </c>
      <c r="G10">
        <v>1</v>
      </c>
      <c r="H10">
        <v>0.45</v>
      </c>
      <c r="I10">
        <v>2.2400000000000002</v>
      </c>
      <c r="J10">
        <f t="shared" si="0"/>
        <v>0</v>
      </c>
      <c r="K10">
        <f t="shared" si="1"/>
        <v>0.9974811083123426</v>
      </c>
      <c r="L10">
        <f t="shared" si="2"/>
        <v>0</v>
      </c>
      <c r="M10">
        <f t="shared" si="3"/>
        <v>0.22620695147208256</v>
      </c>
      <c r="N10">
        <f t="shared" si="4"/>
        <v>0.22563716066232919</v>
      </c>
    </row>
    <row r="11" spans="1:14" x14ac:dyDescent="0.25">
      <c r="A11" t="s">
        <v>7</v>
      </c>
      <c r="B11">
        <v>2006</v>
      </c>
      <c r="C11">
        <v>34</v>
      </c>
      <c r="D11">
        <v>30</v>
      </c>
      <c r="E11">
        <v>103</v>
      </c>
      <c r="F11">
        <v>103</v>
      </c>
      <c r="G11">
        <v>1.1299999999999999</v>
      </c>
      <c r="H11">
        <v>0.75</v>
      </c>
      <c r="I11">
        <v>1.7</v>
      </c>
      <c r="J11">
        <f t="shared" si="0"/>
        <v>-6.7523553991297849E-2</v>
      </c>
      <c r="K11">
        <f t="shared" si="1"/>
        <v>0.996319018404908</v>
      </c>
      <c r="L11">
        <f t="shared" si="2"/>
        <v>-6.7275001031820686E-2</v>
      </c>
      <c r="M11">
        <f t="shared" si="3"/>
        <v>0.11533294671241844</v>
      </c>
      <c r="N11">
        <f t="shared" si="4"/>
        <v>0.11490840825826229</v>
      </c>
    </row>
    <row r="12" spans="1:14" x14ac:dyDescent="0.25">
      <c r="A12" t="s">
        <v>10</v>
      </c>
      <c r="B12">
        <v>2009</v>
      </c>
      <c r="C12">
        <v>0</v>
      </c>
      <c r="D12">
        <v>3</v>
      </c>
      <c r="E12">
        <v>20</v>
      </c>
      <c r="F12">
        <v>18</v>
      </c>
      <c r="G12">
        <v>0.13</v>
      </c>
      <c r="H12">
        <v>0.01</v>
      </c>
      <c r="I12">
        <v>2.34</v>
      </c>
      <c r="J12">
        <f t="shared" si="0"/>
        <v>1.1271938279152236</v>
      </c>
      <c r="K12">
        <f t="shared" si="1"/>
        <v>0.97902097902097907</v>
      </c>
      <c r="L12">
        <f t="shared" si="2"/>
        <v>1.1035464049519672</v>
      </c>
      <c r="M12">
        <f t="shared" si="3"/>
        <v>0.76887488941223658</v>
      </c>
      <c r="N12">
        <f t="shared" si="4"/>
        <v>0.75274464697701482</v>
      </c>
    </row>
    <row r="13" spans="1:14" x14ac:dyDescent="0.25">
      <c r="A13" t="s">
        <v>11</v>
      </c>
      <c r="B13">
        <v>2010</v>
      </c>
      <c r="C13">
        <v>186</v>
      </c>
      <c r="D13">
        <v>184</v>
      </c>
      <c r="E13">
        <v>2404</v>
      </c>
      <c r="F13">
        <v>2433</v>
      </c>
      <c r="G13">
        <v>1.02</v>
      </c>
      <c r="H13">
        <v>0.84</v>
      </c>
      <c r="I13">
        <v>1.24</v>
      </c>
      <c r="J13">
        <f t="shared" si="0"/>
        <v>-1.0940678064187696E-2</v>
      </c>
      <c r="K13">
        <f t="shared" si="1"/>
        <v>0.99984487305444958</v>
      </c>
      <c r="L13">
        <f t="shared" si="2"/>
        <v>-1.0938980870217347E-2</v>
      </c>
      <c r="M13">
        <f t="shared" si="3"/>
        <v>5.4891302114348187E-2</v>
      </c>
      <c r="N13">
        <f t="shared" si="4"/>
        <v>5.4882786994313905E-2</v>
      </c>
    </row>
    <row r="14" spans="1:14" x14ac:dyDescent="0.25">
      <c r="A14" t="s">
        <v>13</v>
      </c>
      <c r="B14">
        <v>2010</v>
      </c>
      <c r="C14">
        <v>88</v>
      </c>
      <c r="D14">
        <v>70</v>
      </c>
      <c r="E14">
        <v>1919</v>
      </c>
      <c r="F14">
        <v>1885</v>
      </c>
      <c r="G14">
        <v>1.23</v>
      </c>
      <c r="H14">
        <v>0.91</v>
      </c>
      <c r="I14">
        <v>1.68</v>
      </c>
      <c r="J14">
        <f t="shared" si="0"/>
        <v>-0.11437246927310835</v>
      </c>
      <c r="K14">
        <f t="shared" si="1"/>
        <v>0.99980272243045964</v>
      </c>
      <c r="L14">
        <f t="shared" si="2"/>
        <v>-0.11434990615034782</v>
      </c>
      <c r="M14">
        <f t="shared" si="3"/>
        <v>8.6411161473448073E-2</v>
      </c>
      <c r="N14">
        <f t="shared" si="4"/>
        <v>8.6394114489531437E-2</v>
      </c>
    </row>
    <row r="15" spans="1:14" x14ac:dyDescent="0.25">
      <c r="A15" t="s">
        <v>14</v>
      </c>
      <c r="B15">
        <v>2010</v>
      </c>
      <c r="C15">
        <v>58</v>
      </c>
      <c r="D15">
        <v>59</v>
      </c>
      <c r="E15">
        <v>1253</v>
      </c>
      <c r="F15">
        <v>1248</v>
      </c>
      <c r="G15">
        <v>0.98</v>
      </c>
      <c r="H15">
        <v>0.69</v>
      </c>
      <c r="I15">
        <v>1.39</v>
      </c>
      <c r="J15">
        <f t="shared" si="0"/>
        <v>1.1161716750010754E-2</v>
      </c>
      <c r="K15">
        <f t="shared" si="1"/>
        <v>0.99969984992496252</v>
      </c>
      <c r="L15">
        <f t="shared" si="2"/>
        <v>1.1158366559890691E-2</v>
      </c>
      <c r="M15">
        <f t="shared" si="3"/>
        <v>9.8710033337105707E-2</v>
      </c>
      <c r="N15">
        <f t="shared" si="4"/>
        <v>9.8680405513192626E-2</v>
      </c>
    </row>
    <row r="16" spans="1:14" x14ac:dyDescent="0.25">
      <c r="A16" t="s">
        <v>4</v>
      </c>
      <c r="B16">
        <v>2005</v>
      </c>
      <c r="C16">
        <v>13</v>
      </c>
      <c r="D16">
        <v>12</v>
      </c>
      <c r="E16">
        <v>200</v>
      </c>
      <c r="F16">
        <v>202</v>
      </c>
      <c r="G16">
        <v>1.0900000000000001</v>
      </c>
      <c r="H16">
        <v>0.51</v>
      </c>
      <c r="I16">
        <v>2.34</v>
      </c>
      <c r="J16">
        <f t="shared" si="0"/>
        <v>-4.7611986873509621E-2</v>
      </c>
      <c r="K16">
        <f t="shared" si="1"/>
        <v>0.99812382739212002</v>
      </c>
      <c r="L16">
        <f t="shared" si="2"/>
        <v>-4.7522658567930802E-2</v>
      </c>
      <c r="M16">
        <f t="shared" si="3"/>
        <v>0.21472199270399361</v>
      </c>
      <c r="N16">
        <f t="shared" si="4"/>
        <v>0.21431913718297296</v>
      </c>
    </row>
    <row r="17" spans="1:14" x14ac:dyDescent="0.25">
      <c r="A17" t="s">
        <v>5</v>
      </c>
      <c r="B17">
        <v>2005</v>
      </c>
      <c r="C17">
        <v>4</v>
      </c>
      <c r="D17">
        <v>10</v>
      </c>
      <c r="E17">
        <v>100</v>
      </c>
      <c r="F17">
        <v>100</v>
      </c>
      <c r="G17">
        <v>0.4</v>
      </c>
      <c r="H17">
        <v>0.13</v>
      </c>
      <c r="I17">
        <v>1.23</v>
      </c>
      <c r="J17">
        <f t="shared" si="0"/>
        <v>0.5062379734111353</v>
      </c>
      <c r="K17">
        <f t="shared" si="1"/>
        <v>0.99620733249051829</v>
      </c>
      <c r="L17">
        <f t="shared" si="2"/>
        <v>0.50431798109731307</v>
      </c>
      <c r="M17">
        <f t="shared" si="3"/>
        <v>0.31672609622151326</v>
      </c>
      <c r="N17">
        <f t="shared" si="4"/>
        <v>0.31552485944696895</v>
      </c>
    </row>
    <row r="18" spans="1:14" x14ac:dyDescent="0.25">
      <c r="A18" t="s">
        <v>6</v>
      </c>
      <c r="B18">
        <v>2006</v>
      </c>
      <c r="C18">
        <v>8</v>
      </c>
      <c r="D18">
        <v>14</v>
      </c>
      <c r="E18">
        <v>273</v>
      </c>
      <c r="F18">
        <v>273</v>
      </c>
      <c r="G18">
        <v>0.56999999999999995</v>
      </c>
      <c r="H18">
        <v>0.24</v>
      </c>
      <c r="I18">
        <v>1.34</v>
      </c>
      <c r="J18">
        <f t="shared" si="0"/>
        <v>0.31056293820637643</v>
      </c>
      <c r="K18">
        <f t="shared" si="1"/>
        <v>0.99862068965517237</v>
      </c>
      <c r="L18">
        <f t="shared" si="2"/>
        <v>0.31013457553298829</v>
      </c>
      <c r="M18">
        <f t="shared" si="3"/>
        <v>0.24238724343259752</v>
      </c>
      <c r="N18">
        <f t="shared" si="4"/>
        <v>0.24205291620027669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2026-01-24T18:21:53Z</dcterms:modified>
</cp:coreProperties>
</file>