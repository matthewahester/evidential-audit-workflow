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My Drive School\Nutrition Publication Bias\nutrition_publication_bias\data\Protein\schoenfeld2017\"/>
    </mc:Choice>
  </mc:AlternateContent>
  <xr:revisionPtr revIDLastSave="0" documentId="13_ncr:1_{5DEB3B4A-5A7F-47DF-82D1-0A259B5A1FF7}" xr6:coauthVersionLast="47" xr6:coauthVersionMax="47" xr10:uidLastSave="{00000000-0000-0000-0000-000000000000}"/>
  <bookViews>
    <workbookView xWindow="38280" yWindow="2820" windowWidth="29040" windowHeight="164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" i="1"/>
  <c r="K13" i="1" l="1"/>
  <c r="K14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" i="1"/>
  <c r="J3" i="1"/>
  <c r="K3" i="1" s="1"/>
  <c r="J4" i="1"/>
  <c r="J5" i="1"/>
  <c r="J6" i="1"/>
  <c r="J7" i="1"/>
  <c r="J8" i="1"/>
  <c r="K8" i="1" s="1"/>
  <c r="J9" i="1"/>
  <c r="K9" i="1" s="1"/>
  <c r="J10" i="1"/>
  <c r="K10" i="1" s="1"/>
  <c r="J11" i="1"/>
  <c r="K11" i="1" s="1"/>
  <c r="J12" i="1"/>
  <c r="K12" i="1" s="1"/>
  <c r="J13" i="1"/>
  <c r="J14" i="1"/>
  <c r="J15" i="1"/>
  <c r="K15" i="1" s="1"/>
  <c r="J16" i="1"/>
  <c r="K16" i="1" s="1"/>
  <c r="J17" i="1"/>
  <c r="J18" i="1"/>
  <c r="K18" i="1" s="1"/>
  <c r="J19" i="1"/>
  <c r="K19" i="1" s="1"/>
  <c r="J20" i="1"/>
  <c r="K20" i="1" s="1"/>
  <c r="J21" i="1"/>
  <c r="K21" i="1" s="1"/>
  <c r="J2" i="1"/>
  <c r="K2" i="1" s="1"/>
  <c r="K7" i="1" l="1"/>
  <c r="K6" i="1"/>
  <c r="K17" i="1"/>
  <c r="K5" i="1"/>
  <c r="K4" i="1"/>
</calcChain>
</file>

<file path=xl/sharedStrings.xml><?xml version="1.0" encoding="utf-8"?>
<sst xmlns="http://schemas.openxmlformats.org/spreadsheetml/2006/main" count="32" uniqueCount="31">
  <si>
    <t xml:space="preserve"> CI_lower</t>
  </si>
  <si>
    <t xml:space="preserve"> CI_upper</t>
  </si>
  <si>
    <t>Author</t>
  </si>
  <si>
    <t>Year</t>
  </si>
  <si>
    <t>Anonio</t>
  </si>
  <si>
    <t>Bird</t>
  </si>
  <si>
    <t>Coburn</t>
  </si>
  <si>
    <t>Cribb</t>
  </si>
  <si>
    <t>Erskine</t>
  </si>
  <si>
    <t>Hoffman</t>
  </si>
  <si>
    <t>Hulmi</t>
  </si>
  <si>
    <t>Josse</t>
  </si>
  <si>
    <t>Mielke</t>
  </si>
  <si>
    <t>Rankin</t>
  </si>
  <si>
    <t>Verdijk</t>
  </si>
  <si>
    <t>Vieillevoye</t>
  </si>
  <si>
    <t>Walker</t>
  </si>
  <si>
    <t>Weisgarber</t>
  </si>
  <si>
    <t>Willoughby</t>
  </si>
  <si>
    <t>Wycherly</t>
  </si>
  <si>
    <t>CandowChilibeck</t>
  </si>
  <si>
    <t>CandowBurke</t>
  </si>
  <si>
    <t>n</t>
  </si>
  <si>
    <t>Hartman</t>
  </si>
  <si>
    <t>J</t>
  </si>
  <si>
    <t>g</t>
  </si>
  <si>
    <t>d</t>
  </si>
  <si>
    <t>se_g</t>
  </si>
  <si>
    <t>md</t>
  </si>
  <si>
    <t>se_md</t>
  </si>
  <si>
    <t>pooled_sd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</si>
</sst>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1"/>
  <sheetViews>
    <sheetView tabSelected="1" workbookViewId="0">
      <selection activeCell="H10" sqref="H10"/>
    </sheetView>
  </sheetViews>
  <sheetFormatPr defaultColWidth="14.7109375" defaultRowHeight="15" x14ac:dyDescent="0.25"/>
  <sheetData>
    <row r="1" spans="1:12" x14ac:dyDescent="0.25">
      <c r="A1" t="s">
        <v>2</v>
      </c>
      <c r="B1" t="s">
        <v>3</v>
      </c>
      <c r="C1" t="s">
        <v>22</v>
      </c>
      <c r="D1" t="s">
        <v>0</v>
      </c>
      <c r="E1" t="s">
        <v>1</v>
      </c>
      <c r="F1" t="s">
        <v>28</v>
      </c>
      <c r="G1" t="s">
        <v>29</v>
      </c>
      <c r="H1" t="s">
        <v>30</v>
      </c>
      <c r="I1" t="s">
        <v>26</v>
      </c>
      <c r="J1" t="s">
        <v>24</v>
      </c>
      <c r="K1" t="s">
        <v>25</v>
      </c>
      <c r="L1" t="s">
        <v>27</v>
      </c>
    </row>
    <row r="2" spans="1:12" x14ac:dyDescent="0.25">
      <c r="A2" t="s">
        <v>4</v>
      </c>
      <c r="B2">
        <v>2000</v>
      </c>
      <c r="C2">
        <v>19</v>
      </c>
      <c r="D2" s="1">
        <v>0.29368545824750197</v>
      </c>
      <c r="E2" s="1">
        <v>1.3100390073752199</v>
      </c>
      <c r="F2" s="1">
        <v>0.79711325045044301</v>
      </c>
      <c r="G2" s="1">
        <f>(E2-D2)/2/1.96</f>
        <v>0.25927386457339746</v>
      </c>
      <c r="H2" s="1">
        <f>G2*SQRT(C2/4)</f>
        <v>0.56507428718834496</v>
      </c>
      <c r="I2" s="1">
        <f>F2/H2</f>
        <v>1.4106344396179491</v>
      </c>
      <c r="J2">
        <f t="shared" ref="J2:J21" si="0">1-3/(4*(C2+C2-2)-1)</f>
        <v>0.97902097902097907</v>
      </c>
      <c r="K2">
        <f>J2*I2</f>
        <v>1.3810407101154747</v>
      </c>
      <c r="L2">
        <f>J2*G2/H2</f>
        <v>0.44920563275354747</v>
      </c>
    </row>
    <row r="3" spans="1:12" x14ac:dyDescent="0.25">
      <c r="A3" t="s">
        <v>5</v>
      </c>
      <c r="B3">
        <v>2006</v>
      </c>
      <c r="C3">
        <v>32</v>
      </c>
      <c r="D3">
        <v>-1.7662317041485001</v>
      </c>
      <c r="E3" s="1">
        <v>4.3125013797776299</v>
      </c>
      <c r="F3" s="1">
        <v>1.27318833073227</v>
      </c>
      <c r="G3" s="1">
        <f t="shared" ref="G3:G21" si="1">(E3-D3)/2/1.96</f>
        <v>1.550697215287278</v>
      </c>
      <c r="H3" s="1">
        <f t="shared" ref="H3:H21" si="2">G3*SQRT(C3/4)</f>
        <v>4.3860340659869195</v>
      </c>
      <c r="I3" s="1">
        <f t="shared" ref="I3:I21" si="3">F3/H3</f>
        <v>0.29028236251188</v>
      </c>
      <c r="J3">
        <f t="shared" si="0"/>
        <v>0.98785425101214575</v>
      </c>
      <c r="K3">
        <f t="shared" ref="K3:K21" si="4">J3*I3</f>
        <v>0.2867566658012094</v>
      </c>
      <c r="L3">
        <f>J3*G3/H3</f>
        <v>0.34925921985732306</v>
      </c>
    </row>
    <row r="4" spans="1:12" x14ac:dyDescent="0.25">
      <c r="A4" t="s">
        <v>20</v>
      </c>
      <c r="B4">
        <v>2006</v>
      </c>
      <c r="C4">
        <v>29</v>
      </c>
      <c r="D4">
        <v>-0.72024307861081405</v>
      </c>
      <c r="E4" s="1">
        <v>1.1508916335378501</v>
      </c>
      <c r="F4" s="1">
        <v>0.21055746413002499</v>
      </c>
      <c r="G4" s="1">
        <f t="shared" si="1"/>
        <v>0.47733028371139391</v>
      </c>
      <c r="H4" s="1">
        <f t="shared" si="2"/>
        <v>1.2852511226110632</v>
      </c>
      <c r="I4" s="1">
        <f t="shared" si="3"/>
        <v>0.16382593286692884</v>
      </c>
      <c r="J4">
        <f t="shared" si="0"/>
        <v>0.98654708520179368</v>
      </c>
      <c r="K4">
        <f t="shared" si="4"/>
        <v>0.16162199655033338</v>
      </c>
      <c r="L4">
        <f>J4*G4/H4</f>
        <v>0.36639438922826378</v>
      </c>
    </row>
    <row r="5" spans="1:12" x14ac:dyDescent="0.25">
      <c r="A5" t="s">
        <v>21</v>
      </c>
      <c r="B5">
        <v>2006</v>
      </c>
      <c r="C5">
        <v>27</v>
      </c>
      <c r="D5">
        <v>-0.23467003360713801</v>
      </c>
      <c r="E5" s="1">
        <v>1.5700145874337399</v>
      </c>
      <c r="F5">
        <v>0.65817431219146005</v>
      </c>
      <c r="G5" s="1">
        <f t="shared" si="1"/>
        <v>0.46037872985736678</v>
      </c>
      <c r="H5" s="1">
        <f t="shared" si="2"/>
        <v>1.1960990262554791</v>
      </c>
      <c r="I5" s="1">
        <f t="shared" si="3"/>
        <v>0.55026740908898475</v>
      </c>
      <c r="J5">
        <f t="shared" si="0"/>
        <v>0.98550724637681164</v>
      </c>
      <c r="K5">
        <f t="shared" si="4"/>
        <v>0.5422925191021879</v>
      </c>
      <c r="L5">
        <f>J5*G5/H5</f>
        <v>0.37932191598931941</v>
      </c>
    </row>
    <row r="6" spans="1:12" x14ac:dyDescent="0.25">
      <c r="A6" t="s">
        <v>6</v>
      </c>
      <c r="B6">
        <v>2006</v>
      </c>
      <c r="C6">
        <v>33</v>
      </c>
      <c r="D6" s="1">
        <v>0.326922391116438</v>
      </c>
      <c r="E6" s="1">
        <v>2.4924583476971698</v>
      </c>
      <c r="F6" s="1">
        <v>1.40972603135194</v>
      </c>
      <c r="G6" s="1">
        <f t="shared" si="1"/>
        <v>0.55243264198488051</v>
      </c>
      <c r="H6" s="1">
        <f t="shared" si="2"/>
        <v>1.5867419599373302</v>
      </c>
      <c r="I6" s="1">
        <f t="shared" si="3"/>
        <v>0.88844063303627407</v>
      </c>
      <c r="J6">
        <f t="shared" si="0"/>
        <v>0.9882352941176471</v>
      </c>
      <c r="K6">
        <f t="shared" si="4"/>
        <v>0.87798839029467091</v>
      </c>
      <c r="L6">
        <f>J6*G6/H6</f>
        <v>0.34405936706537932</v>
      </c>
    </row>
    <row r="7" spans="1:12" x14ac:dyDescent="0.25">
      <c r="A7" t="s">
        <v>7</v>
      </c>
      <c r="B7">
        <v>2006</v>
      </c>
      <c r="C7">
        <v>23</v>
      </c>
      <c r="D7">
        <v>-0.47926342799598598</v>
      </c>
      <c r="E7" s="1">
        <v>0.69855552140310895</v>
      </c>
      <c r="F7" s="1">
        <v>0.100183743926854</v>
      </c>
      <c r="G7" s="1">
        <f t="shared" si="1"/>
        <v>0.30046401770385073</v>
      </c>
      <c r="H7" s="1">
        <f t="shared" si="2"/>
        <v>0.72048740386265908</v>
      </c>
      <c r="I7" s="1">
        <f t="shared" si="3"/>
        <v>0.13904995894411395</v>
      </c>
      <c r="J7">
        <f t="shared" si="0"/>
        <v>0.98285714285714287</v>
      </c>
      <c r="K7">
        <f t="shared" si="4"/>
        <v>0.13666624536221486</v>
      </c>
      <c r="L7">
        <f>J7*G7/H7</f>
        <v>0.40987976248933561</v>
      </c>
    </row>
    <row r="8" spans="1:12" x14ac:dyDescent="0.25">
      <c r="A8" t="s">
        <v>8</v>
      </c>
      <c r="B8">
        <v>2012</v>
      </c>
      <c r="C8">
        <v>33</v>
      </c>
      <c r="D8">
        <v>-0.62055605463410102</v>
      </c>
      <c r="E8" s="1">
        <v>1.0891489191883299</v>
      </c>
      <c r="F8" s="1">
        <v>0.224869791445548</v>
      </c>
      <c r="G8" s="1">
        <f t="shared" si="1"/>
        <v>0.43614922801592632</v>
      </c>
      <c r="H8" s="1">
        <f t="shared" si="2"/>
        <v>1.2527432817883439</v>
      </c>
      <c r="I8" s="1">
        <f t="shared" si="3"/>
        <v>0.17950189373559192</v>
      </c>
      <c r="J8">
        <f t="shared" si="0"/>
        <v>0.9882352941176471</v>
      </c>
      <c r="K8">
        <f t="shared" si="4"/>
        <v>0.17739010675046732</v>
      </c>
      <c r="L8">
        <f>J8*G8/H8</f>
        <v>0.34405936706537926</v>
      </c>
    </row>
    <row r="9" spans="1:12" x14ac:dyDescent="0.25">
      <c r="A9" t="s">
        <v>23</v>
      </c>
      <c r="B9">
        <v>2007</v>
      </c>
      <c r="C9">
        <v>56</v>
      </c>
      <c r="D9">
        <v>-0.77131098404892195</v>
      </c>
      <c r="E9" s="1">
        <v>1.8405936525133999</v>
      </c>
      <c r="F9" s="1">
        <v>0.53947947145600705</v>
      </c>
      <c r="G9" s="1">
        <f t="shared" si="1"/>
        <v>0.66630220320467404</v>
      </c>
      <c r="H9" s="1">
        <f t="shared" si="2"/>
        <v>2.4930745604445201</v>
      </c>
      <c r="I9" s="1">
        <f t="shared" si="3"/>
        <v>0.21639123033681623</v>
      </c>
      <c r="J9">
        <f t="shared" si="0"/>
        <v>0.99316628701594534</v>
      </c>
      <c r="K9">
        <f t="shared" si="4"/>
        <v>0.21491247477642797</v>
      </c>
      <c r="L9">
        <f>J9*G9/H9</f>
        <v>0.26543485529343286</v>
      </c>
    </row>
    <row r="10" spans="1:12" x14ac:dyDescent="0.25">
      <c r="A10" t="s">
        <v>9</v>
      </c>
      <c r="B10">
        <v>2007</v>
      </c>
      <c r="C10">
        <v>21</v>
      </c>
      <c r="D10">
        <v>-0.56117891597876002</v>
      </c>
      <c r="E10" s="1">
        <v>0.502628794813053</v>
      </c>
      <c r="F10">
        <v>-1.96879409981622E-2</v>
      </c>
      <c r="G10" s="1">
        <f t="shared" si="1"/>
        <v>0.27137951805913602</v>
      </c>
      <c r="H10" s="1">
        <f t="shared" si="2"/>
        <v>0.62180859178331305</v>
      </c>
      <c r="I10" s="1">
        <f t="shared" si="3"/>
        <v>-3.1662381733417774E-2</v>
      </c>
      <c r="J10">
        <f t="shared" si="0"/>
        <v>0.98113207547169812</v>
      </c>
      <c r="K10">
        <f t="shared" si="4"/>
        <v>-3.1064978304485364E-2</v>
      </c>
      <c r="L10">
        <f>J10*G10/H10</f>
        <v>0.42820114310458879</v>
      </c>
    </row>
    <row r="11" spans="1:12" x14ac:dyDescent="0.25">
      <c r="A11" t="s">
        <v>9</v>
      </c>
      <c r="B11">
        <v>2009</v>
      </c>
      <c r="C11">
        <v>33</v>
      </c>
      <c r="D11">
        <v>-0.27506313013383499</v>
      </c>
      <c r="E11" s="1">
        <v>0.89450602262325596</v>
      </c>
      <c r="F11">
        <v>4.79033323540436E-2</v>
      </c>
      <c r="G11" s="1">
        <f t="shared" si="1"/>
        <v>0.29835947774415589</v>
      </c>
      <c r="H11" s="1">
        <f t="shared" si="2"/>
        <v>0.85697235554483608</v>
      </c>
      <c r="I11" s="1">
        <f t="shared" si="3"/>
        <v>5.5898340295455817E-2</v>
      </c>
      <c r="J11">
        <f t="shared" si="0"/>
        <v>0.9882352941176471</v>
      </c>
      <c r="K11">
        <f t="shared" si="4"/>
        <v>5.5240712762568103E-2</v>
      </c>
      <c r="L11">
        <f>J11*G11/H11</f>
        <v>0.34405936706537932</v>
      </c>
    </row>
    <row r="12" spans="1:12" x14ac:dyDescent="0.25">
      <c r="A12" t="s">
        <v>10</v>
      </c>
      <c r="B12">
        <v>2009</v>
      </c>
      <c r="C12">
        <v>31</v>
      </c>
      <c r="D12">
        <v>-1.8587625644674499</v>
      </c>
      <c r="E12" s="1">
        <v>2.1209203159308601</v>
      </c>
      <c r="F12" s="1">
        <v>0.13584568906519701</v>
      </c>
      <c r="G12" s="1">
        <f t="shared" si="1"/>
        <v>1.0152252245914057</v>
      </c>
      <c r="H12" s="1">
        <f t="shared" si="2"/>
        <v>2.8262674128630669</v>
      </c>
      <c r="I12" s="1">
        <f t="shared" si="3"/>
        <v>4.8065405434364945E-2</v>
      </c>
      <c r="J12">
        <f t="shared" si="0"/>
        <v>0.9874476987447699</v>
      </c>
      <c r="K12">
        <f t="shared" si="4"/>
        <v>4.7462073985398021E-2</v>
      </c>
      <c r="L12">
        <f>J12*G12/H12</f>
        <v>0.35470168433739646</v>
      </c>
    </row>
    <row r="13" spans="1:12" x14ac:dyDescent="0.25">
      <c r="A13" t="s">
        <v>11</v>
      </c>
      <c r="B13">
        <v>2010</v>
      </c>
      <c r="C13">
        <v>20</v>
      </c>
      <c r="D13">
        <v>-0.60385437699430999</v>
      </c>
      <c r="E13" s="1">
        <v>0.355475721857204</v>
      </c>
      <c r="F13">
        <v>-0.119386852289922</v>
      </c>
      <c r="G13" s="1">
        <f t="shared" si="1"/>
        <v>0.24472706603354949</v>
      </c>
      <c r="H13" s="1">
        <f t="shared" si="2"/>
        <v>0.54722635558509647</v>
      </c>
      <c r="I13" s="1">
        <f t="shared" si="3"/>
        <v>-0.21816721923466778</v>
      </c>
      <c r="J13">
        <f t="shared" si="0"/>
        <v>0.98013245033112584</v>
      </c>
      <c r="K13">
        <f t="shared" si="4"/>
        <v>-0.21383277117040286</v>
      </c>
      <c r="L13">
        <f>J13*G13/H13</f>
        <v>0.43832855717876679</v>
      </c>
    </row>
    <row r="14" spans="1:12" x14ac:dyDescent="0.25">
      <c r="A14" t="s">
        <v>12</v>
      </c>
      <c r="B14">
        <v>2009</v>
      </c>
      <c r="C14">
        <v>39</v>
      </c>
      <c r="D14">
        <v>-0.61210417363631298</v>
      </c>
      <c r="E14" s="1">
        <v>1.7908452390454099</v>
      </c>
      <c r="F14" s="1">
        <v>0.59413734603804103</v>
      </c>
      <c r="G14" s="1">
        <f t="shared" si="1"/>
        <v>0.61299729915350076</v>
      </c>
      <c r="H14" s="1">
        <f t="shared" si="2"/>
        <v>1.9140834531186182</v>
      </c>
      <c r="I14" s="1">
        <f t="shared" si="3"/>
        <v>0.31040305221280318</v>
      </c>
      <c r="J14">
        <f t="shared" si="0"/>
        <v>0.99009900990099009</v>
      </c>
      <c r="K14">
        <f t="shared" si="4"/>
        <v>0.30732975466614176</v>
      </c>
      <c r="L14">
        <f>J14*G14/H14</f>
        <v>0.31708545307938046</v>
      </c>
    </row>
    <row r="15" spans="1:12" x14ac:dyDescent="0.25">
      <c r="A15" t="s">
        <v>13</v>
      </c>
      <c r="B15">
        <v>2004</v>
      </c>
      <c r="C15">
        <v>13</v>
      </c>
      <c r="D15">
        <v>-0.42100369695497902</v>
      </c>
      <c r="E15" s="1">
        <v>1.71603836546021</v>
      </c>
      <c r="F15">
        <v>0.652301978558679</v>
      </c>
      <c r="G15" s="1">
        <f t="shared" si="1"/>
        <v>0.5451637914324462</v>
      </c>
      <c r="H15" s="1">
        <f t="shared" si="2"/>
        <v>0.9828080017680203</v>
      </c>
      <c r="I15" s="1">
        <f t="shared" si="3"/>
        <v>0.66371252308204831</v>
      </c>
      <c r="J15">
        <f t="shared" si="0"/>
        <v>0.96842105263157896</v>
      </c>
      <c r="K15">
        <f t="shared" si="4"/>
        <v>0.64275318024787842</v>
      </c>
      <c r="L15">
        <f>J15*G15/H15</f>
        <v>0.53718334792337985</v>
      </c>
    </row>
    <row r="16" spans="1:12" x14ac:dyDescent="0.25">
      <c r="A16" t="s">
        <v>14</v>
      </c>
      <c r="B16">
        <v>2009</v>
      </c>
      <c r="C16">
        <v>28</v>
      </c>
      <c r="D16">
        <v>-0.30581561415813302</v>
      </c>
      <c r="E16" s="1">
        <v>0.396998113313282</v>
      </c>
      <c r="F16">
        <v>3.6146777773437201E-2</v>
      </c>
      <c r="G16" s="1">
        <f t="shared" si="1"/>
        <v>0.1792892161916875</v>
      </c>
      <c r="H16" s="1">
        <f t="shared" si="2"/>
        <v>0.47435467879890003</v>
      </c>
      <c r="I16" s="1">
        <f t="shared" si="3"/>
        <v>7.6202005353807042E-2</v>
      </c>
      <c r="J16">
        <f t="shared" si="0"/>
        <v>0.98604651162790702</v>
      </c>
      <c r="K16">
        <f t="shared" si="4"/>
        <v>7.5138721558172528E-2</v>
      </c>
      <c r="L16">
        <f>J16*G16/H16</f>
        <v>0.37269055013002872</v>
      </c>
    </row>
    <row r="17" spans="1:12" x14ac:dyDescent="0.25">
      <c r="A17" t="s">
        <v>15</v>
      </c>
      <c r="B17">
        <v>2010</v>
      </c>
      <c r="C17">
        <v>29</v>
      </c>
      <c r="D17">
        <v>-0.13371106692049001</v>
      </c>
      <c r="E17" s="1">
        <v>0.22724725445477001</v>
      </c>
      <c r="F17">
        <v>4.6821586684847802E-2</v>
      </c>
      <c r="G17" s="1">
        <f t="shared" si="1"/>
        <v>9.2081204432464286E-2</v>
      </c>
      <c r="H17" s="1">
        <f t="shared" si="2"/>
        <v>0.24793623075413218</v>
      </c>
      <c r="I17" s="1">
        <f t="shared" si="3"/>
        <v>0.18884527905596329</v>
      </c>
      <c r="J17">
        <f t="shared" si="0"/>
        <v>0.98654708520179368</v>
      </c>
      <c r="K17">
        <f t="shared" si="4"/>
        <v>0.18630475960677992</v>
      </c>
      <c r="L17">
        <f>J17*G17/H17</f>
        <v>0.36639438922826373</v>
      </c>
    </row>
    <row r="18" spans="1:12" x14ac:dyDescent="0.25">
      <c r="A18" t="s">
        <v>16</v>
      </c>
      <c r="B18">
        <v>2010</v>
      </c>
      <c r="C18">
        <v>30</v>
      </c>
      <c r="D18">
        <v>-0.57886724076737694</v>
      </c>
      <c r="E18" s="1">
        <v>0.380427196138999</v>
      </c>
      <c r="F18">
        <v>-0.113466969396957</v>
      </c>
      <c r="G18" s="1">
        <f t="shared" si="1"/>
        <v>0.24471796859856529</v>
      </c>
      <c r="H18" s="1">
        <f t="shared" si="2"/>
        <v>0.67018775814137554</v>
      </c>
      <c r="I18" s="1">
        <f t="shared" si="3"/>
        <v>-0.16930623995823754</v>
      </c>
      <c r="J18">
        <f t="shared" si="0"/>
        <v>0.98701298701298701</v>
      </c>
      <c r="K18">
        <f t="shared" si="4"/>
        <v>-0.16710745762111756</v>
      </c>
      <c r="L18">
        <f>J18*G18/H18</f>
        <v>0.3604061850250444</v>
      </c>
    </row>
    <row r="19" spans="1:12" x14ac:dyDescent="0.25">
      <c r="A19" t="s">
        <v>17</v>
      </c>
      <c r="B19">
        <v>2012</v>
      </c>
      <c r="C19">
        <v>17</v>
      </c>
      <c r="D19">
        <v>0.60002156698586795</v>
      </c>
      <c r="E19" s="1">
        <v>3.2119975274384598</v>
      </c>
      <c r="F19">
        <v>1.91077636054566</v>
      </c>
      <c r="G19" s="1">
        <f t="shared" si="1"/>
        <v>0.66632039807464083</v>
      </c>
      <c r="H19" s="1">
        <f t="shared" si="2"/>
        <v>1.3736546908826752</v>
      </c>
      <c r="I19" s="1">
        <f t="shared" si="3"/>
        <v>1.3910165147238307</v>
      </c>
      <c r="J19">
        <f t="shared" si="0"/>
        <v>0.97637795275590555</v>
      </c>
      <c r="K19">
        <f t="shared" si="4"/>
        <v>1.3581578568957087</v>
      </c>
      <c r="L19">
        <f>J19*G19/H19</f>
        <v>0.4736128740866975</v>
      </c>
    </row>
    <row r="20" spans="1:12" x14ac:dyDescent="0.25">
      <c r="A20" t="s">
        <v>18</v>
      </c>
      <c r="B20">
        <v>2007</v>
      </c>
      <c r="C20">
        <v>19</v>
      </c>
      <c r="D20">
        <v>-0.33906443434211397</v>
      </c>
      <c r="E20">
        <v>0.33521973701862601</v>
      </c>
      <c r="F20">
        <v>-6.6000071323902999E-3</v>
      </c>
      <c r="G20" s="1">
        <f t="shared" si="1"/>
        <v>0.1720112682042704</v>
      </c>
      <c r="H20" s="1">
        <f t="shared" si="2"/>
        <v>0.37488986762634291</v>
      </c>
      <c r="I20" s="1">
        <f t="shared" si="3"/>
        <v>-1.760518942317375E-2</v>
      </c>
      <c r="J20">
        <f t="shared" si="0"/>
        <v>0.97902097902097907</v>
      </c>
      <c r="K20">
        <f t="shared" si="4"/>
        <v>-1.7235849784925351E-2</v>
      </c>
      <c r="L20">
        <f>J20*G20/H20</f>
        <v>0.44920563275354747</v>
      </c>
    </row>
    <row r="21" spans="1:12" x14ac:dyDescent="0.25">
      <c r="A21" t="s">
        <v>19</v>
      </c>
      <c r="B21">
        <v>2010</v>
      </c>
      <c r="C21">
        <v>34</v>
      </c>
      <c r="D21">
        <v>-0.34738555487439399</v>
      </c>
      <c r="E21" s="1">
        <v>1.0963050828460901</v>
      </c>
      <c r="F21">
        <v>0.36503312315427999</v>
      </c>
      <c r="G21" s="1">
        <f t="shared" si="1"/>
        <v>0.3682884279899194</v>
      </c>
      <c r="H21" s="1">
        <f t="shared" si="2"/>
        <v>1.0737360535187088</v>
      </c>
      <c r="I21" s="1">
        <f t="shared" si="3"/>
        <v>0.33996541511113526</v>
      </c>
      <c r="J21">
        <f t="shared" si="0"/>
        <v>0.98859315589353614</v>
      </c>
      <c r="K21">
        <f t="shared" si="4"/>
        <v>0.33608748261937327</v>
      </c>
      <c r="L21">
        <f>J21*G21/H21</f>
        <v>0.33908465503461827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Hester</dc:creator>
  <cp:lastModifiedBy>Matt Hester</cp:lastModifiedBy>
  <dcterms:created xsi:type="dcterms:W3CDTF">2015-06-05T18:17:20Z</dcterms:created>
  <dcterms:modified xsi:type="dcterms:W3CDTF">2025-12-30T13:15:48Z</dcterms:modified>
</cp:coreProperties>
</file>