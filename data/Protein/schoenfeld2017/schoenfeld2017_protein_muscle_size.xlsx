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schoenfeld2017\"/>
    </mc:Choice>
  </mc:AlternateContent>
  <xr:revisionPtr revIDLastSave="0" documentId="13_ncr:1_{90F0B0F1-9D9C-4628-AEA6-50DC3B0A9AF2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I2" i="1"/>
  <c r="H2" i="1"/>
  <c r="G3" i="1"/>
  <c r="H3" i="1" s="1"/>
  <c r="I3" i="1" s="1"/>
  <c r="J3" i="1"/>
  <c r="G4" i="1"/>
  <c r="H4" i="1" s="1"/>
  <c r="J4" i="1"/>
  <c r="G5" i="1"/>
  <c r="H5" i="1" s="1"/>
  <c r="I5" i="1" s="1"/>
  <c r="J5" i="1"/>
  <c r="G6" i="1"/>
  <c r="H6" i="1" s="1"/>
  <c r="J6" i="1"/>
  <c r="G7" i="1"/>
  <c r="H7" i="1" s="1"/>
  <c r="I7" i="1" s="1"/>
  <c r="J7" i="1"/>
  <c r="K7" i="1" s="1"/>
  <c r="G8" i="1"/>
  <c r="H8" i="1" s="1"/>
  <c r="J8" i="1"/>
  <c r="G9" i="1"/>
  <c r="H9" i="1" s="1"/>
  <c r="I9" i="1" s="1"/>
  <c r="J9" i="1"/>
  <c r="G10" i="1"/>
  <c r="H10" i="1" s="1"/>
  <c r="J10" i="1"/>
  <c r="G11" i="1"/>
  <c r="H11" i="1" s="1"/>
  <c r="I11" i="1" s="1"/>
  <c r="J11" i="1"/>
  <c r="G12" i="1"/>
  <c r="H12" i="1" s="1"/>
  <c r="J12" i="1"/>
  <c r="G13" i="1"/>
  <c r="H13" i="1" s="1"/>
  <c r="I13" i="1" s="1"/>
  <c r="J13" i="1"/>
  <c r="K13" i="1" s="1"/>
  <c r="G14" i="1"/>
  <c r="H14" i="1" s="1"/>
  <c r="J14" i="1"/>
  <c r="G15" i="1"/>
  <c r="H15" i="1" s="1"/>
  <c r="I15" i="1" s="1"/>
  <c r="J15" i="1"/>
  <c r="G16" i="1"/>
  <c r="H16" i="1" s="1"/>
  <c r="J16" i="1"/>
  <c r="G17" i="1"/>
  <c r="H17" i="1" s="1"/>
  <c r="I17" i="1" s="1"/>
  <c r="J17" i="1"/>
  <c r="G18" i="1"/>
  <c r="H18" i="1" s="1"/>
  <c r="J18" i="1"/>
  <c r="G19" i="1"/>
  <c r="H19" i="1" s="1"/>
  <c r="I19" i="1" s="1"/>
  <c r="J19" i="1"/>
  <c r="G20" i="1"/>
  <c r="H20" i="1" s="1"/>
  <c r="J20" i="1"/>
  <c r="G21" i="1"/>
  <c r="H21" i="1" s="1"/>
  <c r="I21" i="1" s="1"/>
  <c r="J21" i="1"/>
  <c r="G22" i="1"/>
  <c r="H22" i="1" s="1"/>
  <c r="J22" i="1"/>
  <c r="G23" i="1"/>
  <c r="H23" i="1" s="1"/>
  <c r="I23" i="1" s="1"/>
  <c r="J23" i="1"/>
  <c r="G24" i="1"/>
  <c r="H24" i="1" s="1"/>
  <c r="J24" i="1"/>
  <c r="J2" i="1"/>
  <c r="L8" i="1" l="1"/>
  <c r="I8" i="1"/>
  <c r="K8" i="1" s="1"/>
  <c r="L24" i="1"/>
  <c r="I24" i="1"/>
  <c r="K24" i="1" s="1"/>
  <c r="L6" i="1"/>
  <c r="I6" i="1"/>
  <c r="K6" i="1" s="1"/>
  <c r="K23" i="1"/>
  <c r="K17" i="1"/>
  <c r="K11" i="1"/>
  <c r="K5" i="1"/>
  <c r="L14" i="1"/>
  <c r="I14" i="1"/>
  <c r="K14" i="1" s="1"/>
  <c r="I4" i="1"/>
  <c r="K4" i="1" s="1"/>
  <c r="L4" i="1"/>
  <c r="L20" i="1"/>
  <c r="I20" i="1"/>
  <c r="K20" i="1" s="1"/>
  <c r="L12" i="1"/>
  <c r="I12" i="1"/>
  <c r="K12" i="1" s="1"/>
  <c r="I22" i="1"/>
  <c r="K22" i="1" s="1"/>
  <c r="L22" i="1"/>
  <c r="I16" i="1"/>
  <c r="K16" i="1" s="1"/>
  <c r="L16" i="1"/>
  <c r="L10" i="1"/>
  <c r="I10" i="1"/>
  <c r="K10" i="1" s="1"/>
  <c r="K21" i="1"/>
  <c r="K15" i="1"/>
  <c r="K9" i="1"/>
  <c r="K3" i="1"/>
  <c r="K19" i="1"/>
  <c r="I18" i="1"/>
  <c r="K18" i="1" s="1"/>
  <c r="L18" i="1"/>
  <c r="L23" i="1"/>
  <c r="L21" i="1"/>
  <c r="L19" i="1"/>
  <c r="L17" i="1"/>
  <c r="L15" i="1"/>
  <c r="L13" i="1"/>
  <c r="L11" i="1"/>
  <c r="L9" i="1"/>
  <c r="L7" i="1"/>
  <c r="L5" i="1"/>
  <c r="L3" i="1"/>
  <c r="L2" i="1"/>
  <c r="K2" i="1"/>
</calcChain>
</file>

<file path=xl/sharedStrings.xml><?xml version="1.0" encoding="utf-8"?>
<sst xmlns="http://schemas.openxmlformats.org/spreadsheetml/2006/main" count="35" uniqueCount="34">
  <si>
    <t>CI_lower</t>
  </si>
  <si>
    <t>CI_upper</t>
  </si>
  <si>
    <t>Author</t>
  </si>
  <si>
    <t>Year</t>
  </si>
  <si>
    <t>Andersen</t>
  </si>
  <si>
    <t>Anonio</t>
  </si>
  <si>
    <t>Bird</t>
  </si>
  <si>
    <t>Coburn</t>
  </si>
  <si>
    <t>Cribb</t>
  </si>
  <si>
    <t>Eliot</t>
  </si>
  <si>
    <t>Erskine</t>
  </si>
  <si>
    <t>Godard</t>
  </si>
  <si>
    <t>Hartman</t>
  </si>
  <si>
    <t>Hoffman</t>
  </si>
  <si>
    <t>Hulmi</t>
  </si>
  <si>
    <t>Josse</t>
  </si>
  <si>
    <t>Mielke</t>
  </si>
  <si>
    <t>Rankin</t>
  </si>
  <si>
    <t>Verdijk</t>
  </si>
  <si>
    <t>Vieillevoye</t>
  </si>
  <si>
    <t>Walker</t>
  </si>
  <si>
    <t>Weisgarber</t>
  </si>
  <si>
    <t>Willoughby</t>
  </si>
  <si>
    <t>Wycherly</t>
  </si>
  <si>
    <t>CandowBurke</t>
  </si>
  <si>
    <t>CandowChilibeck</t>
  </si>
  <si>
    <t>n</t>
  </si>
  <si>
    <t>J</t>
  </si>
  <si>
    <t>g</t>
  </si>
  <si>
    <t>d</t>
  </si>
  <si>
    <t>se_g</t>
  </si>
  <si>
    <t>md</t>
  </si>
  <si>
    <t>pooled_sd</t>
  </si>
  <si>
    <t>se_md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</si>
</sst>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D12" sqref="D12"/>
    </sheetView>
  </sheetViews>
  <sheetFormatPr defaultRowHeight="15" x14ac:dyDescent="0.25"/>
  <cols>
    <col min="1" max="1" width="23.42578125" customWidth="1"/>
  </cols>
  <sheetData>
    <row r="1" spans="1:12" x14ac:dyDescent="0.25">
      <c r="A1" t="s">
        <v>2</v>
      </c>
      <c r="B1" t="s">
        <v>3</v>
      </c>
      <c r="C1" t="s">
        <v>26</v>
      </c>
      <c r="D1" t="s">
        <v>0</v>
      </c>
      <c r="E1" t="s">
        <v>1</v>
      </c>
      <c r="F1" t="s">
        <v>31</v>
      </c>
      <c r="G1" t="s">
        <v>33</v>
      </c>
      <c r="H1" t="s">
        <v>32</v>
      </c>
      <c r="I1" t="s">
        <v>29</v>
      </c>
      <c r="J1" t="s">
        <v>27</v>
      </c>
      <c r="K1" t="s">
        <v>28</v>
      </c>
      <c r="L1" t="s">
        <v>30</v>
      </c>
    </row>
    <row r="2" spans="1:12" x14ac:dyDescent="0.25">
      <c r="A2" t="s">
        <v>4</v>
      </c>
      <c r="B2">
        <v>2005</v>
      </c>
      <c r="C2">
        <v>22</v>
      </c>
      <c r="D2">
        <v>0.77094425099635699</v>
      </c>
      <c r="E2">
        <v>1.89953729184355</v>
      </c>
      <c r="F2">
        <v>1.3427884735055999</v>
      </c>
      <c r="G2" s="1">
        <f>(E2-D2)/2/1.96</f>
        <v>0.28790638797122275</v>
      </c>
      <c r="H2" s="1">
        <f>G2*SQRT(C2/4)</f>
        <v>0.67520032974703093</v>
      </c>
      <c r="I2" s="1">
        <f>F2/H2</f>
        <v>1.9887260333665508</v>
      </c>
      <c r="J2">
        <f t="shared" ref="J2" si="0">1-3/(4*(C2+C2-2)-1)</f>
        <v>0.98203592814371254</v>
      </c>
      <c r="K2">
        <f>J2*I2</f>
        <v>1.9530004160006846</v>
      </c>
      <c r="L2">
        <f t="shared" ref="L2" si="1">J2*G2/H2</f>
        <v>0.41874152673437259</v>
      </c>
    </row>
    <row r="3" spans="1:12" x14ac:dyDescent="0.25">
      <c r="A3" t="s">
        <v>5</v>
      </c>
      <c r="B3">
        <v>2000</v>
      </c>
      <c r="C3">
        <v>19</v>
      </c>
      <c r="D3">
        <v>-0.29779819507864302</v>
      </c>
      <c r="E3">
        <v>0.52823957938639199</v>
      </c>
      <c r="F3">
        <v>0.113716130067179</v>
      </c>
      <c r="G3" s="1">
        <f t="shared" ref="G3:G24" si="2">(E3-D3)/2/1.96</f>
        <v>0.21072392205740689</v>
      </c>
      <c r="H3" s="1">
        <f t="shared" ref="H3:H24" si="3">G3*SQRT(C3/4)</f>
        <v>0.45926214061738913</v>
      </c>
      <c r="I3" s="1">
        <f t="shared" ref="I3:I24" si="4">F3/H3</f>
        <v>0.24760614910323253</v>
      </c>
      <c r="J3">
        <f t="shared" ref="J3:J24" si="5">1-3/(4*(C3+C3-2)-1)</f>
        <v>0.97902097902097907</v>
      </c>
      <c r="K3">
        <f t="shared" ref="K3:K24" si="6">J3*I3</f>
        <v>0.24241161450666124</v>
      </c>
      <c r="L3">
        <f t="shared" ref="L3:L24" si="7">J3*G3/H3</f>
        <v>0.44920563275354752</v>
      </c>
    </row>
    <row r="4" spans="1:12" x14ac:dyDescent="0.25">
      <c r="A4" t="s">
        <v>6</v>
      </c>
      <c r="B4">
        <v>2006</v>
      </c>
      <c r="C4">
        <v>32</v>
      </c>
      <c r="D4">
        <v>1.0509808693819299E-3</v>
      </c>
      <c r="E4">
        <v>1.5956046873746701</v>
      </c>
      <c r="F4">
        <v>0.79378925620977503</v>
      </c>
      <c r="G4" s="1">
        <f t="shared" si="2"/>
        <v>0.40677390472073677</v>
      </c>
      <c r="H4" s="1">
        <f t="shared" si="3"/>
        <v>1.1505303457510543</v>
      </c>
      <c r="I4" s="1">
        <f t="shared" si="4"/>
        <v>0.68993335042510129</v>
      </c>
      <c r="J4">
        <f t="shared" si="5"/>
        <v>0.98785425101214575</v>
      </c>
      <c r="K4">
        <f t="shared" si="6"/>
        <v>0.68155359313248876</v>
      </c>
      <c r="L4">
        <f t="shared" si="7"/>
        <v>0.349259219857323</v>
      </c>
    </row>
    <row r="5" spans="1:12" x14ac:dyDescent="0.25">
      <c r="A5" t="s">
        <v>24</v>
      </c>
      <c r="B5">
        <v>2006</v>
      </c>
      <c r="C5">
        <v>27</v>
      </c>
      <c r="D5">
        <v>0.40585009140767703</v>
      </c>
      <c r="E5">
        <v>1.3831737962811801</v>
      </c>
      <c r="F5">
        <v>0.892990787322957</v>
      </c>
      <c r="G5" s="1">
        <f t="shared" si="2"/>
        <v>0.24931727165140385</v>
      </c>
      <c r="H5" s="1">
        <f t="shared" si="3"/>
        <v>0.64774527255702485</v>
      </c>
      <c r="I5" s="1">
        <f t="shared" si="4"/>
        <v>1.3786141329875035</v>
      </c>
      <c r="J5">
        <f t="shared" si="5"/>
        <v>0.98550724637681164</v>
      </c>
      <c r="K5">
        <f t="shared" si="6"/>
        <v>1.3586342180166702</v>
      </c>
      <c r="L5">
        <f t="shared" si="7"/>
        <v>0.3793219159893193</v>
      </c>
    </row>
    <row r="6" spans="1:12" x14ac:dyDescent="0.25">
      <c r="A6" t="s">
        <v>25</v>
      </c>
      <c r="B6">
        <v>2006</v>
      </c>
      <c r="C6">
        <v>29</v>
      </c>
      <c r="D6">
        <v>-0.514615548432241</v>
      </c>
      <c r="E6">
        <v>0.83485495081132799</v>
      </c>
      <c r="F6">
        <v>0.16314541979771299</v>
      </c>
      <c r="G6" s="1">
        <f t="shared" si="2"/>
        <v>0.34425267837846146</v>
      </c>
      <c r="H6" s="1">
        <f t="shared" si="3"/>
        <v>0.92692870418274187</v>
      </c>
      <c r="I6" s="1">
        <f t="shared" si="4"/>
        <v>0.17600643831777299</v>
      </c>
      <c r="J6">
        <f t="shared" si="5"/>
        <v>0.98654708520179368</v>
      </c>
      <c r="K6">
        <f t="shared" si="6"/>
        <v>0.17363863869914822</v>
      </c>
      <c r="L6">
        <f t="shared" si="7"/>
        <v>0.36639438922826378</v>
      </c>
    </row>
    <row r="7" spans="1:12" x14ac:dyDescent="0.25">
      <c r="A7" t="s">
        <v>7</v>
      </c>
      <c r="B7">
        <v>2006</v>
      </c>
      <c r="C7">
        <v>33</v>
      </c>
      <c r="D7">
        <v>-0.27927327438621302</v>
      </c>
      <c r="E7">
        <v>0.43782203574994299</v>
      </c>
      <c r="F7">
        <v>8.0770645551170001E-2</v>
      </c>
      <c r="G7" s="1">
        <f t="shared" si="2"/>
        <v>0.18293247707555002</v>
      </c>
      <c r="H7" s="1">
        <f t="shared" si="3"/>
        <v>0.52543353732343945</v>
      </c>
      <c r="I7" s="1">
        <f t="shared" si="4"/>
        <v>0.15372190736551761</v>
      </c>
      <c r="J7">
        <f t="shared" si="5"/>
        <v>0.9882352941176471</v>
      </c>
      <c r="K7">
        <f t="shared" si="6"/>
        <v>0.15191341433768799</v>
      </c>
      <c r="L7">
        <f t="shared" si="7"/>
        <v>0.34405936706537926</v>
      </c>
    </row>
    <row r="8" spans="1:12" x14ac:dyDescent="0.25">
      <c r="A8" t="s">
        <v>8</v>
      </c>
      <c r="B8">
        <v>2006</v>
      </c>
      <c r="C8">
        <v>23</v>
      </c>
      <c r="D8">
        <v>-0.48874482461065299</v>
      </c>
      <c r="E8">
        <v>1.3357800905502899</v>
      </c>
      <c r="F8">
        <v>0.42199647644834798</v>
      </c>
      <c r="G8" s="1">
        <f t="shared" si="2"/>
        <v>0.46544002937779155</v>
      </c>
      <c r="H8" s="1">
        <f t="shared" si="3"/>
        <v>1.1160859825508054</v>
      </c>
      <c r="I8" s="1">
        <f t="shared" si="4"/>
        <v>0.37810391228449847</v>
      </c>
      <c r="J8">
        <f t="shared" si="5"/>
        <v>0.98285714285714287</v>
      </c>
      <c r="K8">
        <f t="shared" si="6"/>
        <v>0.37162213093104995</v>
      </c>
      <c r="L8">
        <f t="shared" si="7"/>
        <v>0.40987976248933555</v>
      </c>
    </row>
    <row r="9" spans="1:12" x14ac:dyDescent="0.25">
      <c r="A9" t="s">
        <v>9</v>
      </c>
      <c r="B9">
        <v>2008</v>
      </c>
      <c r="C9">
        <v>42</v>
      </c>
      <c r="D9">
        <v>-9.6031994070255797E-2</v>
      </c>
      <c r="E9">
        <v>0.41227213766742998</v>
      </c>
      <c r="F9">
        <v>0.15809518014641699</v>
      </c>
      <c r="G9" s="1">
        <f t="shared" si="2"/>
        <v>0.12966942136165452</v>
      </c>
      <c r="H9" s="1">
        <f t="shared" si="3"/>
        <v>0.42017694817873602</v>
      </c>
      <c r="I9" s="1">
        <f t="shared" si="4"/>
        <v>0.37625857589685296</v>
      </c>
      <c r="J9">
        <f t="shared" si="5"/>
        <v>0.99082568807339455</v>
      </c>
      <c r="K9">
        <f t="shared" si="6"/>
        <v>0.37280666235651488</v>
      </c>
      <c r="L9">
        <f t="shared" si="7"/>
        <v>0.305775445796439</v>
      </c>
    </row>
    <row r="10" spans="1:12" x14ac:dyDescent="0.25">
      <c r="A10" t="s">
        <v>10</v>
      </c>
      <c r="B10">
        <v>2012</v>
      </c>
      <c r="C10">
        <v>33</v>
      </c>
      <c r="D10">
        <v>-0.74722527221787405</v>
      </c>
      <c r="E10">
        <v>0.284544773167905</v>
      </c>
      <c r="F10">
        <v>-0.23592861074157701</v>
      </c>
      <c r="G10" s="1">
        <f t="shared" si="2"/>
        <v>0.2632066442310661</v>
      </c>
      <c r="H10" s="1">
        <f t="shared" si="3"/>
        <v>0.75600352838520324</v>
      </c>
      <c r="I10" s="1">
        <f t="shared" si="4"/>
        <v>-0.31207342543164074</v>
      </c>
      <c r="J10">
        <f t="shared" si="5"/>
        <v>0.9882352941176471</v>
      </c>
      <c r="K10">
        <f t="shared" si="6"/>
        <v>-0.30840197336773911</v>
      </c>
      <c r="L10">
        <f t="shared" si="7"/>
        <v>0.34405936706537932</v>
      </c>
    </row>
    <row r="11" spans="1:12" x14ac:dyDescent="0.25">
      <c r="A11" t="s">
        <v>11</v>
      </c>
      <c r="B11">
        <v>2002</v>
      </c>
      <c r="C11">
        <v>17</v>
      </c>
      <c r="D11">
        <v>-0.315261071945172</v>
      </c>
      <c r="E11">
        <v>0.84661487359189302</v>
      </c>
      <c r="F11">
        <v>0.26266777664996999</v>
      </c>
      <c r="G11" s="1">
        <f t="shared" si="2"/>
        <v>0.29639692488190439</v>
      </c>
      <c r="H11" s="1">
        <f t="shared" si="3"/>
        <v>0.61103791419817755</v>
      </c>
      <c r="I11" s="1">
        <f t="shared" si="4"/>
        <v>0.42987148677124332</v>
      </c>
      <c r="J11">
        <f t="shared" si="5"/>
        <v>0.97637795275590555</v>
      </c>
      <c r="K11">
        <f t="shared" si="6"/>
        <v>0.41971704220184386</v>
      </c>
      <c r="L11">
        <f t="shared" si="7"/>
        <v>0.47361287408669744</v>
      </c>
    </row>
    <row r="12" spans="1:12" x14ac:dyDescent="0.25">
      <c r="A12" t="s">
        <v>12</v>
      </c>
      <c r="B12">
        <v>2007</v>
      </c>
      <c r="C12">
        <v>56</v>
      </c>
      <c r="D12">
        <v>-0.17368288588283801</v>
      </c>
      <c r="E12">
        <v>1.05475886903395</v>
      </c>
      <c r="F12">
        <v>0.44052139714077798</v>
      </c>
      <c r="G12" s="1">
        <f t="shared" si="2"/>
        <v>0.31337799870326227</v>
      </c>
      <c r="H12" s="1">
        <f t="shared" si="3"/>
        <v>1.1725531037004959</v>
      </c>
      <c r="I12" s="1">
        <f t="shared" si="4"/>
        <v>0.37569419734639153</v>
      </c>
      <c r="J12">
        <f t="shared" si="5"/>
        <v>0.99316628701594534</v>
      </c>
      <c r="K12">
        <f t="shared" si="6"/>
        <v>0.3731268110319515</v>
      </c>
      <c r="L12">
        <f t="shared" si="7"/>
        <v>0.26543485529343286</v>
      </c>
    </row>
    <row r="13" spans="1:12" x14ac:dyDescent="0.25">
      <c r="A13" t="s">
        <v>13</v>
      </c>
      <c r="B13">
        <v>2007</v>
      </c>
      <c r="C13">
        <v>21</v>
      </c>
      <c r="D13">
        <v>-4.7283076165690302E-2</v>
      </c>
      <c r="E13">
        <v>0.482184491394402</v>
      </c>
      <c r="F13">
        <v>0.21894697248366099</v>
      </c>
      <c r="G13" s="1">
        <f t="shared" si="2"/>
        <v>0.1350682570306358</v>
      </c>
      <c r="H13" s="1">
        <f t="shared" si="3"/>
        <v>0.30948025591431993</v>
      </c>
      <c r="I13" s="1">
        <f t="shared" si="4"/>
        <v>0.70746669068374035</v>
      </c>
      <c r="J13">
        <f t="shared" si="5"/>
        <v>0.98113207547169812</v>
      </c>
      <c r="K13">
        <f t="shared" si="6"/>
        <v>0.69411826255763209</v>
      </c>
      <c r="L13">
        <f t="shared" si="7"/>
        <v>0.42820114310458884</v>
      </c>
    </row>
    <row r="14" spans="1:12" x14ac:dyDescent="0.25">
      <c r="A14" t="s">
        <v>13</v>
      </c>
      <c r="B14">
        <v>2009</v>
      </c>
      <c r="C14">
        <v>33</v>
      </c>
      <c r="D14">
        <v>-0.54724020720917599</v>
      </c>
      <c r="E14">
        <v>0.115408762414711</v>
      </c>
      <c r="F14">
        <v>-0.220412814222537</v>
      </c>
      <c r="G14" s="1">
        <f t="shared" si="2"/>
        <v>0.16904310449588952</v>
      </c>
      <c r="H14" s="1">
        <f t="shared" si="3"/>
        <v>0.48553935187095582</v>
      </c>
      <c r="I14" s="1">
        <f t="shared" si="4"/>
        <v>-0.45395458344047301</v>
      </c>
      <c r="J14">
        <f t="shared" si="5"/>
        <v>0.9882352941176471</v>
      </c>
      <c r="K14">
        <f t="shared" si="6"/>
        <v>-0.44861394128234983</v>
      </c>
      <c r="L14">
        <f t="shared" si="7"/>
        <v>0.34405936706537926</v>
      </c>
    </row>
    <row r="15" spans="1:12" x14ac:dyDescent="0.25">
      <c r="A15" t="s">
        <v>14</v>
      </c>
      <c r="B15">
        <v>2009</v>
      </c>
      <c r="C15">
        <v>31</v>
      </c>
      <c r="D15">
        <v>-0.366311084805859</v>
      </c>
      <c r="E15">
        <v>0.97710797722137199</v>
      </c>
      <c r="F15">
        <v>0.308390975946367</v>
      </c>
      <c r="G15" s="1">
        <f t="shared" si="2"/>
        <v>0.34270894439470179</v>
      </c>
      <c r="H15" s="1">
        <f t="shared" si="3"/>
        <v>0.95406132371195806</v>
      </c>
      <c r="I15" s="1">
        <f t="shared" si="4"/>
        <v>0.32324020299503697</v>
      </c>
      <c r="J15">
        <f t="shared" si="5"/>
        <v>0.9874476987447699</v>
      </c>
      <c r="K15">
        <f t="shared" si="6"/>
        <v>0.31918279458924154</v>
      </c>
      <c r="L15">
        <f t="shared" si="7"/>
        <v>0.35470168433739646</v>
      </c>
    </row>
    <row r="16" spans="1:12" x14ac:dyDescent="0.25">
      <c r="A16" t="s">
        <v>15</v>
      </c>
      <c r="B16">
        <v>2010</v>
      </c>
      <c r="C16">
        <v>20</v>
      </c>
      <c r="D16">
        <v>-2.8094378082070801E-2</v>
      </c>
      <c r="E16">
        <v>0.32890722881236301</v>
      </c>
      <c r="F16">
        <v>0.14438817701836701</v>
      </c>
      <c r="G16" s="1">
        <f t="shared" si="2"/>
        <v>9.1071838493478025E-2</v>
      </c>
      <c r="H16" s="1">
        <f t="shared" si="3"/>
        <v>0.20364282170729892</v>
      </c>
      <c r="I16" s="1">
        <f t="shared" si="4"/>
        <v>0.70902659768631504</v>
      </c>
      <c r="J16">
        <f t="shared" si="5"/>
        <v>0.98013245033112584</v>
      </c>
      <c r="K16">
        <f t="shared" si="6"/>
        <v>0.69493997654022932</v>
      </c>
      <c r="L16">
        <f t="shared" si="7"/>
        <v>0.43832855717876673</v>
      </c>
    </row>
    <row r="17" spans="1:12" x14ac:dyDescent="0.25">
      <c r="A17" t="s">
        <v>16</v>
      </c>
      <c r="B17">
        <v>2009</v>
      </c>
      <c r="C17">
        <v>39</v>
      </c>
      <c r="D17">
        <v>-5.6022811816344303E-2</v>
      </c>
      <c r="E17">
        <v>0.21326614431073501</v>
      </c>
      <c r="F17">
        <v>8.0134525551280394E-2</v>
      </c>
      <c r="G17" s="1">
        <f t="shared" si="2"/>
        <v>6.8696162277316147E-2</v>
      </c>
      <c r="H17" s="1">
        <f t="shared" si="3"/>
        <v>0.21450369795974544</v>
      </c>
      <c r="I17" s="1">
        <f t="shared" si="4"/>
        <v>0.3735810912048646</v>
      </c>
      <c r="J17">
        <f t="shared" si="5"/>
        <v>0.99009900990099009</v>
      </c>
      <c r="K17">
        <f t="shared" si="6"/>
        <v>0.36988226851966793</v>
      </c>
      <c r="L17">
        <f t="shared" si="7"/>
        <v>0.31708545307938046</v>
      </c>
    </row>
    <row r="18" spans="1:12" x14ac:dyDescent="0.25">
      <c r="A18" t="s">
        <v>17</v>
      </c>
      <c r="B18">
        <v>2004</v>
      </c>
      <c r="C18">
        <v>13</v>
      </c>
      <c r="D18">
        <v>-0.23216167404658</v>
      </c>
      <c r="E18">
        <v>0.47587307469984802</v>
      </c>
      <c r="F18">
        <v>0.121830808674463</v>
      </c>
      <c r="G18" s="1">
        <f t="shared" si="2"/>
        <v>0.18062110937408879</v>
      </c>
      <c r="H18" s="1">
        <f t="shared" si="3"/>
        <v>0.32561933563973328</v>
      </c>
      <c r="I18" s="1">
        <f t="shared" si="4"/>
        <v>0.37415102648958526</v>
      </c>
      <c r="J18">
        <f t="shared" si="5"/>
        <v>0.96842105263157896</v>
      </c>
      <c r="K18">
        <f t="shared" si="6"/>
        <v>0.36233573091622995</v>
      </c>
      <c r="L18">
        <f t="shared" si="7"/>
        <v>0.53718334792337985</v>
      </c>
    </row>
    <row r="19" spans="1:12" x14ac:dyDescent="0.25">
      <c r="A19" t="s">
        <v>18</v>
      </c>
      <c r="B19">
        <v>2009</v>
      </c>
      <c r="C19">
        <v>28</v>
      </c>
      <c r="D19">
        <v>-0.29636554220932798</v>
      </c>
      <c r="E19">
        <v>0.40560117488598202</v>
      </c>
      <c r="F19">
        <v>5.4617816338326998E-2</v>
      </c>
      <c r="G19" s="1">
        <f t="shared" si="2"/>
        <v>0.17907314211615052</v>
      </c>
      <c r="H19" s="1">
        <f t="shared" si="3"/>
        <v>0.47378300053026101</v>
      </c>
      <c r="I19" s="1">
        <f t="shared" si="4"/>
        <v>0.11528023647365647</v>
      </c>
      <c r="J19">
        <f t="shared" si="5"/>
        <v>0.98604651162790702</v>
      </c>
      <c r="K19">
        <f t="shared" si="6"/>
        <v>0.11367167503448918</v>
      </c>
      <c r="L19">
        <f t="shared" si="7"/>
        <v>0.37269055013002872</v>
      </c>
    </row>
    <row r="20" spans="1:12" x14ac:dyDescent="0.25">
      <c r="A20" t="s">
        <v>19</v>
      </c>
      <c r="B20">
        <v>2010</v>
      </c>
      <c r="C20">
        <v>29</v>
      </c>
      <c r="D20">
        <v>-0.172991451100349</v>
      </c>
      <c r="E20">
        <v>0.45032317661733501</v>
      </c>
      <c r="F20">
        <v>0.13260612832476301</v>
      </c>
      <c r="G20" s="1">
        <f t="shared" si="2"/>
        <v>0.15900883360144999</v>
      </c>
      <c r="H20" s="1">
        <f t="shared" si="3"/>
        <v>0.42814438736701743</v>
      </c>
      <c r="I20" s="1">
        <f t="shared" si="4"/>
        <v>0.30972291646810568</v>
      </c>
      <c r="J20">
        <f t="shared" si="5"/>
        <v>0.98654708520179368</v>
      </c>
      <c r="K20">
        <f t="shared" si="6"/>
        <v>0.30555624046180829</v>
      </c>
      <c r="L20">
        <f t="shared" si="7"/>
        <v>0.36639438922826373</v>
      </c>
    </row>
    <row r="21" spans="1:12" x14ac:dyDescent="0.25">
      <c r="A21" t="s">
        <v>20</v>
      </c>
      <c r="B21">
        <v>2010</v>
      </c>
      <c r="C21">
        <v>30</v>
      </c>
      <c r="D21">
        <v>-1.0249829215609E-2</v>
      </c>
      <c r="E21">
        <v>0.18944759892357399</v>
      </c>
      <c r="F21">
        <v>8.6573166245813099E-2</v>
      </c>
      <c r="G21" s="1">
        <f t="shared" si="2"/>
        <v>5.0943221464077294E-2</v>
      </c>
      <c r="H21" s="1">
        <f t="shared" si="3"/>
        <v>0.13951375773928246</v>
      </c>
      <c r="I21" s="1">
        <f t="shared" si="4"/>
        <v>0.62053497553694636</v>
      </c>
      <c r="J21">
        <f t="shared" si="5"/>
        <v>0.98701298701298701</v>
      </c>
      <c r="K21">
        <f t="shared" si="6"/>
        <v>0.61247607975075224</v>
      </c>
      <c r="L21">
        <f t="shared" si="7"/>
        <v>0.36040618502504429</v>
      </c>
    </row>
    <row r="22" spans="1:12" x14ac:dyDescent="0.25">
      <c r="A22" t="s">
        <v>21</v>
      </c>
      <c r="B22">
        <v>2012</v>
      </c>
      <c r="C22">
        <v>17</v>
      </c>
      <c r="D22">
        <v>-1.1092660558070799</v>
      </c>
      <c r="E22">
        <v>0.939162036358406</v>
      </c>
      <c r="F22">
        <v>-8.0521729029475006E-2</v>
      </c>
      <c r="G22" s="1">
        <f t="shared" si="2"/>
        <v>0.52255818677690968</v>
      </c>
      <c r="H22" s="1">
        <f t="shared" si="3"/>
        <v>1.0772812998062202</v>
      </c>
      <c r="I22" s="1">
        <f t="shared" si="4"/>
        <v>-7.4745314008475908E-2</v>
      </c>
      <c r="J22">
        <f t="shared" si="5"/>
        <v>0.97637795275590555</v>
      </c>
      <c r="K22">
        <f t="shared" si="6"/>
        <v>-7.2979676669693017E-2</v>
      </c>
      <c r="L22">
        <f t="shared" si="7"/>
        <v>0.4736128740866975</v>
      </c>
    </row>
    <row r="23" spans="1:12" x14ac:dyDescent="0.25">
      <c r="A23" t="s">
        <v>22</v>
      </c>
      <c r="B23">
        <v>2007</v>
      </c>
      <c r="C23">
        <v>19</v>
      </c>
      <c r="D23">
        <v>-0.105391255286019</v>
      </c>
      <c r="E23">
        <v>1.1109144363285299</v>
      </c>
      <c r="F23">
        <v>0.49973587191308899</v>
      </c>
      <c r="G23" s="1">
        <f t="shared" si="2"/>
        <v>0.31028206418738496</v>
      </c>
      <c r="H23" s="1">
        <f t="shared" si="3"/>
        <v>0.67624408089300592</v>
      </c>
      <c r="I23" s="1">
        <f t="shared" si="4"/>
        <v>0.73898742485578406</v>
      </c>
      <c r="J23">
        <f t="shared" si="5"/>
        <v>0.97902097902097907</v>
      </c>
      <c r="K23">
        <f t="shared" si="6"/>
        <v>0.72348419216650195</v>
      </c>
      <c r="L23">
        <f t="shared" si="7"/>
        <v>0.44920563275354752</v>
      </c>
    </row>
    <row r="24" spans="1:12" x14ac:dyDescent="0.25">
      <c r="A24" t="s">
        <v>23</v>
      </c>
      <c r="B24">
        <v>2010</v>
      </c>
      <c r="C24">
        <v>34</v>
      </c>
      <c r="D24">
        <v>-0.14848147093069899</v>
      </c>
      <c r="E24">
        <v>0.23580138674159901</v>
      </c>
      <c r="F24">
        <v>4.81736441655349E-2</v>
      </c>
      <c r="G24" s="1">
        <f t="shared" si="2"/>
        <v>9.8031341242933154E-2</v>
      </c>
      <c r="H24" s="1">
        <f t="shared" si="3"/>
        <v>0.28580801748735368</v>
      </c>
      <c r="I24" s="1">
        <f t="shared" si="4"/>
        <v>0.16855245905642402</v>
      </c>
      <c r="J24">
        <f t="shared" si="5"/>
        <v>0.98859315589353614</v>
      </c>
      <c r="K24">
        <f t="shared" si="6"/>
        <v>0.16662980743220626</v>
      </c>
      <c r="L24">
        <f t="shared" si="7"/>
        <v>0.33908465503461821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2025-12-30T13:18:08Z</dcterms:modified>
</cp:coreProperties>
</file>