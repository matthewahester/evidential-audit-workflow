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cermak2012\"/>
    </mc:Choice>
  </mc:AlternateContent>
  <xr:revisionPtr revIDLastSave="0" documentId="13_ncr:1_{7338A09B-8EA5-47AB-9A87-AEDB630C542E}" xr6:coauthVersionLast="47" xr6:coauthVersionMax="47" xr10:uidLastSave="{00000000-0000-0000-0000-000000000000}"/>
  <bookViews>
    <workbookView xWindow="38280" yWindow="2820" windowWidth="29040" windowHeight="16440" xr2:uid="{3799D76A-9E5B-4E6A-8E16-0E1E4CACFCB2}"/>
  </bookViews>
  <sheets>
    <sheet name="cermak_protein_f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J3" i="1"/>
  <c r="J4" i="1"/>
  <c r="J5" i="1"/>
  <c r="J6" i="1"/>
  <c r="J7" i="1"/>
  <c r="K7" i="1" s="1"/>
  <c r="J8" i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J16" i="1"/>
  <c r="J17" i="1"/>
  <c r="J18" i="1"/>
  <c r="K18" i="1" s="1"/>
  <c r="J19" i="1"/>
  <c r="J20" i="1"/>
  <c r="J21" i="1"/>
  <c r="K21" i="1" s="1"/>
  <c r="J22" i="1"/>
  <c r="K22" i="1" s="1"/>
  <c r="J23" i="1"/>
  <c r="K23" i="1" s="1"/>
  <c r="J2" i="1"/>
  <c r="K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M8" i="1"/>
  <c r="K3" i="1"/>
  <c r="K4" i="1"/>
  <c r="K5" i="1"/>
  <c r="M5" i="1" s="1"/>
  <c r="K6" i="1"/>
  <c r="M6" i="1" s="1"/>
  <c r="K8" i="1"/>
  <c r="K15" i="1"/>
  <c r="M15" i="1" s="1"/>
  <c r="K16" i="1"/>
  <c r="M16" i="1" s="1"/>
  <c r="K17" i="1"/>
  <c r="M17" i="1" s="1"/>
  <c r="K19" i="1"/>
  <c r="K20" i="1"/>
  <c r="M20" i="1" s="1"/>
  <c r="M18" i="1" l="1"/>
  <c r="M11" i="1"/>
  <c r="M4" i="1"/>
  <c r="M19" i="1"/>
  <c r="M7" i="1"/>
  <c r="M13" i="1"/>
  <c r="M9" i="1"/>
  <c r="M14" i="1"/>
  <c r="M23" i="1"/>
  <c r="M10" i="1"/>
  <c r="M22" i="1"/>
  <c r="M12" i="1"/>
  <c r="M21" i="1"/>
  <c r="M3" i="1"/>
  <c r="M2" i="1"/>
</calcChain>
</file>

<file path=xl/sharedStrings.xml><?xml version="1.0" encoding="utf-8"?>
<sst xmlns="http://schemas.openxmlformats.org/spreadsheetml/2006/main" count="58" uniqueCount="38">
  <si>
    <t>Author</t>
  </si>
  <si>
    <t>Year</t>
  </si>
  <si>
    <t>ES</t>
  </si>
  <si>
    <t>CI_upper</t>
  </si>
  <si>
    <t>CI_lower</t>
  </si>
  <si>
    <t>Age</t>
  </si>
  <si>
    <t>SE</t>
  </si>
  <si>
    <t>n_control</t>
  </si>
  <si>
    <t>n_treatment</t>
  </si>
  <si>
    <t>pooled_sd</t>
  </si>
  <si>
    <t>Antonio</t>
  </si>
  <si>
    <t>Younger</t>
  </si>
  <si>
    <t>Ballard</t>
  </si>
  <si>
    <t>Bird 2006a</t>
  </si>
  <si>
    <t>Bird 2006b</t>
  </si>
  <si>
    <t>Cribb</t>
  </si>
  <si>
    <t>Hartman</t>
  </si>
  <si>
    <t>Hoffman 2007</t>
  </si>
  <si>
    <t>Hoffman 2009</t>
  </si>
  <si>
    <t>Josse</t>
  </si>
  <si>
    <t>Kerksick</t>
  </si>
  <si>
    <t>Mielke</t>
  </si>
  <si>
    <t>Rozenek</t>
  </si>
  <si>
    <t>Walberg</t>
  </si>
  <si>
    <t>Walker</t>
  </si>
  <si>
    <t>White</t>
  </si>
  <si>
    <t>Willoughby</t>
  </si>
  <si>
    <t>Bemben</t>
  </si>
  <si>
    <t>Older</t>
  </si>
  <si>
    <t>Campbell</t>
  </si>
  <si>
    <t>Holm</t>
  </si>
  <si>
    <t>Iglay</t>
  </si>
  <si>
    <t>Kukuljan</t>
  </si>
  <si>
    <t>Verdijk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</si>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</sst>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2D48-0DA5-4B45-B78D-AC592455B729}">
  <dimension ref="A1:N23"/>
  <sheetViews>
    <sheetView tabSelected="1" workbookViewId="0">
      <selection activeCell="K14" sqref="K1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5">
      <c r="A2" t="s">
        <v>10</v>
      </c>
      <c r="B2">
        <v>2000</v>
      </c>
      <c r="C2" t="s">
        <v>11</v>
      </c>
      <c r="D2">
        <v>0.49</v>
      </c>
      <c r="E2">
        <v>1.44</v>
      </c>
      <c r="F2">
        <v>-0.47</v>
      </c>
      <c r="G2">
        <v>0.48724489799999998</v>
      </c>
      <c r="H2">
        <v>9</v>
      </c>
      <c r="I2">
        <v>10</v>
      </c>
      <c r="J2">
        <f>G2/SQRT(1/H2+1/I2)</f>
        <v>1.0604538044588252</v>
      </c>
      <c r="K2">
        <f>D2/J2</f>
        <v>0.4620663323001219</v>
      </c>
      <c r="L2">
        <f t="shared" ref="L2:L23" si="0">1-3/(4*(H2+I2-2)-1)</f>
        <v>0.95522388059701491</v>
      </c>
      <c r="M2">
        <f t="shared" ref="M2:M23" si="1">L2*K2</f>
        <v>0.44137679503295224</v>
      </c>
      <c r="N2">
        <f>L2*G2/J2</f>
        <v>0.43889508464366878</v>
      </c>
    </row>
    <row r="3" spans="1:14" x14ac:dyDescent="0.25">
      <c r="A3" t="s">
        <v>12</v>
      </c>
      <c r="B3">
        <v>2006</v>
      </c>
      <c r="C3" t="s">
        <v>11</v>
      </c>
      <c r="D3">
        <v>1.89</v>
      </c>
      <c r="E3">
        <v>3.89</v>
      </c>
      <c r="F3">
        <v>-0.11</v>
      </c>
      <c r="G3">
        <v>1.0204081629999999</v>
      </c>
      <c r="H3">
        <v>21</v>
      </c>
      <c r="I3">
        <v>29</v>
      </c>
      <c r="J3">
        <f t="shared" ref="J3:J23" si="2">G3/SQRT(1/H3+1/I3)</f>
        <v>3.5612098698118704</v>
      </c>
      <c r="K3">
        <f t="shared" ref="K3:K23" si="3">D3/J3</f>
        <v>0.53071851115021307</v>
      </c>
      <c r="L3">
        <f t="shared" si="0"/>
        <v>0.98429319371727753</v>
      </c>
      <c r="M3">
        <f t="shared" si="1"/>
        <v>0.52238261830492183</v>
      </c>
      <c r="N3">
        <f>L3*G3/J3</f>
        <v>0.28203359149611396</v>
      </c>
    </row>
    <row r="4" spans="1:14" x14ac:dyDescent="0.25">
      <c r="A4" t="s">
        <v>13</v>
      </c>
      <c r="B4">
        <v>2006</v>
      </c>
      <c r="C4" t="s">
        <v>11</v>
      </c>
      <c r="D4">
        <v>1.19</v>
      </c>
      <c r="E4">
        <v>2.58</v>
      </c>
      <c r="F4">
        <v>-0.21</v>
      </c>
      <c r="G4">
        <v>0.711734694</v>
      </c>
      <c r="H4">
        <v>8</v>
      </c>
      <c r="I4">
        <v>8</v>
      </c>
      <c r="J4">
        <f t="shared" si="2"/>
        <v>1.423469388</v>
      </c>
      <c r="K4">
        <f t="shared" si="3"/>
        <v>0.83598566293861176</v>
      </c>
      <c r="L4">
        <f t="shared" si="0"/>
        <v>0.94545454545454544</v>
      </c>
      <c r="M4">
        <f t="shared" si="1"/>
        <v>0.79038644496014199</v>
      </c>
      <c r="N4">
        <f>L4*G4/J4</f>
        <v>0.47272727272727272</v>
      </c>
    </row>
    <row r="5" spans="1:14" x14ac:dyDescent="0.25">
      <c r="A5" t="s">
        <v>14</v>
      </c>
      <c r="B5">
        <v>2006</v>
      </c>
      <c r="C5" t="s">
        <v>11</v>
      </c>
      <c r="D5">
        <v>1.17</v>
      </c>
      <c r="E5">
        <v>2.5299999999999998</v>
      </c>
      <c r="F5">
        <v>-0.2</v>
      </c>
      <c r="G5">
        <v>0.696428571</v>
      </c>
      <c r="H5">
        <v>8</v>
      </c>
      <c r="I5">
        <v>8</v>
      </c>
      <c r="J5">
        <f t="shared" si="2"/>
        <v>1.392857142</v>
      </c>
      <c r="K5">
        <f t="shared" si="3"/>
        <v>0.84000000051692303</v>
      </c>
      <c r="L5">
        <f t="shared" si="0"/>
        <v>0.94545454545454544</v>
      </c>
      <c r="M5">
        <f t="shared" si="1"/>
        <v>0.79418181867054538</v>
      </c>
      <c r="N5">
        <f>L5*G5/J5</f>
        <v>0.47272727272727272</v>
      </c>
    </row>
    <row r="6" spans="1:14" x14ac:dyDescent="0.25">
      <c r="A6" t="s">
        <v>15</v>
      </c>
      <c r="B6">
        <v>2007</v>
      </c>
      <c r="C6" t="s">
        <v>11</v>
      </c>
      <c r="D6">
        <v>1.48</v>
      </c>
      <c r="E6">
        <v>2.62</v>
      </c>
      <c r="F6">
        <v>0.34</v>
      </c>
      <c r="G6">
        <v>0.581632653</v>
      </c>
      <c r="H6">
        <v>7</v>
      </c>
      <c r="I6">
        <v>5</v>
      </c>
      <c r="J6">
        <f t="shared" si="2"/>
        <v>0.99332685986091052</v>
      </c>
      <c r="K6">
        <f t="shared" si="3"/>
        <v>1.4899425957405756</v>
      </c>
      <c r="L6">
        <f t="shared" si="0"/>
        <v>0.92307692307692313</v>
      </c>
      <c r="M6">
        <f t="shared" si="1"/>
        <v>1.3753316268374545</v>
      </c>
      <c r="N6">
        <f>L6*G6/J6</f>
        <v>0.54049850194072602</v>
      </c>
    </row>
    <row r="7" spans="1:14" x14ac:dyDescent="0.25">
      <c r="A7" t="s">
        <v>16</v>
      </c>
      <c r="B7">
        <v>2007</v>
      </c>
      <c r="C7" t="s">
        <v>11</v>
      </c>
      <c r="D7">
        <v>0.89</v>
      </c>
      <c r="E7">
        <v>2.1</v>
      </c>
      <c r="F7">
        <v>-0.32</v>
      </c>
      <c r="G7">
        <v>0.61734693900000004</v>
      </c>
      <c r="H7">
        <v>19</v>
      </c>
      <c r="I7">
        <v>37</v>
      </c>
      <c r="J7">
        <f t="shared" si="2"/>
        <v>2.1873231434390417</v>
      </c>
      <c r="K7">
        <f t="shared" si="3"/>
        <v>0.40689003939339674</v>
      </c>
      <c r="L7">
        <f t="shared" si="0"/>
        <v>0.98604651162790702</v>
      </c>
      <c r="M7">
        <f t="shared" si="1"/>
        <v>0.40121250396000052</v>
      </c>
      <c r="N7">
        <f>L7*G7/J7</f>
        <v>0.27830034967217043</v>
      </c>
    </row>
    <row r="8" spans="1:14" x14ac:dyDescent="0.25">
      <c r="A8" t="s">
        <v>17</v>
      </c>
      <c r="B8">
        <v>2007</v>
      </c>
      <c r="C8" t="s">
        <v>11</v>
      </c>
      <c r="D8">
        <v>1.29</v>
      </c>
      <c r="E8">
        <v>2.7</v>
      </c>
      <c r="F8">
        <v>-0.13</v>
      </c>
      <c r="G8">
        <v>0.721938776</v>
      </c>
      <c r="H8">
        <v>10</v>
      </c>
      <c r="I8">
        <v>11</v>
      </c>
      <c r="J8">
        <f t="shared" si="2"/>
        <v>1.6522930039963597</v>
      </c>
      <c r="K8">
        <f t="shared" si="3"/>
        <v>0.78073319736869273</v>
      </c>
      <c r="L8">
        <f t="shared" si="0"/>
        <v>0.96</v>
      </c>
      <c r="M8">
        <f t="shared" si="1"/>
        <v>0.74950386947394498</v>
      </c>
      <c r="N8">
        <f>L8*G8/J8</f>
        <v>0.41945419080254542</v>
      </c>
    </row>
    <row r="9" spans="1:14" x14ac:dyDescent="0.25">
      <c r="A9" t="s">
        <v>18</v>
      </c>
      <c r="B9">
        <v>2009</v>
      </c>
      <c r="C9" t="s">
        <v>11</v>
      </c>
      <c r="D9">
        <v>1.24</v>
      </c>
      <c r="E9">
        <v>3.9</v>
      </c>
      <c r="F9">
        <v>-1.43</v>
      </c>
      <c r="G9">
        <v>1.3596938780000001</v>
      </c>
      <c r="H9">
        <v>7</v>
      </c>
      <c r="I9">
        <v>26</v>
      </c>
      <c r="J9">
        <f t="shared" si="2"/>
        <v>3.1931540141677894</v>
      </c>
      <c r="K9">
        <f t="shared" si="3"/>
        <v>0.38833078345053551</v>
      </c>
      <c r="L9">
        <f t="shared" si="0"/>
        <v>0.97560975609756095</v>
      </c>
      <c r="M9">
        <f t="shared" si="1"/>
        <v>0.37885930092735171</v>
      </c>
      <c r="N9">
        <f>L9*G9/J9</f>
        <v>0.41542957426958049</v>
      </c>
    </row>
    <row r="10" spans="1:14" x14ac:dyDescent="0.25">
      <c r="A10" t="s">
        <v>19</v>
      </c>
      <c r="B10">
        <v>2010</v>
      </c>
      <c r="C10" t="s">
        <v>11</v>
      </c>
      <c r="D10">
        <v>0.79</v>
      </c>
      <c r="E10">
        <v>1.27</v>
      </c>
      <c r="F10">
        <v>0.3</v>
      </c>
      <c r="G10">
        <v>0.24744898000000001</v>
      </c>
      <c r="H10">
        <v>10</v>
      </c>
      <c r="I10">
        <v>10</v>
      </c>
      <c r="J10">
        <f t="shared" si="2"/>
        <v>0.55331274024298593</v>
      </c>
      <c r="K10">
        <f t="shared" si="3"/>
        <v>1.4277639796493271</v>
      </c>
      <c r="L10">
        <f t="shared" si="0"/>
        <v>0.95774647887323949</v>
      </c>
      <c r="M10">
        <f t="shared" si="1"/>
        <v>1.3674359241711866</v>
      </c>
      <c r="N10">
        <f>L10*G10/J10</f>
        <v>0.42831724639432595</v>
      </c>
    </row>
    <row r="11" spans="1:14" x14ac:dyDescent="0.25">
      <c r="A11" t="s">
        <v>20</v>
      </c>
      <c r="B11">
        <v>2006</v>
      </c>
      <c r="C11" t="s">
        <v>11</v>
      </c>
      <c r="D11">
        <v>0.49</v>
      </c>
      <c r="E11">
        <v>2.04</v>
      </c>
      <c r="F11">
        <v>-1.07</v>
      </c>
      <c r="G11">
        <v>0.793367347</v>
      </c>
      <c r="H11">
        <v>11</v>
      </c>
      <c r="I11">
        <v>25</v>
      </c>
      <c r="J11">
        <f t="shared" si="2"/>
        <v>2.1927515090989123</v>
      </c>
      <c r="K11">
        <f t="shared" si="3"/>
        <v>0.22346353335830571</v>
      </c>
      <c r="L11">
        <f t="shared" si="0"/>
        <v>0.97777777777777775</v>
      </c>
      <c r="M11">
        <f t="shared" si="1"/>
        <v>0.21849767706145445</v>
      </c>
      <c r="N11">
        <f>L11*G11/J11</f>
        <v>0.35377331097124265</v>
      </c>
    </row>
    <row r="12" spans="1:14" x14ac:dyDescent="0.25">
      <c r="A12" t="s">
        <v>21</v>
      </c>
      <c r="B12">
        <v>2009</v>
      </c>
      <c r="C12" t="s">
        <v>11</v>
      </c>
      <c r="D12">
        <v>0.6</v>
      </c>
      <c r="E12">
        <v>4.4000000000000004</v>
      </c>
      <c r="F12">
        <v>-3.22</v>
      </c>
      <c r="G12">
        <v>1.9438775509999999</v>
      </c>
      <c r="H12">
        <v>13</v>
      </c>
      <c r="I12">
        <v>13</v>
      </c>
      <c r="J12">
        <f t="shared" si="2"/>
        <v>4.9559347822919761</v>
      </c>
      <c r="K12">
        <f t="shared" si="3"/>
        <v>0.12106696846452797</v>
      </c>
      <c r="L12">
        <f t="shared" si="0"/>
        <v>0.96842105263157896</v>
      </c>
      <c r="M12">
        <f t="shared" si="1"/>
        <v>0.11724380103933235</v>
      </c>
      <c r="N12">
        <f>L12*G12/J12</f>
        <v>0.37984598805711439</v>
      </c>
    </row>
    <row r="13" spans="1:14" x14ac:dyDescent="0.25">
      <c r="A13" t="s">
        <v>22</v>
      </c>
      <c r="B13">
        <v>2002</v>
      </c>
      <c r="C13" t="s">
        <v>11</v>
      </c>
      <c r="D13">
        <v>-0.61</v>
      </c>
      <c r="E13">
        <v>0.85</v>
      </c>
      <c r="F13">
        <v>-2.08</v>
      </c>
      <c r="G13">
        <v>0.74744898000000004</v>
      </c>
      <c r="H13">
        <v>25</v>
      </c>
      <c r="I13">
        <v>26</v>
      </c>
      <c r="J13">
        <f t="shared" si="2"/>
        <v>2.6684135902015047</v>
      </c>
      <c r="K13">
        <f t="shared" si="3"/>
        <v>-0.22860024481959559</v>
      </c>
      <c r="L13">
        <f t="shared" si="0"/>
        <v>0.98461538461538467</v>
      </c>
      <c r="M13">
        <f t="shared" si="1"/>
        <v>-0.22508331797621722</v>
      </c>
      <c r="N13">
        <f>L13*G13/J13</f>
        <v>0.27580048596121182</v>
      </c>
    </row>
    <row r="14" spans="1:14" x14ac:dyDescent="0.25">
      <c r="A14" t="s">
        <v>23</v>
      </c>
      <c r="B14">
        <v>2004</v>
      </c>
      <c r="C14" t="s">
        <v>11</v>
      </c>
      <c r="D14">
        <v>0.79</v>
      </c>
      <c r="E14">
        <v>2.04</v>
      </c>
      <c r="F14">
        <v>-0.47</v>
      </c>
      <c r="G14">
        <v>0.64030612200000003</v>
      </c>
      <c r="H14">
        <v>9</v>
      </c>
      <c r="I14">
        <v>10</v>
      </c>
      <c r="J14">
        <f t="shared" si="2"/>
        <v>1.3935806529331309</v>
      </c>
      <c r="K14">
        <f t="shared" si="3"/>
        <v>0.56688502264813456</v>
      </c>
      <c r="L14">
        <f t="shared" si="0"/>
        <v>0.95522388059701491</v>
      </c>
      <c r="M14">
        <f t="shared" si="1"/>
        <v>0.54150211118627778</v>
      </c>
      <c r="N14">
        <f>L14*G14/J14</f>
        <v>0.43889508464366878</v>
      </c>
    </row>
    <row r="15" spans="1:14" x14ac:dyDescent="0.25">
      <c r="A15" t="s">
        <v>24</v>
      </c>
      <c r="B15">
        <v>2010</v>
      </c>
      <c r="C15" t="s">
        <v>11</v>
      </c>
      <c r="D15">
        <v>0.7</v>
      </c>
      <c r="E15">
        <v>1.44</v>
      </c>
      <c r="F15">
        <v>-0.06</v>
      </c>
      <c r="G15">
        <v>0.38265306100000002</v>
      </c>
      <c r="H15">
        <v>12</v>
      </c>
      <c r="I15">
        <v>18</v>
      </c>
      <c r="J15">
        <f t="shared" si="2"/>
        <v>1.0267659074332485</v>
      </c>
      <c r="K15">
        <f t="shared" si="3"/>
        <v>0.68175228153989709</v>
      </c>
      <c r="L15">
        <f t="shared" si="0"/>
        <v>0.97297297297297303</v>
      </c>
      <c r="M15">
        <f t="shared" si="1"/>
        <v>0.66332654420098103</v>
      </c>
      <c r="N15">
        <f>L15*G15/J15</f>
        <v>0.36260561797293883</v>
      </c>
    </row>
    <row r="16" spans="1:14" x14ac:dyDescent="0.25">
      <c r="A16" t="s">
        <v>25</v>
      </c>
      <c r="B16">
        <v>2009</v>
      </c>
      <c r="C16" t="s">
        <v>11</v>
      </c>
      <c r="D16">
        <v>-0.16</v>
      </c>
      <c r="E16">
        <v>1.1100000000000001</v>
      </c>
      <c r="F16">
        <v>-1.43</v>
      </c>
      <c r="G16">
        <v>0.64795918399999997</v>
      </c>
      <c r="H16">
        <v>10</v>
      </c>
      <c r="I16">
        <v>10</v>
      </c>
      <c r="J16">
        <f t="shared" si="2"/>
        <v>1.4488807820692942</v>
      </c>
      <c r="K16">
        <f t="shared" si="3"/>
        <v>-0.1104300657307965</v>
      </c>
      <c r="L16">
        <f t="shared" si="0"/>
        <v>0.95774647887323949</v>
      </c>
      <c r="M16">
        <f t="shared" si="1"/>
        <v>-0.10576400661541074</v>
      </c>
      <c r="N16">
        <f>L16*G16/J16</f>
        <v>0.42831724639432589</v>
      </c>
    </row>
    <row r="17" spans="1:14" x14ac:dyDescent="0.25">
      <c r="A17" t="s">
        <v>26</v>
      </c>
      <c r="B17">
        <v>2007</v>
      </c>
      <c r="C17" t="s">
        <v>11</v>
      </c>
      <c r="D17">
        <v>2.92</v>
      </c>
      <c r="E17">
        <v>5.32</v>
      </c>
      <c r="F17">
        <v>0.5</v>
      </c>
      <c r="G17">
        <v>1.2295918370000001</v>
      </c>
      <c r="H17">
        <v>9</v>
      </c>
      <c r="I17">
        <v>10</v>
      </c>
      <c r="J17">
        <f t="shared" si="2"/>
        <v>2.6761190252179223</v>
      </c>
      <c r="K17">
        <f t="shared" si="3"/>
        <v>1.0911323347294757</v>
      </c>
      <c r="L17">
        <f t="shared" si="0"/>
        <v>0.95522388059701491</v>
      </c>
      <c r="M17">
        <f t="shared" si="1"/>
        <v>1.0422756630251708</v>
      </c>
      <c r="N17">
        <f>L17*G17/J17</f>
        <v>0.43889508464366872</v>
      </c>
    </row>
    <row r="18" spans="1:14" x14ac:dyDescent="0.25">
      <c r="A18" t="s">
        <v>27</v>
      </c>
      <c r="B18">
        <v>2010</v>
      </c>
      <c r="C18" t="s">
        <v>28</v>
      </c>
      <c r="D18">
        <v>-0.6</v>
      </c>
      <c r="E18">
        <v>1.06</v>
      </c>
      <c r="F18">
        <v>-2.27</v>
      </c>
      <c r="G18">
        <v>0.84948979599999996</v>
      </c>
      <c r="H18">
        <v>10</v>
      </c>
      <c r="I18">
        <v>11</v>
      </c>
      <c r="J18">
        <f t="shared" si="2"/>
        <v>1.9442175618741036</v>
      </c>
      <c r="K18">
        <f t="shared" si="3"/>
        <v>-0.3086074376478925</v>
      </c>
      <c r="L18">
        <f t="shared" si="0"/>
        <v>0.96</v>
      </c>
      <c r="M18">
        <f t="shared" si="1"/>
        <v>-0.2962631401419768</v>
      </c>
      <c r="N18">
        <f>L18*G18/J18</f>
        <v>0.41945419080254548</v>
      </c>
    </row>
    <row r="19" spans="1:14" x14ac:dyDescent="0.25">
      <c r="A19" t="s">
        <v>29</v>
      </c>
      <c r="B19">
        <v>1995</v>
      </c>
      <c r="C19" t="s">
        <v>28</v>
      </c>
      <c r="D19">
        <v>0.8</v>
      </c>
      <c r="E19">
        <v>3.59</v>
      </c>
      <c r="F19">
        <v>-2</v>
      </c>
      <c r="G19">
        <v>1.4260204080000001</v>
      </c>
      <c r="H19">
        <v>6</v>
      </c>
      <c r="I19">
        <v>6</v>
      </c>
      <c r="J19">
        <f t="shared" si="2"/>
        <v>2.4699397992861001</v>
      </c>
      <c r="K19">
        <f t="shared" si="3"/>
        <v>0.32389453387942019</v>
      </c>
      <c r="L19">
        <f t="shared" si="0"/>
        <v>0.92307692307692313</v>
      </c>
      <c r="M19">
        <f t="shared" si="1"/>
        <v>0.2989795697348494</v>
      </c>
      <c r="N19">
        <f>L19*G19/J19</f>
        <v>0.53293871002119297</v>
      </c>
    </row>
    <row r="20" spans="1:14" x14ac:dyDescent="0.25">
      <c r="A20" t="s">
        <v>30</v>
      </c>
      <c r="B20">
        <v>2008</v>
      </c>
      <c r="C20" t="s">
        <v>28</v>
      </c>
      <c r="D20">
        <v>0.27</v>
      </c>
      <c r="E20">
        <v>1.18</v>
      </c>
      <c r="F20">
        <v>-0.65</v>
      </c>
      <c r="G20">
        <v>0.466836735</v>
      </c>
      <c r="H20">
        <v>16</v>
      </c>
      <c r="I20">
        <v>13</v>
      </c>
      <c r="J20">
        <f t="shared" si="2"/>
        <v>1.2502523845381384</v>
      </c>
      <c r="K20">
        <f t="shared" si="3"/>
        <v>0.21595639675563746</v>
      </c>
      <c r="L20">
        <f t="shared" si="0"/>
        <v>0.9719626168224299</v>
      </c>
      <c r="M20">
        <f t="shared" si="1"/>
        <v>0.2099015445101523</v>
      </c>
      <c r="N20">
        <f>L20*G20/J20</f>
        <v>0.36292500633546915</v>
      </c>
    </row>
    <row r="21" spans="1:14" x14ac:dyDescent="0.25">
      <c r="A21" t="s">
        <v>31</v>
      </c>
      <c r="B21">
        <v>2009</v>
      </c>
      <c r="C21" t="s">
        <v>28</v>
      </c>
      <c r="D21">
        <v>0.7</v>
      </c>
      <c r="E21">
        <v>1.49</v>
      </c>
      <c r="F21">
        <v>-0.09</v>
      </c>
      <c r="G21">
        <v>0.403061224</v>
      </c>
      <c r="H21">
        <v>18</v>
      </c>
      <c r="I21">
        <v>18</v>
      </c>
      <c r="J21">
        <f t="shared" si="2"/>
        <v>1.209183672</v>
      </c>
      <c r="K21">
        <f t="shared" si="3"/>
        <v>0.57890295428997485</v>
      </c>
      <c r="L21">
        <f t="shared" si="0"/>
        <v>0.97777777777777775</v>
      </c>
      <c r="M21">
        <f t="shared" si="1"/>
        <v>0.566038444194642</v>
      </c>
      <c r="N21">
        <f>L21*G21/J21</f>
        <v>0.32592592592592595</v>
      </c>
    </row>
    <row r="22" spans="1:14" x14ac:dyDescent="0.25">
      <c r="A22" t="s">
        <v>32</v>
      </c>
      <c r="B22">
        <v>2009</v>
      </c>
      <c r="C22" t="s">
        <v>28</v>
      </c>
      <c r="D22">
        <v>0.69</v>
      </c>
      <c r="E22">
        <v>1.29</v>
      </c>
      <c r="F22">
        <v>0.1</v>
      </c>
      <c r="G22">
        <v>0.303571429</v>
      </c>
      <c r="H22">
        <v>46</v>
      </c>
      <c r="I22">
        <v>45</v>
      </c>
      <c r="J22">
        <f t="shared" si="2"/>
        <v>1.4478560044878228</v>
      </c>
      <c r="K22">
        <f t="shared" si="3"/>
        <v>0.47656672891589558</v>
      </c>
      <c r="L22">
        <f t="shared" si="0"/>
        <v>0.9915492957746479</v>
      </c>
      <c r="M22">
        <f t="shared" si="1"/>
        <v>0.47253940444618381</v>
      </c>
      <c r="N22">
        <f>L22*G22/J22</f>
        <v>0.20789777140077823</v>
      </c>
    </row>
    <row r="23" spans="1:14" x14ac:dyDescent="0.25">
      <c r="A23" t="s">
        <v>33</v>
      </c>
      <c r="B23">
        <v>2009</v>
      </c>
      <c r="C23" t="s">
        <v>28</v>
      </c>
      <c r="D23">
        <v>0.1</v>
      </c>
      <c r="E23">
        <v>1.07</v>
      </c>
      <c r="F23">
        <v>-0.88</v>
      </c>
      <c r="G23">
        <v>0.49744897999999999</v>
      </c>
      <c r="H23">
        <v>13</v>
      </c>
      <c r="I23">
        <v>13</v>
      </c>
      <c r="J23">
        <f t="shared" si="2"/>
        <v>1.2682510280184134</v>
      </c>
      <c r="K23">
        <f t="shared" si="3"/>
        <v>7.8848743498552976E-2</v>
      </c>
      <c r="L23">
        <f t="shared" si="0"/>
        <v>0.96842105263157896</v>
      </c>
      <c r="M23">
        <f t="shared" si="1"/>
        <v>7.6358783177546047E-2</v>
      </c>
      <c r="N23">
        <f>L23*G23/J23</f>
        <v>0.37984598805711434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cermak_protein_ffm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2025-10-11T01:49:23Z</dcterms:created>
  <dcterms:modified xsi:type="dcterms:W3CDTF">2025-12-30T12:55:57Z</dcterms:modified>
</cp:coreProperties>
</file>