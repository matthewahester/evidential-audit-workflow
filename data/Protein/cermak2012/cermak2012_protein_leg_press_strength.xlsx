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cermak2012\"/>
    </mc:Choice>
  </mc:AlternateContent>
  <xr:revisionPtr revIDLastSave="0" documentId="13_ncr:1_{0C656966-AF8F-4F12-8A20-EFAADA018DA8}" xr6:coauthVersionLast="47" xr6:coauthVersionMax="47" xr10:uidLastSave="{00000000-0000-0000-0000-000000000000}"/>
  <bookViews>
    <workbookView xWindow="38280" yWindow="2820" windowWidth="29040" windowHeight="16440" xr2:uid="{D97D8D12-1F38-4EAA-8459-9A7F9F45F302}"/>
  </bookViews>
  <sheets>
    <sheet name="cermak_protein_1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2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M13" i="1" l="1"/>
  <c r="M14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<sst xmlns="http://schemas.openxmlformats.org/spreadsheetml/2006/main" count="40" uniqueCount="28">
  <si>
    <t>Author</t>
  </si>
  <si>
    <t>Year</t>
  </si>
  <si>
    <t>Group</t>
  </si>
  <si>
    <t>ES</t>
  </si>
  <si>
    <t>CI_lower</t>
  </si>
  <si>
    <t>CI_upper</t>
  </si>
  <si>
    <t>SE</t>
  </si>
  <si>
    <t>n_control</t>
  </si>
  <si>
    <t>n_treatment</t>
  </si>
  <si>
    <t>pooled_sd</t>
  </si>
  <si>
    <t>Bird</t>
  </si>
  <si>
    <t>Younger</t>
  </si>
  <si>
    <t>Hartman</t>
  </si>
  <si>
    <t>Hulmi</t>
  </si>
  <si>
    <t>Josse</t>
  </si>
  <si>
    <t>Kerksick</t>
  </si>
  <si>
    <t>Rozenek</t>
  </si>
  <si>
    <t>Walberg</t>
  </si>
  <si>
    <t>White</t>
  </si>
  <si>
    <t>Willoughby</t>
  </si>
  <si>
    <t>Bemben</t>
  </si>
  <si>
    <t>Older</t>
  </si>
  <si>
    <t>Iglay</t>
  </si>
  <si>
    <t>Verdijk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</si>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</sst>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EA27-C571-4BBC-B722-B15FBE13C963}">
  <dimension ref="A1:N14"/>
  <sheetViews>
    <sheetView tabSelected="1" topLeftCell="C1" workbookViewId="0">
      <selection activeCell="L8" sqref="L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 t="s">
        <v>10</v>
      </c>
      <c r="B2">
        <v>2006</v>
      </c>
      <c r="C2" t="s">
        <v>11</v>
      </c>
      <c r="D2">
        <v>24.352894339999999</v>
      </c>
      <c r="E2">
        <v>-23.015304669999999</v>
      </c>
      <c r="F2">
        <v>71.411495160000001</v>
      </c>
      <c r="G2">
        <v>24.0885</v>
      </c>
      <c r="H2">
        <v>8</v>
      </c>
      <c r="I2">
        <v>8</v>
      </c>
      <c r="J2">
        <f>G2/SQRT(1/H2+1/I2)</f>
        <v>48.177</v>
      </c>
      <c r="K2">
        <f>D2/J2</f>
        <v>0.50548797849596283</v>
      </c>
      <c r="L2">
        <f t="shared" ref="L2:L14" si="0">1-3/(4*(H2+I2-2)-1)</f>
        <v>0.94545454545454544</v>
      </c>
      <c r="M2">
        <f t="shared" ref="M2:M14" si="1">L2*K2</f>
        <v>0.4779159069416376</v>
      </c>
      <c r="N2">
        <f>L2*G2/J2</f>
        <v>0.47272727272727272</v>
      </c>
    </row>
    <row r="3" spans="1:14" x14ac:dyDescent="0.25">
      <c r="A3" t="s">
        <v>10</v>
      </c>
      <c r="B3">
        <v>2006</v>
      </c>
      <c r="C3" t="s">
        <v>11</v>
      </c>
      <c r="D3">
        <v>23.413065870000001</v>
      </c>
      <c r="E3">
        <v>-11.88047909</v>
      </c>
      <c r="F3">
        <v>58.397337149999998</v>
      </c>
      <c r="G3">
        <v>17.928000000000001</v>
      </c>
      <c r="H3">
        <v>8</v>
      </c>
      <c r="I3">
        <v>8</v>
      </c>
      <c r="J3">
        <f t="shared" ref="J3:J14" si="2">G3/SQRT(1/H3+1/I3)</f>
        <v>35.856000000000002</v>
      </c>
      <c r="K3">
        <f t="shared" ref="K3:K14" si="3">D3/J3</f>
        <v>0.65297484019410978</v>
      </c>
      <c r="L3">
        <f t="shared" si="0"/>
        <v>0.94545454545454544</v>
      </c>
      <c r="M3">
        <f t="shared" si="1"/>
        <v>0.61735803072897655</v>
      </c>
      <c r="N3">
        <f>L3*G3/J3</f>
        <v>0.47272727272727272</v>
      </c>
    </row>
    <row r="4" spans="1:14" x14ac:dyDescent="0.25">
      <c r="A4" t="s">
        <v>12</v>
      </c>
      <c r="B4">
        <v>2007</v>
      </c>
      <c r="C4" t="s">
        <v>11</v>
      </c>
      <c r="D4">
        <v>17.210717160000002</v>
      </c>
      <c r="E4">
        <v>-25.050085240000001</v>
      </c>
      <c r="F4">
        <v>59.469896929999997</v>
      </c>
      <c r="G4">
        <v>21.561199999999999</v>
      </c>
      <c r="H4">
        <v>19</v>
      </c>
      <c r="I4">
        <v>37</v>
      </c>
      <c r="J4">
        <f t="shared" si="2"/>
        <v>76.393529765793261</v>
      </c>
      <c r="K4">
        <f t="shared" si="3"/>
        <v>0.22529024660549782</v>
      </c>
      <c r="L4">
        <f t="shared" si="0"/>
        <v>0.98604651162790702</v>
      </c>
      <c r="M4">
        <f t="shared" si="1"/>
        <v>0.22214666176914205</v>
      </c>
      <c r="N4">
        <f>L4*G4/J4</f>
        <v>0.27830034967217049</v>
      </c>
    </row>
    <row r="5" spans="1:14" x14ac:dyDescent="0.25">
      <c r="A5" t="s">
        <v>13</v>
      </c>
      <c r="B5">
        <v>2009</v>
      </c>
      <c r="C5" t="s">
        <v>11</v>
      </c>
      <c r="D5">
        <v>1.099603645</v>
      </c>
      <c r="E5">
        <v>-16.85741608</v>
      </c>
      <c r="F5">
        <v>19.211097939999998</v>
      </c>
      <c r="G5">
        <v>9.2012</v>
      </c>
      <c r="H5">
        <v>10</v>
      </c>
      <c r="I5">
        <v>11</v>
      </c>
      <c r="J5">
        <f t="shared" si="2"/>
        <v>21.05868100423422</v>
      </c>
      <c r="K5">
        <f t="shared" si="3"/>
        <v>5.221616894139311E-2</v>
      </c>
      <c r="L5">
        <f t="shared" si="0"/>
        <v>0.96</v>
      </c>
      <c r="M5">
        <f t="shared" si="1"/>
        <v>5.012752218373738E-2</v>
      </c>
      <c r="N5">
        <f>L5*G5/J5</f>
        <v>0.41945419080254548</v>
      </c>
    </row>
    <row r="6" spans="1:14" x14ac:dyDescent="0.25">
      <c r="A6" t="s">
        <v>14</v>
      </c>
      <c r="B6">
        <v>2010</v>
      </c>
      <c r="C6" t="s">
        <v>11</v>
      </c>
      <c r="D6">
        <v>29.26232984</v>
      </c>
      <c r="E6">
        <v>5.7325426430000004</v>
      </c>
      <c r="F6">
        <v>52.637317940000003</v>
      </c>
      <c r="G6">
        <v>11.9655</v>
      </c>
      <c r="H6">
        <v>10</v>
      </c>
      <c r="I6">
        <v>10</v>
      </c>
      <c r="J6">
        <f t="shared" si="2"/>
        <v>26.755671384773734</v>
      </c>
      <c r="K6">
        <f t="shared" si="3"/>
        <v>1.0936869951487282</v>
      </c>
      <c r="L6">
        <f t="shared" si="0"/>
        <v>0.95774647887323949</v>
      </c>
      <c r="M6">
        <f t="shared" si="1"/>
        <v>1.0474748685931483</v>
      </c>
      <c r="N6">
        <f>L6*G6/J6</f>
        <v>0.42831724639432595</v>
      </c>
    </row>
    <row r="7" spans="1:14" x14ac:dyDescent="0.25">
      <c r="A7" t="s">
        <v>15</v>
      </c>
      <c r="B7">
        <v>2006</v>
      </c>
      <c r="C7" t="s">
        <v>11</v>
      </c>
      <c r="D7">
        <v>7.1150251400000002</v>
      </c>
      <c r="E7">
        <v>-17.962103970000001</v>
      </c>
      <c r="F7">
        <v>32.347277869999999</v>
      </c>
      <c r="G7">
        <v>12.834</v>
      </c>
      <c r="H7">
        <v>11</v>
      </c>
      <c r="I7">
        <v>25</v>
      </c>
      <c r="J7">
        <f t="shared" si="2"/>
        <v>35.471302132851001</v>
      </c>
      <c r="K7">
        <f t="shared" si="3"/>
        <v>0.20058539473267797</v>
      </c>
      <c r="L7">
        <f t="shared" si="0"/>
        <v>0.97777777777777775</v>
      </c>
      <c r="M7">
        <f t="shared" si="1"/>
        <v>0.19612794151639623</v>
      </c>
      <c r="N7">
        <f>L7*G7/J7</f>
        <v>0.35377331097124265</v>
      </c>
    </row>
    <row r="8" spans="1:14" x14ac:dyDescent="0.25">
      <c r="A8" t="s">
        <v>16</v>
      </c>
      <c r="B8">
        <v>2002</v>
      </c>
      <c r="C8" t="s">
        <v>11</v>
      </c>
      <c r="D8">
        <v>17.630654329999999</v>
      </c>
      <c r="E8">
        <v>-4.1963428040000004</v>
      </c>
      <c r="F8">
        <v>39.302203319999997</v>
      </c>
      <c r="G8">
        <v>11.0966</v>
      </c>
      <c r="H8">
        <v>25</v>
      </c>
      <c r="I8">
        <v>26</v>
      </c>
      <c r="J8">
        <f t="shared" si="2"/>
        <v>39.6151697805916</v>
      </c>
      <c r="K8">
        <f t="shared" si="3"/>
        <v>0.44504805678348169</v>
      </c>
      <c r="L8">
        <f t="shared" si="0"/>
        <v>0.98461538461538467</v>
      </c>
      <c r="M8">
        <f t="shared" si="1"/>
        <v>0.43820116360219741</v>
      </c>
      <c r="N8">
        <f>L8*G8/J8</f>
        <v>0.27580048596121187</v>
      </c>
    </row>
    <row r="9" spans="1:14" x14ac:dyDescent="0.25">
      <c r="A9" t="s">
        <v>17</v>
      </c>
      <c r="B9">
        <v>2004</v>
      </c>
      <c r="C9" t="s">
        <v>11</v>
      </c>
      <c r="D9">
        <v>5.8545645720000001</v>
      </c>
      <c r="E9">
        <v>-33.774004140000002</v>
      </c>
      <c r="F9">
        <v>45.328009659999999</v>
      </c>
      <c r="G9">
        <v>20.179099999999998</v>
      </c>
      <c r="H9">
        <v>9</v>
      </c>
      <c r="I9">
        <v>10</v>
      </c>
      <c r="J9">
        <f t="shared" si="2"/>
        <v>43.918373395784805</v>
      </c>
      <c r="K9">
        <f t="shared" si="3"/>
        <v>0.13330558760088115</v>
      </c>
      <c r="L9">
        <f t="shared" si="0"/>
        <v>0.95522388059701491</v>
      </c>
      <c r="M9">
        <f t="shared" si="1"/>
        <v>0.127336680693379</v>
      </c>
      <c r="N9">
        <f>L9*G9/J9</f>
        <v>0.43889508464366872</v>
      </c>
    </row>
    <row r="10" spans="1:14" x14ac:dyDescent="0.25">
      <c r="A10" t="s">
        <v>18</v>
      </c>
      <c r="B10">
        <v>2009</v>
      </c>
      <c r="C10" t="s">
        <v>11</v>
      </c>
      <c r="D10">
        <v>5.6884070510000004</v>
      </c>
      <c r="E10">
        <v>-7.4685425739999998</v>
      </c>
      <c r="F10">
        <v>19.001778399999999</v>
      </c>
      <c r="G10">
        <v>6.7526000000000002</v>
      </c>
      <c r="H10">
        <v>14</v>
      </c>
      <c r="I10">
        <v>14</v>
      </c>
      <c r="J10">
        <f t="shared" si="2"/>
        <v>17.865700303094755</v>
      </c>
      <c r="K10">
        <f t="shared" si="3"/>
        <v>0.31839821302804661</v>
      </c>
      <c r="L10">
        <f t="shared" si="0"/>
        <v>0.970873786407767</v>
      </c>
      <c r="M10">
        <f t="shared" si="1"/>
        <v>0.30912447866800641</v>
      </c>
      <c r="N10">
        <f>L10*G10/J10</f>
        <v>0.36695579903808467</v>
      </c>
    </row>
    <row r="11" spans="1:14" x14ac:dyDescent="0.25">
      <c r="A11" t="s">
        <v>19</v>
      </c>
      <c r="B11">
        <v>2007</v>
      </c>
      <c r="C11" t="s">
        <v>11</v>
      </c>
      <c r="D11">
        <v>57.844344149999998</v>
      </c>
      <c r="E11">
        <v>21.622329149999999</v>
      </c>
      <c r="F11">
        <v>93.913182699999993</v>
      </c>
      <c r="G11">
        <v>18.441500000000001</v>
      </c>
      <c r="H11">
        <v>9</v>
      </c>
      <c r="I11">
        <v>10</v>
      </c>
      <c r="J11">
        <f t="shared" si="2"/>
        <v>40.13661079921134</v>
      </c>
      <c r="K11">
        <f t="shared" si="3"/>
        <v>1.4411865625469453</v>
      </c>
      <c r="L11">
        <f t="shared" si="0"/>
        <v>0.95522388059701491</v>
      </c>
      <c r="M11">
        <f t="shared" si="1"/>
        <v>1.3766558209403656</v>
      </c>
      <c r="N11">
        <f>L11*G11/J11</f>
        <v>0.43889508464366878</v>
      </c>
    </row>
    <row r="12" spans="1:14" x14ac:dyDescent="0.25">
      <c r="A12" t="s">
        <v>20</v>
      </c>
      <c r="B12">
        <v>2010</v>
      </c>
      <c r="C12" t="s">
        <v>21</v>
      </c>
      <c r="D12">
        <v>22.208099310000001</v>
      </c>
      <c r="E12">
        <v>0.22630308199999999</v>
      </c>
      <c r="F12">
        <v>44.034122869999997</v>
      </c>
      <c r="G12">
        <v>11.1755</v>
      </c>
      <c r="H12">
        <v>10</v>
      </c>
      <c r="I12">
        <v>11</v>
      </c>
      <c r="J12">
        <f t="shared" si="2"/>
        <v>25.57723879089896</v>
      </c>
      <c r="K12">
        <f t="shared" si="3"/>
        <v>0.8682758718232797</v>
      </c>
      <c r="L12">
        <f t="shared" si="0"/>
        <v>0.96</v>
      </c>
      <c r="M12">
        <f t="shared" si="1"/>
        <v>0.83354483695034853</v>
      </c>
      <c r="N12">
        <f>L12*G12/J12</f>
        <v>0.41945419080254548</v>
      </c>
    </row>
    <row r="13" spans="1:14" x14ac:dyDescent="0.25">
      <c r="A13" t="s">
        <v>22</v>
      </c>
      <c r="B13">
        <v>2009</v>
      </c>
      <c r="C13" t="s">
        <v>21</v>
      </c>
      <c r="D13">
        <v>19.101083490000001</v>
      </c>
      <c r="E13">
        <v>-4.7373283260000001</v>
      </c>
      <c r="F13">
        <v>42.940144349999997</v>
      </c>
      <c r="G13">
        <v>12.162599999999999</v>
      </c>
      <c r="H13">
        <v>16</v>
      </c>
      <c r="I13">
        <v>18</v>
      </c>
      <c r="J13">
        <f t="shared" si="2"/>
        <v>35.398365516802841</v>
      </c>
      <c r="K13">
        <f t="shared" si="3"/>
        <v>0.5396035441504532</v>
      </c>
      <c r="L13">
        <f t="shared" si="0"/>
        <v>0.97637795275590555</v>
      </c>
      <c r="M13">
        <f t="shared" si="1"/>
        <v>0.52685700373745037</v>
      </c>
      <c r="N13">
        <f>L13*G13/J13</f>
        <v>0.33547578581141069</v>
      </c>
    </row>
    <row r="14" spans="1:14" x14ac:dyDescent="0.25">
      <c r="A14" t="s">
        <v>23</v>
      </c>
      <c r="B14">
        <v>2009</v>
      </c>
      <c r="C14" t="s">
        <v>21</v>
      </c>
      <c r="D14">
        <v>2.062473497</v>
      </c>
      <c r="E14">
        <v>-17.44286172</v>
      </c>
      <c r="F14">
        <v>21.566510610000002</v>
      </c>
      <c r="G14">
        <v>9.9513999999999996</v>
      </c>
      <c r="H14">
        <v>13</v>
      </c>
      <c r="I14">
        <v>13</v>
      </c>
      <c r="J14">
        <f t="shared" si="2"/>
        <v>25.371191393783615</v>
      </c>
      <c r="K14">
        <f t="shared" si="3"/>
        <v>8.1291945064327645E-2</v>
      </c>
      <c r="L14">
        <f t="shared" si="0"/>
        <v>0.96842105263157896</v>
      </c>
      <c r="M14">
        <f t="shared" si="1"/>
        <v>7.8724831009664667E-2</v>
      </c>
      <c r="N14">
        <f>L14*G14/J14</f>
        <v>0.37984598805711439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cermak_protein_1rm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2025-10-10T11:43:26Z</dcterms:created>
  <dcterms:modified xsi:type="dcterms:W3CDTF">2025-12-30T12:55:34Z</dcterms:modified>
</cp:coreProperties>
</file>