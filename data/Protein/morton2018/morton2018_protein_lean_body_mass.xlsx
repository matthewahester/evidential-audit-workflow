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morton2018\"/>
    </mc:Choice>
  </mc:AlternateContent>
  <xr:revisionPtr revIDLastSave="0" documentId="13_ncr:1_{8D2E9868-7A31-4142-AF6E-2AFBB611ABAA}" xr6:coauthVersionLast="47" xr6:coauthVersionMax="47" xr10:uidLastSave="{00000000-0000-0000-0000-000000000000}"/>
  <bookViews>
    <workbookView xWindow="38280" yWindow="2820" windowWidth="29040" windowHeight="16440" xr2:uid="{5F467951-E23D-4D2B-928B-E98951D4863B}"/>
  </bookViews>
  <sheets>
    <sheet name="morton_protein_ff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M25" i="1" s="1"/>
  <c r="L26" i="1"/>
  <c r="M26" i="1" s="1"/>
  <c r="L27" i="1"/>
  <c r="L2" i="1"/>
  <c r="K3" i="1"/>
  <c r="K4" i="1"/>
  <c r="K5" i="1"/>
  <c r="M5" i="1" s="1"/>
  <c r="K6" i="1"/>
  <c r="K7" i="1"/>
  <c r="M7" i="1"/>
  <c r="K8" i="1"/>
  <c r="K9" i="1"/>
  <c r="M9" i="1"/>
  <c r="K10" i="1"/>
  <c r="K11" i="1"/>
  <c r="K12" i="1"/>
  <c r="K13" i="1"/>
  <c r="K14" i="1"/>
  <c r="K15" i="1"/>
  <c r="K16" i="1"/>
  <c r="K17" i="1"/>
  <c r="M17" i="1" s="1"/>
  <c r="K18" i="1"/>
  <c r="K19" i="1"/>
  <c r="M19" i="1" s="1"/>
  <c r="K20" i="1"/>
  <c r="K21" i="1"/>
  <c r="M21" i="1" s="1"/>
  <c r="K22" i="1"/>
  <c r="K23" i="1"/>
  <c r="K24" i="1"/>
  <c r="K25" i="1"/>
  <c r="K26" i="1"/>
  <c r="K27" i="1"/>
  <c r="K2" i="1"/>
  <c r="M11" i="1" l="1"/>
  <c r="M16" i="1"/>
  <c r="M10" i="1"/>
  <c r="M6" i="1"/>
  <c r="M4" i="1"/>
  <c r="M27" i="1"/>
  <c r="M18" i="1"/>
  <c r="M2" i="1"/>
  <c r="M14" i="1"/>
  <c r="M23" i="1"/>
  <c r="M20" i="1"/>
  <c r="M8" i="1"/>
  <c r="M13" i="1"/>
  <c r="M22" i="1"/>
  <c r="M24" i="1"/>
  <c r="M15" i="1"/>
  <c r="M12" i="1"/>
  <c r="M3" i="1"/>
</calcChain>
</file>

<file path=xl/sharedStrings.xml><?xml version="1.0" encoding="utf-8"?>
<sst xmlns="http://schemas.openxmlformats.org/spreadsheetml/2006/main" count="66" uniqueCount="40">
  <si>
    <t>Author</t>
  </si>
  <si>
    <t>Year</t>
  </si>
  <si>
    <t>type</t>
  </si>
  <si>
    <t>ES</t>
  </si>
  <si>
    <t>CI_lower</t>
  </si>
  <si>
    <t>CI_upper</t>
  </si>
  <si>
    <t>SE</t>
  </si>
  <si>
    <t>n_control</t>
  </si>
  <si>
    <t>n_treatment</t>
  </si>
  <si>
    <t>pooled_sd</t>
  </si>
  <si>
    <t>Arnarson</t>
  </si>
  <si>
    <t>FFM</t>
  </si>
  <si>
    <t>Campbell</t>
  </si>
  <si>
    <t>Candow</t>
  </si>
  <si>
    <t>Candow a</t>
  </si>
  <si>
    <t>Coburn</t>
  </si>
  <si>
    <t>Cribb</t>
  </si>
  <si>
    <t>Daly</t>
  </si>
  <si>
    <t>Deibert</t>
  </si>
  <si>
    <t>Hartman</t>
  </si>
  <si>
    <t>Herda</t>
  </si>
  <si>
    <t>Hoffman</t>
  </si>
  <si>
    <t>Hulmi</t>
  </si>
  <si>
    <t>Iglay</t>
  </si>
  <si>
    <t>Josse</t>
  </si>
  <si>
    <t>Kerksick</t>
  </si>
  <si>
    <t>Leenders F</t>
  </si>
  <si>
    <t>Leenders M</t>
  </si>
  <si>
    <t>Mielke</t>
  </si>
  <si>
    <t>Rankin</t>
  </si>
  <si>
    <t>Reidy</t>
  </si>
  <si>
    <t>Rozenek</t>
  </si>
  <si>
    <t>Snijders</t>
  </si>
  <si>
    <t>Verdijk</t>
  </si>
  <si>
    <t>Volek</t>
  </si>
  <si>
    <t>Weisgarber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</si>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</sst>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6213-174D-4C25-988C-AE2817C12ED9}">
  <dimension ref="A1:N27"/>
  <sheetViews>
    <sheetView tabSelected="1" topLeftCell="B1" workbookViewId="0">
      <selection activeCell="J10" sqref="J1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36</v>
      </c>
      <c r="L1" t="s">
        <v>37</v>
      </c>
      <c r="M1" t="s">
        <v>38</v>
      </c>
      <c r="N1" t="s">
        <v>39</v>
      </c>
    </row>
    <row r="2" spans="1:14" x14ac:dyDescent="0.25">
      <c r="A2" t="s">
        <v>10</v>
      </c>
      <c r="B2">
        <v>2013</v>
      </c>
      <c r="C2" t="s">
        <v>11</v>
      </c>
      <c r="D2">
        <v>-0.20338983099999999</v>
      </c>
      <c r="E2">
        <v>-0.61440678000000004</v>
      </c>
      <c r="F2">
        <v>0.207627119</v>
      </c>
      <c r="G2">
        <v>0.209702525</v>
      </c>
      <c r="H2">
        <v>66</v>
      </c>
      <c r="I2">
        <v>75</v>
      </c>
      <c r="J2">
        <f>G2/SQRT(1/I2+1/H2)</f>
        <v>1.242500874059111</v>
      </c>
      <c r="K2">
        <f>D2/J2</f>
        <v>-0.16369391382039694</v>
      </c>
      <c r="L2">
        <f t="shared" ref="L2:L27" si="0">1-3/(4*(H2+I2-2)-1)</f>
        <v>0.99459459459459465</v>
      </c>
      <c r="M2">
        <f t="shared" ref="M2:M27" si="1">L2*K2</f>
        <v>-0.16280908185380022</v>
      </c>
      <c r="N2">
        <f>L2*G2/J2</f>
        <v>0.16786225441956135</v>
      </c>
    </row>
    <row r="3" spans="1:14" x14ac:dyDescent="0.25">
      <c r="A3" t="s">
        <v>12</v>
      </c>
      <c r="B3">
        <v>1995</v>
      </c>
      <c r="C3" t="s">
        <v>11</v>
      </c>
      <c r="D3">
        <v>0.80508474600000002</v>
      </c>
      <c r="E3">
        <v>-1.419491525</v>
      </c>
      <c r="F3">
        <v>3.029661017</v>
      </c>
      <c r="G3">
        <v>1.1349878929999999</v>
      </c>
      <c r="H3">
        <v>6</v>
      </c>
      <c r="I3">
        <v>6</v>
      </c>
      <c r="J3">
        <f>G3/SQRT(1/I3+1/H3)</f>
        <v>1.9658566966515485</v>
      </c>
      <c r="K3">
        <f t="shared" ref="K3:K27" si="2">D3/J3</f>
        <v>0.40953379123275063</v>
      </c>
      <c r="L3">
        <f t="shared" si="0"/>
        <v>0.92307692307692313</v>
      </c>
      <c r="M3">
        <f t="shared" si="1"/>
        <v>0.37803119190715445</v>
      </c>
      <c r="N3">
        <f>L3*G3/J3</f>
        <v>0.53293871002119297</v>
      </c>
    </row>
    <row r="4" spans="1:14" x14ac:dyDescent="0.25">
      <c r="A4" t="s">
        <v>13</v>
      </c>
      <c r="B4">
        <v>2006</v>
      </c>
      <c r="C4" t="s">
        <v>11</v>
      </c>
      <c r="D4">
        <v>0.89830508499999995</v>
      </c>
      <c r="E4">
        <v>-0.71610169499999998</v>
      </c>
      <c r="F4">
        <v>2.5127118639999999</v>
      </c>
      <c r="G4">
        <v>0.82367692800000003</v>
      </c>
      <c r="H4">
        <v>18</v>
      </c>
      <c r="I4">
        <v>18</v>
      </c>
      <c r="J4">
        <f t="shared" ref="J4:J27" si="3">G4/SQRT(1/I4+1/H4)</f>
        <v>2.4710307840000003</v>
      </c>
      <c r="K4">
        <f t="shared" si="2"/>
        <v>0.36353455845898514</v>
      </c>
      <c r="L4">
        <f t="shared" si="0"/>
        <v>0.97777777777777775</v>
      </c>
      <c r="M4">
        <f t="shared" si="1"/>
        <v>0.35545601271545213</v>
      </c>
      <c r="N4">
        <f>L4*G4/J4</f>
        <v>0.3259259259259259</v>
      </c>
    </row>
    <row r="5" spans="1:14" x14ac:dyDescent="0.25">
      <c r="A5" t="s">
        <v>14</v>
      </c>
      <c r="B5">
        <v>2006</v>
      </c>
      <c r="C5" t="s">
        <v>11</v>
      </c>
      <c r="D5">
        <v>0.19491525400000001</v>
      </c>
      <c r="E5">
        <v>-3.8008474579999998</v>
      </c>
      <c r="F5">
        <v>4.190677966</v>
      </c>
      <c r="G5">
        <v>2.0386544450000001</v>
      </c>
      <c r="H5">
        <v>20</v>
      </c>
      <c r="I5">
        <v>19</v>
      </c>
      <c r="J5">
        <f t="shared" si="3"/>
        <v>6.3636035177726678</v>
      </c>
      <c r="K5">
        <f t="shared" si="2"/>
        <v>3.0629698009253494E-2</v>
      </c>
      <c r="L5">
        <f t="shared" si="0"/>
        <v>0.97959183673469385</v>
      </c>
      <c r="M5">
        <f t="shared" si="1"/>
        <v>3.0004602131513625E-2</v>
      </c>
      <c r="N5">
        <f>L5*G5/J5</f>
        <v>0.31382364515127548</v>
      </c>
    </row>
    <row r="6" spans="1:14" x14ac:dyDescent="0.25">
      <c r="A6" t="s">
        <v>15</v>
      </c>
      <c r="B6">
        <v>2006</v>
      </c>
      <c r="C6" t="s">
        <v>11</v>
      </c>
      <c r="D6">
        <v>1.1016949149999999</v>
      </c>
      <c r="E6">
        <v>-0.186440678</v>
      </c>
      <c r="F6">
        <v>2.3898305080000002</v>
      </c>
      <c r="G6">
        <v>0.65721203699999997</v>
      </c>
      <c r="H6">
        <v>12</v>
      </c>
      <c r="I6">
        <v>11</v>
      </c>
      <c r="J6">
        <f t="shared" si="3"/>
        <v>1.5744488521971745</v>
      </c>
      <c r="K6">
        <f t="shared" si="2"/>
        <v>0.69973369631065685</v>
      </c>
      <c r="L6">
        <f t="shared" si="0"/>
        <v>0.96385542168674698</v>
      </c>
      <c r="M6">
        <f t="shared" si="1"/>
        <v>0.67444211692593425</v>
      </c>
      <c r="N6">
        <f>L6*G6/J6</f>
        <v>0.40233595659601051</v>
      </c>
    </row>
    <row r="7" spans="1:14" x14ac:dyDescent="0.25">
      <c r="A7" t="s">
        <v>16</v>
      </c>
      <c r="B7">
        <v>2007</v>
      </c>
      <c r="C7" t="s">
        <v>11</v>
      </c>
      <c r="D7">
        <v>1.610169492</v>
      </c>
      <c r="E7">
        <v>0.15677966099999999</v>
      </c>
      <c r="F7">
        <v>3.0635593220000001</v>
      </c>
      <c r="G7">
        <v>0.74152542399999999</v>
      </c>
      <c r="H7">
        <v>7</v>
      </c>
      <c r="I7">
        <v>5</v>
      </c>
      <c r="J7">
        <f t="shared" si="3"/>
        <v>1.2663957519058859</v>
      </c>
      <c r="K7">
        <f t="shared" si="2"/>
        <v>1.2714583806655584</v>
      </c>
      <c r="L7">
        <f t="shared" si="0"/>
        <v>0.92307692307692313</v>
      </c>
      <c r="M7">
        <f t="shared" si="1"/>
        <v>1.173653889845131</v>
      </c>
      <c r="N7">
        <f>L7*G7/J7</f>
        <v>0.54049850194072602</v>
      </c>
    </row>
    <row r="8" spans="1:14" x14ac:dyDescent="0.25">
      <c r="A8" t="s">
        <v>17</v>
      </c>
      <c r="B8">
        <v>2014</v>
      </c>
      <c r="C8" t="s">
        <v>11</v>
      </c>
      <c r="D8">
        <v>0.5</v>
      </c>
      <c r="E8">
        <v>-0.28813559300000002</v>
      </c>
      <c r="F8">
        <v>1.288135593</v>
      </c>
      <c r="G8">
        <v>0.402109997</v>
      </c>
      <c r="H8">
        <v>43</v>
      </c>
      <c r="I8">
        <v>48</v>
      </c>
      <c r="J8">
        <f t="shared" si="3"/>
        <v>1.9150451638856059</v>
      </c>
      <c r="K8">
        <f t="shared" si="2"/>
        <v>0.26109044811533605</v>
      </c>
      <c r="L8">
        <f t="shared" si="0"/>
        <v>0.9915492957746479</v>
      </c>
      <c r="M8">
        <f t="shared" si="1"/>
        <v>0.25888404996224873</v>
      </c>
      <c r="N8">
        <f>L8*G8/J8</f>
        <v>0.20819972910733536</v>
      </c>
    </row>
    <row r="9" spans="1:14" x14ac:dyDescent="0.25">
      <c r="A9" t="s">
        <v>18</v>
      </c>
      <c r="B9">
        <v>2011</v>
      </c>
      <c r="C9" t="s">
        <v>11</v>
      </c>
      <c r="D9">
        <v>0.80508474600000002</v>
      </c>
      <c r="E9">
        <v>0</v>
      </c>
      <c r="F9">
        <v>1.610169492</v>
      </c>
      <c r="G9">
        <v>0.41075752300000001</v>
      </c>
      <c r="H9">
        <v>15</v>
      </c>
      <c r="I9">
        <v>15</v>
      </c>
      <c r="J9">
        <f t="shared" si="3"/>
        <v>1.1249058050602356</v>
      </c>
      <c r="K9">
        <f t="shared" si="2"/>
        <v>0.71569080929126316</v>
      </c>
      <c r="L9">
        <f t="shared" si="0"/>
        <v>0.97297297297297303</v>
      </c>
      <c r="M9">
        <f t="shared" si="1"/>
        <v>0.69634781444555338</v>
      </c>
      <c r="N9">
        <f>L9*G9/J9</f>
        <v>0.35527949676010773</v>
      </c>
    </row>
    <row r="10" spans="1:14" x14ac:dyDescent="0.25">
      <c r="A10" t="s">
        <v>19</v>
      </c>
      <c r="B10">
        <v>2007</v>
      </c>
      <c r="C10" t="s">
        <v>11</v>
      </c>
      <c r="D10">
        <v>0.89830508499999995</v>
      </c>
      <c r="E10">
        <v>-2.9661017000000001E-2</v>
      </c>
      <c r="F10">
        <v>1.826271186</v>
      </c>
      <c r="G10">
        <v>0.47345209300000002</v>
      </c>
      <c r="H10">
        <v>38</v>
      </c>
      <c r="I10">
        <v>37</v>
      </c>
      <c r="J10">
        <f t="shared" si="3"/>
        <v>2.0499254601690908</v>
      </c>
      <c r="K10">
        <f t="shared" si="2"/>
        <v>0.43821353627458337</v>
      </c>
      <c r="L10">
        <f t="shared" si="0"/>
        <v>0.98969072164948457</v>
      </c>
      <c r="M10">
        <f t="shared" si="1"/>
        <v>0.433695870952165</v>
      </c>
      <c r="N10">
        <f>L10*G10/J10</f>
        <v>0.22857960091338062</v>
      </c>
    </row>
    <row r="11" spans="1:14" x14ac:dyDescent="0.25">
      <c r="A11" t="s">
        <v>20</v>
      </c>
      <c r="B11">
        <v>2013</v>
      </c>
      <c r="C11" t="s">
        <v>11</v>
      </c>
      <c r="D11">
        <v>-0.101694915</v>
      </c>
      <c r="E11">
        <v>-1.008474576</v>
      </c>
      <c r="F11">
        <v>0.80508474600000002</v>
      </c>
      <c r="G11">
        <v>0.46264268400000003</v>
      </c>
      <c r="H11">
        <v>21</v>
      </c>
      <c r="I11">
        <v>22</v>
      </c>
      <c r="J11">
        <f t="shared" si="3"/>
        <v>1.5164652359791391</v>
      </c>
      <c r="K11">
        <f t="shared" si="2"/>
        <v>-6.7060498709248975E-2</v>
      </c>
      <c r="L11">
        <f t="shared" si="0"/>
        <v>0.98159509202453987</v>
      </c>
      <c r="M11">
        <f t="shared" si="1"/>
        <v>-6.5826256401716784E-2</v>
      </c>
      <c r="N11">
        <f>L11*G11/J11</f>
        <v>0.29946468748572569</v>
      </c>
    </row>
    <row r="12" spans="1:14" x14ac:dyDescent="0.25">
      <c r="A12" t="s">
        <v>21</v>
      </c>
      <c r="B12">
        <v>2007</v>
      </c>
      <c r="C12" t="s">
        <v>11</v>
      </c>
      <c r="D12">
        <v>1.3050847459999999</v>
      </c>
      <c r="E12">
        <v>-0.127118644</v>
      </c>
      <c r="F12">
        <v>2.7372881360000001</v>
      </c>
      <c r="G12">
        <v>0.73071601500000005</v>
      </c>
      <c r="H12">
        <v>10</v>
      </c>
      <c r="I12">
        <v>11</v>
      </c>
      <c r="J12">
        <f t="shared" si="3"/>
        <v>1.6723813703180268</v>
      </c>
      <c r="K12">
        <f t="shared" si="2"/>
        <v>0.78037508020782342</v>
      </c>
      <c r="L12">
        <f t="shared" si="0"/>
        <v>0.96</v>
      </c>
      <c r="M12">
        <f t="shared" si="1"/>
        <v>0.74916007699951048</v>
      </c>
      <c r="N12">
        <f>L12*G12/J12</f>
        <v>0.41945419080254542</v>
      </c>
    </row>
    <row r="13" spans="1:14" x14ac:dyDescent="0.25">
      <c r="A13" t="s">
        <v>21</v>
      </c>
      <c r="B13">
        <v>2009</v>
      </c>
      <c r="C13" t="s">
        <v>11</v>
      </c>
      <c r="D13">
        <v>1.3050847459999999</v>
      </c>
      <c r="E13">
        <v>-0.57627118600000005</v>
      </c>
      <c r="F13">
        <v>3.1864406779999999</v>
      </c>
      <c r="G13">
        <v>0.95987547600000001</v>
      </c>
      <c r="H13">
        <v>14</v>
      </c>
      <c r="I13">
        <v>26</v>
      </c>
      <c r="J13">
        <f t="shared" si="3"/>
        <v>2.8955801591008772</v>
      </c>
      <c r="K13">
        <f t="shared" si="2"/>
        <v>0.45071615161406864</v>
      </c>
      <c r="L13">
        <f t="shared" si="0"/>
        <v>0.98013245033112584</v>
      </c>
      <c r="M13">
        <f t="shared" si="1"/>
        <v>0.44176152608531233</v>
      </c>
      <c r="N13">
        <f>L13*G13/J13</f>
        <v>0.32491074348180726</v>
      </c>
    </row>
    <row r="14" spans="1:14" x14ac:dyDescent="0.25">
      <c r="A14" t="s">
        <v>22</v>
      </c>
      <c r="B14">
        <v>2015</v>
      </c>
      <c r="C14" t="s">
        <v>11</v>
      </c>
      <c r="D14">
        <v>0.30508474600000002</v>
      </c>
      <c r="E14">
        <v>-0.56779661000000003</v>
      </c>
      <c r="F14">
        <v>1.1779661020000001</v>
      </c>
      <c r="G14">
        <v>0.44534763100000002</v>
      </c>
      <c r="H14">
        <v>42</v>
      </c>
      <c r="I14">
        <v>47</v>
      </c>
      <c r="J14">
        <f t="shared" si="3"/>
        <v>2.0973828730840318</v>
      </c>
      <c r="K14">
        <f t="shared" si="2"/>
        <v>0.14545972979716268</v>
      </c>
      <c r="L14">
        <f t="shared" si="0"/>
        <v>0.99135446685878958</v>
      </c>
      <c r="M14">
        <f t="shared" si="1"/>
        <v>0.1442021528824898</v>
      </c>
      <c r="N14">
        <f>L14*G14/J14</f>
        <v>0.21049917445337191</v>
      </c>
    </row>
    <row r="15" spans="1:14" x14ac:dyDescent="0.25">
      <c r="A15" t="s">
        <v>23</v>
      </c>
      <c r="B15">
        <v>2009</v>
      </c>
      <c r="C15" t="s">
        <v>11</v>
      </c>
      <c r="D15">
        <v>0.29661016899999998</v>
      </c>
      <c r="E15">
        <v>-0.45762711900000003</v>
      </c>
      <c r="F15">
        <v>1.050847458</v>
      </c>
      <c r="G15">
        <v>0.38481494300000002</v>
      </c>
      <c r="H15">
        <v>18</v>
      </c>
      <c r="I15">
        <v>18</v>
      </c>
      <c r="J15">
        <f t="shared" si="3"/>
        <v>1.1544448290000002</v>
      </c>
      <c r="K15">
        <f t="shared" si="2"/>
        <v>0.25692883847635123</v>
      </c>
      <c r="L15">
        <f t="shared" si="0"/>
        <v>0.97777777777777775</v>
      </c>
      <c r="M15">
        <f t="shared" si="1"/>
        <v>0.25121930873243231</v>
      </c>
      <c r="N15">
        <f>L15*G15/J15</f>
        <v>0.3259259259259259</v>
      </c>
    </row>
    <row r="16" spans="1:14" x14ac:dyDescent="0.25">
      <c r="A16" t="s">
        <v>24</v>
      </c>
      <c r="B16">
        <v>2010</v>
      </c>
      <c r="C16" t="s">
        <v>11</v>
      </c>
      <c r="D16">
        <v>0.80508474600000002</v>
      </c>
      <c r="E16">
        <v>-0.165254237</v>
      </c>
      <c r="F16">
        <v>1.7754237289999999</v>
      </c>
      <c r="G16">
        <v>0.49507090999999998</v>
      </c>
      <c r="H16">
        <v>10</v>
      </c>
      <c r="I16">
        <v>10</v>
      </c>
      <c r="J16">
        <f t="shared" si="3"/>
        <v>1.1070122084426803</v>
      </c>
      <c r="K16">
        <f t="shared" si="2"/>
        <v>0.72725913938435693</v>
      </c>
      <c r="L16">
        <f t="shared" si="0"/>
        <v>0.95774647887323949</v>
      </c>
      <c r="M16">
        <f t="shared" si="1"/>
        <v>0.69652987997375038</v>
      </c>
      <c r="N16">
        <f>L16*G16/J16</f>
        <v>0.42831724639432595</v>
      </c>
    </row>
    <row r="17" spans="1:14" x14ac:dyDescent="0.25">
      <c r="A17" t="s">
        <v>25</v>
      </c>
      <c r="B17">
        <v>2006</v>
      </c>
      <c r="C17" t="s">
        <v>11</v>
      </c>
      <c r="D17">
        <v>0.60169491500000005</v>
      </c>
      <c r="E17">
        <v>-0.11440678</v>
      </c>
      <c r="F17">
        <v>1.31779661</v>
      </c>
      <c r="G17">
        <v>0.36535800800000001</v>
      </c>
      <c r="H17">
        <v>22</v>
      </c>
      <c r="I17">
        <v>25</v>
      </c>
      <c r="J17">
        <f t="shared" si="3"/>
        <v>1.2498302923550491</v>
      </c>
      <c r="K17">
        <f t="shared" si="2"/>
        <v>0.4814212926990506</v>
      </c>
      <c r="L17">
        <f t="shared" si="0"/>
        <v>0.98324022346368711</v>
      </c>
      <c r="M17">
        <f t="shared" si="1"/>
        <v>0.47335277941359161</v>
      </c>
      <c r="N17">
        <f>L17*G17/J17</f>
        <v>0.28742677436091219</v>
      </c>
    </row>
    <row r="18" spans="1:14" x14ac:dyDescent="0.25">
      <c r="A18" t="s">
        <v>26</v>
      </c>
      <c r="B18">
        <v>2013</v>
      </c>
      <c r="C18" t="s">
        <v>11</v>
      </c>
      <c r="D18">
        <v>-0.20338983099999999</v>
      </c>
      <c r="E18">
        <v>-1.046610169</v>
      </c>
      <c r="F18">
        <v>0.63983050799999996</v>
      </c>
      <c r="G18">
        <v>0.43021445899999999</v>
      </c>
      <c r="H18">
        <v>12</v>
      </c>
      <c r="I18">
        <v>12</v>
      </c>
      <c r="J18">
        <f t="shared" si="3"/>
        <v>1.0538059045175141</v>
      </c>
      <c r="K18">
        <f t="shared" si="2"/>
        <v>-0.19300502125495511</v>
      </c>
      <c r="L18">
        <f t="shared" si="0"/>
        <v>0.96551724137931039</v>
      </c>
      <c r="M18">
        <f t="shared" si="1"/>
        <v>-0.18634967569443942</v>
      </c>
      <c r="N18">
        <f>L18*G18/J18</f>
        <v>0.39417076320648842</v>
      </c>
    </row>
    <row r="19" spans="1:14" x14ac:dyDescent="0.25">
      <c r="A19" t="s">
        <v>27</v>
      </c>
      <c r="B19">
        <v>2013</v>
      </c>
      <c r="C19" t="s">
        <v>11</v>
      </c>
      <c r="D19">
        <v>-8.4745759999999993E-3</v>
      </c>
      <c r="E19">
        <v>-0.30932203400000002</v>
      </c>
      <c r="F19">
        <v>0.29237288099999997</v>
      </c>
      <c r="G19">
        <v>0.15349360100000001</v>
      </c>
      <c r="H19">
        <v>14</v>
      </c>
      <c r="I19">
        <v>15</v>
      </c>
      <c r="J19">
        <f t="shared" si="3"/>
        <v>0.4130483801114842</v>
      </c>
      <c r="K19">
        <f t="shared" si="2"/>
        <v>-2.0517151036187724E-2</v>
      </c>
      <c r="L19">
        <f t="shared" si="0"/>
        <v>0.9719626168224299</v>
      </c>
      <c r="M19">
        <f t="shared" si="1"/>
        <v>-1.9941903810874049E-2</v>
      </c>
      <c r="N19">
        <f>L19*G19/J19</f>
        <v>0.36119265751191343</v>
      </c>
    </row>
    <row r="20" spans="1:14" x14ac:dyDescent="0.25">
      <c r="A20" t="s">
        <v>28</v>
      </c>
      <c r="B20">
        <v>2009</v>
      </c>
      <c r="C20" t="s">
        <v>11</v>
      </c>
      <c r="D20">
        <v>0.60169491500000005</v>
      </c>
      <c r="E20">
        <v>-3.059322034</v>
      </c>
      <c r="F20">
        <v>4.2627118639999999</v>
      </c>
      <c r="G20">
        <v>1.86786579</v>
      </c>
      <c r="H20">
        <v>13</v>
      </c>
      <c r="I20">
        <v>13</v>
      </c>
      <c r="J20">
        <f t="shared" si="3"/>
        <v>4.7621420559912009</v>
      </c>
      <c r="K20">
        <f t="shared" si="2"/>
        <v>0.12634963592549994</v>
      </c>
      <c r="L20">
        <f t="shared" si="0"/>
        <v>0.96842105263157896</v>
      </c>
      <c r="M20">
        <f t="shared" si="1"/>
        <v>0.12235964742258942</v>
      </c>
      <c r="N20">
        <f>L20*G20/J20</f>
        <v>0.37984598805711439</v>
      </c>
    </row>
    <row r="21" spans="1:14" x14ac:dyDescent="0.25">
      <c r="A21" t="s">
        <v>29</v>
      </c>
      <c r="B21">
        <v>2004</v>
      </c>
      <c r="C21" t="s">
        <v>11</v>
      </c>
      <c r="D21">
        <v>0.80508474600000002</v>
      </c>
      <c r="E21">
        <v>-0.88559321999999996</v>
      </c>
      <c r="F21">
        <v>2.4957627119999999</v>
      </c>
      <c r="G21">
        <v>0.86259079900000002</v>
      </c>
      <c r="H21">
        <v>9</v>
      </c>
      <c r="I21">
        <v>10</v>
      </c>
      <c r="J21">
        <f t="shared" si="3"/>
        <v>1.8773674147137565</v>
      </c>
      <c r="K21">
        <f t="shared" si="2"/>
        <v>0.4288370724292942</v>
      </c>
      <c r="L21">
        <f t="shared" si="0"/>
        <v>0.95522388059701491</v>
      </c>
      <c r="M21">
        <f t="shared" si="1"/>
        <v>0.40963541246977353</v>
      </c>
      <c r="N21">
        <f>L21*G21/J21</f>
        <v>0.43889508464366872</v>
      </c>
    </row>
    <row r="22" spans="1:14" x14ac:dyDescent="0.25">
      <c r="A22" t="s">
        <v>30</v>
      </c>
      <c r="B22">
        <v>2016</v>
      </c>
      <c r="C22" t="s">
        <v>11</v>
      </c>
      <c r="D22">
        <v>0.29661016899999998</v>
      </c>
      <c r="E22">
        <v>-0.62711864399999995</v>
      </c>
      <c r="F22">
        <v>1.220338983</v>
      </c>
      <c r="G22">
        <v>0.47129021100000001</v>
      </c>
      <c r="H22">
        <v>46</v>
      </c>
      <c r="I22">
        <v>45</v>
      </c>
      <c r="J22">
        <f t="shared" si="3"/>
        <v>2.2477753064590376</v>
      </c>
      <c r="K22">
        <f t="shared" si="2"/>
        <v>0.13195721482822745</v>
      </c>
      <c r="L22">
        <f t="shared" si="0"/>
        <v>0.9915492957746479</v>
      </c>
      <c r="M22">
        <f t="shared" si="1"/>
        <v>0.13084208343531284</v>
      </c>
      <c r="N22">
        <f>L22*G22/J22</f>
        <v>0.20789777140077823</v>
      </c>
    </row>
    <row r="23" spans="1:14" x14ac:dyDescent="0.25">
      <c r="A23" t="s">
        <v>31</v>
      </c>
      <c r="B23">
        <v>2002</v>
      </c>
      <c r="C23" t="s">
        <v>11</v>
      </c>
      <c r="D23">
        <v>-0.61016949200000004</v>
      </c>
      <c r="E23">
        <v>-1.631355932</v>
      </c>
      <c r="F23">
        <v>0.41101694900000002</v>
      </c>
      <c r="G23">
        <v>0.52101348999999997</v>
      </c>
      <c r="H23">
        <v>25</v>
      </c>
      <c r="I23">
        <v>26</v>
      </c>
      <c r="J23">
        <f t="shared" si="3"/>
        <v>1.8600326103787252</v>
      </c>
      <c r="K23">
        <f t="shared" si="2"/>
        <v>-0.32804236258834307</v>
      </c>
      <c r="L23">
        <f t="shared" si="0"/>
        <v>0.98461538461538467</v>
      </c>
      <c r="M23">
        <f t="shared" si="1"/>
        <v>-0.32299555701006089</v>
      </c>
      <c r="N23">
        <f>L23*G23/J23</f>
        <v>0.27580048596121182</v>
      </c>
    </row>
    <row r="24" spans="1:14" x14ac:dyDescent="0.25">
      <c r="A24" t="s">
        <v>32</v>
      </c>
      <c r="B24">
        <v>2015</v>
      </c>
      <c r="C24" t="s">
        <v>11</v>
      </c>
      <c r="D24">
        <v>0.19491525400000001</v>
      </c>
      <c r="E24">
        <v>-0.56355932200000003</v>
      </c>
      <c r="F24">
        <v>0.95338983099999997</v>
      </c>
      <c r="G24">
        <v>0.38697682500000002</v>
      </c>
      <c r="H24">
        <v>19</v>
      </c>
      <c r="I24">
        <v>20</v>
      </c>
      <c r="J24">
        <f t="shared" si="3"/>
        <v>1.2079374662568172</v>
      </c>
      <c r="K24">
        <f t="shared" si="2"/>
        <v>0.16136204020892542</v>
      </c>
      <c r="L24">
        <f t="shared" si="0"/>
        <v>0.97959183673469385</v>
      </c>
      <c r="M24">
        <f t="shared" si="1"/>
        <v>0.15806893734751878</v>
      </c>
      <c r="N24">
        <f>L24*G24/J24</f>
        <v>0.31382364515127548</v>
      </c>
    </row>
    <row r="25" spans="1:14" x14ac:dyDescent="0.25">
      <c r="A25" t="s">
        <v>33</v>
      </c>
      <c r="B25">
        <v>2009</v>
      </c>
      <c r="C25" t="s">
        <v>11</v>
      </c>
      <c r="D25">
        <v>0.101694915</v>
      </c>
      <c r="E25">
        <v>-0.91525423699999997</v>
      </c>
      <c r="F25">
        <v>1.118644068</v>
      </c>
      <c r="G25">
        <v>0.51885160799999996</v>
      </c>
      <c r="H25">
        <v>13</v>
      </c>
      <c r="I25">
        <v>13</v>
      </c>
      <c r="J25">
        <f t="shared" si="3"/>
        <v>1.3228172369254969</v>
      </c>
      <c r="K25">
        <f t="shared" si="2"/>
        <v>7.6877524847166478E-2</v>
      </c>
      <c r="L25">
        <f t="shared" si="0"/>
        <v>0.96842105263157896</v>
      </c>
      <c r="M25">
        <f t="shared" si="1"/>
        <v>7.4449813536203321E-2</v>
      </c>
      <c r="N25">
        <f>L25*G25/J25</f>
        <v>0.37984598805711434</v>
      </c>
    </row>
    <row r="26" spans="1:14" x14ac:dyDescent="0.25">
      <c r="A26" t="s">
        <v>34</v>
      </c>
      <c r="B26">
        <v>2013</v>
      </c>
      <c r="C26" t="s">
        <v>11</v>
      </c>
      <c r="D26">
        <v>0.20338983099999999</v>
      </c>
      <c r="E26">
        <v>-0.68644067799999997</v>
      </c>
      <c r="F26">
        <v>1.0932203389999999</v>
      </c>
      <c r="G26">
        <v>0.45399515699999998</v>
      </c>
      <c r="H26">
        <v>44</v>
      </c>
      <c r="I26">
        <v>41</v>
      </c>
      <c r="J26">
        <f t="shared" si="3"/>
        <v>2.0915103775623525</v>
      </c>
      <c r="K26">
        <f t="shared" si="2"/>
        <v>9.724543238319959E-2</v>
      </c>
      <c r="L26">
        <f t="shared" si="0"/>
        <v>0.99093655589123864</v>
      </c>
      <c r="M26">
        <f t="shared" si="1"/>
        <v>9.636405384196213E-2</v>
      </c>
      <c r="N26">
        <f>L26*G26/J26</f>
        <v>0.21509833376644111</v>
      </c>
    </row>
    <row r="27" spans="1:14" x14ac:dyDescent="0.25">
      <c r="A27" t="s">
        <v>35</v>
      </c>
      <c r="B27">
        <v>2012</v>
      </c>
      <c r="C27" t="s">
        <v>11</v>
      </c>
      <c r="D27">
        <v>0.19491525400000001</v>
      </c>
      <c r="E27">
        <v>-1.288135593</v>
      </c>
      <c r="F27">
        <v>1.6779661020000001</v>
      </c>
      <c r="G27">
        <v>0.75665859599999996</v>
      </c>
      <c r="H27">
        <v>8</v>
      </c>
      <c r="I27">
        <v>9</v>
      </c>
      <c r="J27">
        <f t="shared" si="3"/>
        <v>1.5571905437990063</v>
      </c>
      <c r="K27">
        <f t="shared" si="2"/>
        <v>0.12517110046434921</v>
      </c>
      <c r="L27">
        <f t="shared" si="0"/>
        <v>0.94915254237288138</v>
      </c>
      <c r="M27">
        <f t="shared" si="1"/>
        <v>0.1188064682373484</v>
      </c>
      <c r="N27">
        <f>L27*G27/J27</f>
        <v>0.4612052346205322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morton_protein_ffm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2025-10-13T00:59:01Z</dcterms:created>
  <dcterms:modified xsi:type="dcterms:W3CDTF">2025-12-30T13:03:14Z</dcterms:modified>
</cp:coreProperties>
</file>