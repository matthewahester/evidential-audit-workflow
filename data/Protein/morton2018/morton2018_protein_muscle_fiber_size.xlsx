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morton2018\"/>
    </mc:Choice>
  </mc:AlternateContent>
  <xr:revisionPtr revIDLastSave="0" documentId="13_ncr:1_{ADDD428C-9645-4187-AF72-813A41A5C183}" xr6:coauthVersionLast="47" xr6:coauthVersionMax="47" xr10:uidLastSave="{00000000-0000-0000-0000-000000000000}"/>
  <bookViews>
    <workbookView xWindow="38280" yWindow="2820" windowWidth="29040" windowHeight="16440" xr2:uid="{2EE4B0D4-F760-434D-9A9D-C4BB3DB3746C}"/>
  </bookViews>
  <sheets>
    <sheet name="morton_protein_c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2" i="1"/>
  <c r="I3" i="1"/>
  <c r="I4" i="1"/>
  <c r="I5" i="1"/>
  <c r="I6" i="1"/>
  <c r="I7" i="1"/>
  <c r="I8" i="1"/>
  <c r="J8" i="1" s="1"/>
  <c r="I9" i="1"/>
  <c r="J9" i="1" s="1"/>
  <c r="I10" i="1"/>
  <c r="I11" i="1"/>
  <c r="J11" i="1" s="1"/>
  <c r="I12" i="1"/>
  <c r="J12" i="1" s="1"/>
  <c r="I2" i="1"/>
  <c r="J2" i="1" s="1"/>
  <c r="K3" i="1"/>
  <c r="L3" i="1" s="1"/>
  <c r="K4" i="1"/>
  <c r="K5" i="1"/>
  <c r="K6" i="1"/>
  <c r="K7" i="1"/>
  <c r="K8" i="1"/>
  <c r="K9" i="1"/>
  <c r="K10" i="1"/>
  <c r="K11" i="1"/>
  <c r="K12" i="1"/>
  <c r="K2" i="1"/>
  <c r="J3" i="1"/>
  <c r="J4" i="1"/>
  <c r="J5" i="1"/>
  <c r="J6" i="1"/>
  <c r="J7" i="1"/>
  <c r="J10" i="1"/>
  <c r="L4" i="1" l="1"/>
  <c r="L9" i="1"/>
  <c r="L8" i="1"/>
  <c r="L6" i="1"/>
  <c r="L12" i="1"/>
  <c r="L10" i="1"/>
  <c r="L5" i="1"/>
  <c r="L11" i="1"/>
  <c r="L7" i="1"/>
  <c r="L2" i="1"/>
</calcChain>
</file>

<file path=xl/sharedStrings.xml><?xml version="1.0" encoding="utf-8"?>
<sst xmlns="http://schemas.openxmlformats.org/spreadsheetml/2006/main" count="24" uniqueCount="24">
  <si>
    <t>Author</t>
  </si>
  <si>
    <t>Year</t>
  </si>
  <si>
    <t>ES</t>
  </si>
  <si>
    <t>CI_upper</t>
  </si>
  <si>
    <t>CI_lower</t>
  </si>
  <si>
    <t>SE</t>
  </si>
  <si>
    <t>n_control</t>
  </si>
  <si>
    <t>n_treatment</t>
  </si>
  <si>
    <t>pooled_sd</t>
  </si>
  <si>
    <t>Andersen</t>
  </si>
  <si>
    <t>Campbell</t>
  </si>
  <si>
    <t>Cribb</t>
  </si>
  <si>
    <t>Hartman</t>
  </si>
  <si>
    <t>Iglay</t>
  </si>
  <si>
    <t>Leenders F</t>
  </si>
  <si>
    <t>Leenders M</t>
  </si>
  <si>
    <t>Olsen</t>
  </si>
  <si>
    <t>Paoli</t>
  </si>
  <si>
    <t>Snijders</t>
  </si>
  <si>
    <t>Verdijk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</si>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</sst>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9EF4-4A16-4164-B957-2606935C587B}">
  <dimension ref="A1:M12"/>
  <sheetViews>
    <sheetView tabSelected="1" workbookViewId="0">
      <selection activeCell="K7" sqref="K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25">
      <c r="A2" t="s">
        <v>9</v>
      </c>
      <c r="B2">
        <v>2005</v>
      </c>
      <c r="C2">
        <v>1064.168641</v>
      </c>
      <c r="D2">
        <v>1566.348802</v>
      </c>
      <c r="E2">
        <v>567.84713620000002</v>
      </c>
      <c r="F2">
        <v>254.71981260000001</v>
      </c>
      <c r="G2">
        <v>11</v>
      </c>
      <c r="H2">
        <v>11</v>
      </c>
      <c r="I2">
        <f>F2/SQRT(1/H2+1/G2)</f>
        <v>597.37091167915526</v>
      </c>
      <c r="J2">
        <f>C2/I2</f>
        <v>1.7814202536389305</v>
      </c>
      <c r="K2">
        <f t="shared" ref="K2:K12" si="0">1-3/(4*(G2+H2-2)-1)</f>
        <v>0.96202531645569622</v>
      </c>
      <c r="L2">
        <f t="shared" ref="L2:L12" si="1">K2*J2</f>
        <v>1.7137713832475787</v>
      </c>
      <c r="M2">
        <f>K2*F2/I2</f>
        <v>0.41020897324117456</v>
      </c>
    </row>
    <row r="3" spans="1:13" x14ac:dyDescent="0.25">
      <c r="A3" t="s">
        <v>10</v>
      </c>
      <c r="B3">
        <v>1995</v>
      </c>
      <c r="C3">
        <v>-279.46463999999997</v>
      </c>
      <c r="D3">
        <v>237.32368109999999</v>
      </c>
      <c r="E3">
        <v>-787.50345719999996</v>
      </c>
      <c r="F3">
        <v>261.4354945</v>
      </c>
      <c r="G3">
        <v>6</v>
      </c>
      <c r="H3">
        <v>6</v>
      </c>
      <c r="I3">
        <f t="shared" ref="I3:I12" si="2">F3/SQRT(1/H3+1/G3)</f>
        <v>452.81955937589379</v>
      </c>
      <c r="J3">
        <f t="shared" ref="J3:J12" si="3">C3/I3</f>
        <v>-0.61716556675505985</v>
      </c>
      <c r="K3">
        <f t="shared" si="0"/>
        <v>0.92307692307692313</v>
      </c>
      <c r="L3">
        <f t="shared" si="1"/>
        <v>-0.56969129238928606</v>
      </c>
      <c r="M3">
        <f>K3*F3/I3</f>
        <v>0.53293871002119308</v>
      </c>
    </row>
    <row r="4" spans="1:13" x14ac:dyDescent="0.25">
      <c r="A4" t="s">
        <v>11</v>
      </c>
      <c r="B4">
        <v>2007</v>
      </c>
      <c r="C4">
        <v>359.36459070000001</v>
      </c>
      <c r="D4">
        <v>625.05802140000003</v>
      </c>
      <c r="E4">
        <v>93.690400319999995</v>
      </c>
      <c r="F4">
        <v>135.5529646</v>
      </c>
      <c r="G4">
        <v>7</v>
      </c>
      <c r="H4">
        <v>5</v>
      </c>
      <c r="I4">
        <f t="shared" si="2"/>
        <v>231.50075907267737</v>
      </c>
      <c r="J4">
        <f t="shared" si="3"/>
        <v>1.5523257553863183</v>
      </c>
      <c r="K4">
        <f t="shared" si="0"/>
        <v>0.92307692307692313</v>
      </c>
      <c r="L4">
        <f t="shared" si="1"/>
        <v>1.4329160818950633</v>
      </c>
      <c r="M4">
        <f>K4*F4/I4</f>
        <v>0.54049850194072613</v>
      </c>
    </row>
    <row r="5" spans="1:13" x14ac:dyDescent="0.25">
      <c r="A5" t="s">
        <v>12</v>
      </c>
      <c r="B5">
        <v>2007</v>
      </c>
      <c r="C5">
        <v>776.29601130000003</v>
      </c>
      <c r="D5">
        <v>1266.8165799999999</v>
      </c>
      <c r="E5">
        <v>285.78506240000002</v>
      </c>
      <c r="F5">
        <v>250.2631423</v>
      </c>
      <c r="G5">
        <v>38</v>
      </c>
      <c r="H5">
        <v>37</v>
      </c>
      <c r="I5">
        <f t="shared" si="2"/>
        <v>1083.5748637036654</v>
      </c>
      <c r="J5">
        <f t="shared" si="3"/>
        <v>0.7164212066036818</v>
      </c>
      <c r="K5">
        <f t="shared" si="0"/>
        <v>0.98969072164948457</v>
      </c>
      <c r="L5">
        <f t="shared" si="1"/>
        <v>0.70903542096859229</v>
      </c>
      <c r="M5">
        <f>K5*F5/I5</f>
        <v>0.22857960091338064</v>
      </c>
    </row>
    <row r="6" spans="1:13" x14ac:dyDescent="0.25">
      <c r="A6" t="s">
        <v>13</v>
      </c>
      <c r="B6">
        <v>2009</v>
      </c>
      <c r="C6">
        <v>95.436453060000005</v>
      </c>
      <c r="D6">
        <v>337.77221950000001</v>
      </c>
      <c r="E6">
        <v>-143.96036509999999</v>
      </c>
      <c r="F6">
        <v>122.89096549999999</v>
      </c>
      <c r="G6">
        <v>18</v>
      </c>
      <c r="H6">
        <v>18</v>
      </c>
      <c r="I6">
        <f t="shared" si="2"/>
        <v>368.67289649999998</v>
      </c>
      <c r="J6">
        <f t="shared" si="3"/>
        <v>0.25886484731052101</v>
      </c>
      <c r="K6">
        <f t="shared" si="0"/>
        <v>0.97777777777777775</v>
      </c>
      <c r="L6">
        <f t="shared" si="1"/>
        <v>0.25311229514806499</v>
      </c>
      <c r="M6">
        <f>K6*F6/I6</f>
        <v>0.3259259259259259</v>
      </c>
    </row>
    <row r="7" spans="1:13" x14ac:dyDescent="0.25">
      <c r="A7" t="s">
        <v>14</v>
      </c>
      <c r="B7">
        <v>2013</v>
      </c>
      <c r="C7">
        <v>649.60377110000002</v>
      </c>
      <c r="D7">
        <v>1297.7597129999999</v>
      </c>
      <c r="E7">
        <v>1.428588607</v>
      </c>
      <c r="F7">
        <v>330.69671549999998</v>
      </c>
      <c r="G7">
        <v>12</v>
      </c>
      <c r="H7">
        <v>12</v>
      </c>
      <c r="I7">
        <f t="shared" si="2"/>
        <v>810.03821258933681</v>
      </c>
      <c r="J7">
        <f t="shared" si="3"/>
        <v>0.80194213186992958</v>
      </c>
      <c r="K7">
        <f t="shared" si="0"/>
        <v>0.96551724137931039</v>
      </c>
      <c r="L7">
        <f t="shared" si="1"/>
        <v>0.7742889549088976</v>
      </c>
      <c r="M7">
        <f>K7*F7/I7</f>
        <v>0.39417076320648842</v>
      </c>
    </row>
    <row r="8" spans="1:13" x14ac:dyDescent="0.25">
      <c r="A8" t="s">
        <v>15</v>
      </c>
      <c r="B8">
        <v>2013</v>
      </c>
      <c r="C8">
        <v>173.10453469999999</v>
      </c>
      <c r="D8">
        <v>771.64468069999998</v>
      </c>
      <c r="E8">
        <v>-422.49666300000001</v>
      </c>
      <c r="F8">
        <v>304.62789379999998</v>
      </c>
      <c r="G8">
        <v>14</v>
      </c>
      <c r="H8">
        <v>15</v>
      </c>
      <c r="I8">
        <f t="shared" si="2"/>
        <v>819.74790643463518</v>
      </c>
      <c r="J8">
        <f t="shared" si="3"/>
        <v>0.21116801072770161</v>
      </c>
      <c r="K8">
        <f t="shared" si="0"/>
        <v>0.9719626168224299</v>
      </c>
      <c r="L8">
        <f t="shared" si="1"/>
        <v>0.20524741229608381</v>
      </c>
      <c r="M8">
        <f>K8*F8/I8</f>
        <v>0.36119265751191343</v>
      </c>
    </row>
    <row r="9" spans="1:13" x14ac:dyDescent="0.25">
      <c r="A9" t="s">
        <v>16</v>
      </c>
      <c r="B9">
        <v>2006</v>
      </c>
      <c r="C9">
        <v>-177.84725649999999</v>
      </c>
      <c r="D9">
        <v>324.3617648</v>
      </c>
      <c r="E9">
        <v>-677.0980892</v>
      </c>
      <c r="F9">
        <v>255.47445260000001</v>
      </c>
      <c r="G9">
        <v>8</v>
      </c>
      <c r="H9">
        <v>8</v>
      </c>
      <c r="I9">
        <f t="shared" si="2"/>
        <v>510.94890520000001</v>
      </c>
      <c r="J9">
        <f t="shared" si="3"/>
        <v>-0.34807248765977</v>
      </c>
      <c r="K9">
        <f t="shared" si="0"/>
        <v>0.94545454545454544</v>
      </c>
      <c r="L9">
        <f t="shared" si="1"/>
        <v>-0.32908671560560071</v>
      </c>
      <c r="M9">
        <f>K9*F9/I9</f>
        <v>0.47272727272727272</v>
      </c>
    </row>
    <row r="10" spans="1:13" x14ac:dyDescent="0.25">
      <c r="A10" t="s">
        <v>17</v>
      </c>
      <c r="B10">
        <v>2016</v>
      </c>
      <c r="C10">
        <v>-508.35147130000001</v>
      </c>
      <c r="D10">
        <v>490.20791500000001</v>
      </c>
      <c r="E10">
        <v>-1501.0425809999999</v>
      </c>
      <c r="F10">
        <v>507.9720653</v>
      </c>
      <c r="G10">
        <v>18</v>
      </c>
      <c r="H10">
        <v>18</v>
      </c>
      <c r="I10">
        <f t="shared" si="2"/>
        <v>1523.9161959</v>
      </c>
      <c r="J10">
        <f t="shared" si="3"/>
        <v>-0.33358230109220405</v>
      </c>
      <c r="K10">
        <f t="shared" si="0"/>
        <v>0.97777777777777775</v>
      </c>
      <c r="L10">
        <f t="shared" si="1"/>
        <v>-0.32616936106793282</v>
      </c>
      <c r="M10">
        <f>K10*F10/I10</f>
        <v>0.3259259259259259</v>
      </c>
    </row>
    <row r="11" spans="1:13" x14ac:dyDescent="0.25">
      <c r="A11" t="s">
        <v>18</v>
      </c>
      <c r="B11">
        <v>2015</v>
      </c>
      <c r="C11">
        <v>895.45088320000002</v>
      </c>
      <c r="D11">
        <v>1561.1539339999999</v>
      </c>
      <c r="E11">
        <v>226.84736470000001</v>
      </c>
      <c r="F11">
        <v>340.38432890000001</v>
      </c>
      <c r="G11">
        <v>19</v>
      </c>
      <c r="H11">
        <v>20</v>
      </c>
      <c r="I11">
        <f t="shared" si="2"/>
        <v>1062.500277128981</v>
      </c>
      <c r="J11">
        <f t="shared" si="3"/>
        <v>0.8427770820160434</v>
      </c>
      <c r="K11">
        <f t="shared" si="0"/>
        <v>0.97959183673469385</v>
      </c>
      <c r="L11">
        <f t="shared" si="1"/>
        <v>0.82557754973000164</v>
      </c>
      <c r="M11">
        <f>K11*F11/I11</f>
        <v>0.31382364515127548</v>
      </c>
    </row>
    <row r="12" spans="1:13" x14ac:dyDescent="0.25">
      <c r="A12" t="s">
        <v>19</v>
      </c>
      <c r="B12">
        <v>2009</v>
      </c>
      <c r="C12">
        <v>275.91481379999999</v>
      </c>
      <c r="D12">
        <v>1084.645078</v>
      </c>
      <c r="E12">
        <v>-532.86355049999997</v>
      </c>
      <c r="F12">
        <v>412.62975210000002</v>
      </c>
      <c r="G12">
        <v>13</v>
      </c>
      <c r="H12">
        <v>13</v>
      </c>
      <c r="I12">
        <f t="shared" si="2"/>
        <v>1052.0035789234266</v>
      </c>
      <c r="J12">
        <f t="shared" si="3"/>
        <v>0.26227554670713082</v>
      </c>
      <c r="K12">
        <f t="shared" si="0"/>
        <v>0.96842105263157896</v>
      </c>
      <c r="L12">
        <f t="shared" si="1"/>
        <v>0.25399316102164249</v>
      </c>
      <c r="M12">
        <f>K12*F12/I12</f>
        <v>0.37984598805711439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morton_protein_csa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2025-10-13T01:00:38Z</dcterms:created>
  <dcterms:modified xsi:type="dcterms:W3CDTF">2025-12-30T13:02:51Z</dcterms:modified>
</cp:coreProperties>
</file>