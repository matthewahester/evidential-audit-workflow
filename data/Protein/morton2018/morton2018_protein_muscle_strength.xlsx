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morton2018\"/>
    </mc:Choice>
  </mc:AlternateContent>
  <xr:revisionPtr revIDLastSave="0" documentId="13_ncr:1_{2B61110A-19CB-4FF1-BC9C-CFBD1F2005A4}" xr6:coauthVersionLast="47" xr6:coauthVersionMax="47" xr10:uidLastSave="{00000000-0000-0000-0000-000000000000}"/>
  <bookViews>
    <workbookView xWindow="38280" yWindow="2820" windowWidth="29040" windowHeight="16440" xr2:uid="{E2595223-F3BE-4832-B5A5-9A273B8FA315}"/>
  </bookViews>
  <sheets>
    <sheet name="morton_protein_1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  <c r="J3" i="1"/>
  <c r="J4" i="1"/>
  <c r="J5" i="1"/>
  <c r="J6" i="1"/>
  <c r="J7" i="1"/>
  <c r="J8" i="1"/>
  <c r="J9" i="1"/>
  <c r="J10" i="1"/>
  <c r="K10" i="1" s="1"/>
  <c r="J11" i="1"/>
  <c r="K11" i="1" s="1"/>
  <c r="J12" i="1"/>
  <c r="J13" i="1"/>
  <c r="K13" i="1" s="1"/>
  <c r="J14" i="1"/>
  <c r="K14" i="1" s="1"/>
  <c r="J15" i="1"/>
  <c r="J16" i="1"/>
  <c r="J17" i="1"/>
  <c r="J18" i="1"/>
  <c r="J19" i="1"/>
  <c r="J20" i="1"/>
  <c r="J21" i="1"/>
  <c r="J22" i="1"/>
  <c r="J23" i="1"/>
  <c r="J24" i="1"/>
  <c r="J25" i="1"/>
  <c r="K25" i="1" s="1"/>
  <c r="J26" i="1"/>
  <c r="K26" i="1" s="1"/>
  <c r="J27" i="1"/>
  <c r="J28" i="1"/>
  <c r="J29" i="1"/>
  <c r="J2" i="1"/>
  <c r="K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  <c r="K3" i="1"/>
  <c r="M3" i="1" s="1"/>
  <c r="K4" i="1"/>
  <c r="K5" i="1"/>
  <c r="K6" i="1"/>
  <c r="K7" i="1"/>
  <c r="M7" i="1" s="1"/>
  <c r="K8" i="1"/>
  <c r="K9" i="1"/>
  <c r="K12" i="1"/>
  <c r="K15" i="1"/>
  <c r="M15" i="1" s="1"/>
  <c r="K16" i="1"/>
  <c r="K17" i="1"/>
  <c r="K18" i="1"/>
  <c r="K19" i="1"/>
  <c r="M19" i="1" s="1"/>
  <c r="K20" i="1"/>
  <c r="K21" i="1"/>
  <c r="K22" i="1"/>
  <c r="K23" i="1"/>
  <c r="K24" i="1"/>
  <c r="K27" i="1"/>
  <c r="M27" i="1" s="1"/>
  <c r="K28" i="1"/>
  <c r="M28" i="1"/>
  <c r="K29" i="1"/>
  <c r="M29" i="1" s="1"/>
  <c r="M14" i="1" l="1"/>
  <c r="M23" i="1"/>
  <c r="M12" i="1"/>
  <c r="M2" i="1"/>
  <c r="M5" i="1"/>
  <c r="M4" i="1"/>
  <c r="M11" i="1"/>
  <c r="M17" i="1"/>
  <c r="M16" i="1"/>
  <c r="M10" i="1"/>
  <c r="M9" i="1"/>
  <c r="M13" i="1"/>
  <c r="M26" i="1"/>
  <c r="M25" i="1"/>
  <c r="M24" i="1"/>
  <c r="M6" i="1"/>
  <c r="M22" i="1"/>
  <c r="M18" i="1"/>
  <c r="M21" i="1"/>
  <c r="M20" i="1"/>
  <c r="M8" i="1"/>
</calcChain>
</file>

<file path=xl/sharedStrings.xml><?xml version="1.0" encoding="utf-8"?>
<sst xmlns="http://schemas.openxmlformats.org/spreadsheetml/2006/main" count="70" uniqueCount="41">
  <si>
    <t>Author</t>
  </si>
  <si>
    <t>Year</t>
  </si>
  <si>
    <t>type</t>
  </si>
  <si>
    <t>ES</t>
  </si>
  <si>
    <t>CI_lower</t>
  </si>
  <si>
    <t>CI_upper</t>
  </si>
  <si>
    <t>SE</t>
  </si>
  <si>
    <t>n_control</t>
  </si>
  <si>
    <t>n_treatment</t>
  </si>
  <si>
    <t>pooled_sd</t>
  </si>
  <si>
    <t>Arazi</t>
  </si>
  <si>
    <t>1RM</t>
  </si>
  <si>
    <t>Babault</t>
  </si>
  <si>
    <t>Bemben</t>
  </si>
  <si>
    <t>Candow</t>
  </si>
  <si>
    <t>Candow a</t>
  </si>
  <si>
    <t>Coburn</t>
  </si>
  <si>
    <t>Daly</t>
  </si>
  <si>
    <t>Erskine</t>
  </si>
  <si>
    <t>Hartman</t>
  </si>
  <si>
    <t>Herda</t>
  </si>
  <si>
    <t>Hoffman</t>
  </si>
  <si>
    <t>Hulmi</t>
  </si>
  <si>
    <t>Josse</t>
  </si>
  <si>
    <t>Kerksick</t>
  </si>
  <si>
    <t>Leenders F</t>
  </si>
  <si>
    <t>Leenders M</t>
  </si>
  <si>
    <t>Mielke</t>
  </si>
  <si>
    <t>Negro</t>
  </si>
  <si>
    <t>Paoli</t>
  </si>
  <si>
    <t>Rankin</t>
  </si>
  <si>
    <t>Reidy</t>
  </si>
  <si>
    <t>Rozenek</t>
  </si>
  <si>
    <t>Snijders</t>
  </si>
  <si>
    <t>Verdijk</t>
  </si>
  <si>
    <t>Volek</t>
  </si>
  <si>
    <t>Weisgarber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</si>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</sst>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2279-DE07-4E44-A076-3664A36D2B99}">
  <dimension ref="A1:N29"/>
  <sheetViews>
    <sheetView tabSelected="1" topLeftCell="B1" workbookViewId="0">
      <selection activeCell="M10" sqref="M1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</v>
      </c>
      <c r="L1" t="s">
        <v>38</v>
      </c>
      <c r="M1" t="s">
        <v>39</v>
      </c>
      <c r="N1" t="s">
        <v>40</v>
      </c>
    </row>
    <row r="2" spans="1:14" x14ac:dyDescent="0.25">
      <c r="A2" t="s">
        <v>10</v>
      </c>
      <c r="B2">
        <v>2011</v>
      </c>
      <c r="C2" t="s">
        <v>11</v>
      </c>
      <c r="D2">
        <v>2.4757281550000001</v>
      </c>
      <c r="E2">
        <v>-4.8058252430000001</v>
      </c>
      <c r="F2">
        <v>9.7572815530000003</v>
      </c>
      <c r="G2">
        <v>3.7150782640000002</v>
      </c>
      <c r="H2">
        <v>20</v>
      </c>
      <c r="I2">
        <v>20</v>
      </c>
      <c r="J2">
        <f>G2/SQRT(1/I2+1/H2)</f>
        <v>11.748109000024325</v>
      </c>
      <c r="K2">
        <f>D2/J2</f>
        <v>0.21073418326258925</v>
      </c>
      <c r="L2">
        <f t="shared" ref="L2:L29" si="0">1-3/(4*(H2+I2-2)-1)</f>
        <v>0.98013245033112584</v>
      </c>
      <c r="M2">
        <f t="shared" ref="M2:M29" si="1">L2*K2</f>
        <v>0.20654741140969013</v>
      </c>
      <c r="N2">
        <f>L2*G2/J2</f>
        <v>0.30994509516882129</v>
      </c>
    </row>
    <row r="3" spans="1:14" x14ac:dyDescent="0.25">
      <c r="A3" t="s">
        <v>12</v>
      </c>
      <c r="B3">
        <v>2014</v>
      </c>
      <c r="C3" t="s">
        <v>11</v>
      </c>
      <c r="D3">
        <v>-4.5145631069999999</v>
      </c>
      <c r="E3">
        <v>-12.26941748</v>
      </c>
      <c r="F3">
        <v>3.2402912619999999</v>
      </c>
      <c r="G3">
        <v>3.956558351</v>
      </c>
      <c r="H3">
        <v>48</v>
      </c>
      <c r="I3">
        <v>44</v>
      </c>
      <c r="J3">
        <f t="shared" ref="J3:J29" si="2">G3/SQRT(1/I3+1/H3)</f>
        <v>18.957044009171412</v>
      </c>
      <c r="K3">
        <f t="shared" ref="K3:K29" si="3">D3/J3</f>
        <v>-0.23814699722255514</v>
      </c>
      <c r="L3">
        <f t="shared" si="0"/>
        <v>0.99164345403899723</v>
      </c>
      <c r="M3">
        <f t="shared" si="1"/>
        <v>-0.23615691089479005</v>
      </c>
      <c r="N3">
        <f>L3*G3/J3</f>
        <v>0.20696766792303131</v>
      </c>
    </row>
    <row r="4" spans="1:14" x14ac:dyDescent="0.25">
      <c r="A4" t="s">
        <v>13</v>
      </c>
      <c r="B4">
        <v>2010</v>
      </c>
      <c r="C4" t="s">
        <v>11</v>
      </c>
      <c r="D4">
        <v>2.4757281550000001</v>
      </c>
      <c r="E4">
        <v>-0.50970873800000005</v>
      </c>
      <c r="F4">
        <v>5.4611650489999999</v>
      </c>
      <c r="G4">
        <v>1.523182088</v>
      </c>
      <c r="H4">
        <v>10</v>
      </c>
      <c r="I4">
        <v>11</v>
      </c>
      <c r="J4">
        <f t="shared" si="2"/>
        <v>3.4860893907920074</v>
      </c>
      <c r="K4">
        <f t="shared" si="3"/>
        <v>0.71017345726683656</v>
      </c>
      <c r="L4">
        <f t="shared" si="0"/>
        <v>0.96</v>
      </c>
      <c r="M4">
        <f t="shared" si="1"/>
        <v>0.68176651897616303</v>
      </c>
      <c r="N4">
        <f>L4*G4/J4</f>
        <v>0.41945419080254537</v>
      </c>
    </row>
    <row r="5" spans="1:14" x14ac:dyDescent="0.25">
      <c r="A5" t="s">
        <v>14</v>
      </c>
      <c r="B5">
        <v>2006</v>
      </c>
      <c r="C5" t="s">
        <v>11</v>
      </c>
      <c r="D5">
        <v>9.2475728159999999</v>
      </c>
      <c r="E5">
        <v>1.165048544</v>
      </c>
      <c r="F5">
        <v>17.330097089999999</v>
      </c>
      <c r="G5">
        <v>4.1237368730000004</v>
      </c>
      <c r="H5">
        <v>18</v>
      </c>
      <c r="I5">
        <v>18</v>
      </c>
      <c r="J5">
        <f t="shared" si="2"/>
        <v>12.371210619000001</v>
      </c>
      <c r="K5">
        <f t="shared" si="3"/>
        <v>0.74750750761589624</v>
      </c>
      <c r="L5">
        <f t="shared" si="0"/>
        <v>0.97777777777777775</v>
      </c>
      <c r="M5">
        <f t="shared" si="1"/>
        <v>0.73089622966887635</v>
      </c>
      <c r="N5">
        <f>L5*G5/J5</f>
        <v>0.3259259259259259</v>
      </c>
    </row>
    <row r="6" spans="1:14" x14ac:dyDescent="0.25">
      <c r="A6" t="s">
        <v>15</v>
      </c>
      <c r="B6">
        <v>2006</v>
      </c>
      <c r="C6" t="s">
        <v>11</v>
      </c>
      <c r="D6">
        <v>3.2038834949999999</v>
      </c>
      <c r="E6">
        <v>-8.3737864080000008</v>
      </c>
      <c r="F6">
        <v>14.7815534</v>
      </c>
      <c r="G6">
        <v>5.9069744399999999</v>
      </c>
      <c r="H6">
        <v>20</v>
      </c>
      <c r="I6">
        <v>19</v>
      </c>
      <c r="J6">
        <f t="shared" si="2"/>
        <v>18.43845749237666</v>
      </c>
      <c r="K6">
        <f t="shared" si="3"/>
        <v>0.17376092855514833</v>
      </c>
      <c r="L6">
        <f t="shared" si="0"/>
        <v>0.97959183673469385</v>
      </c>
      <c r="M6">
        <f t="shared" si="1"/>
        <v>0.17021478715606367</v>
      </c>
      <c r="N6">
        <f>L6*G6/J6</f>
        <v>0.31382364515127548</v>
      </c>
    </row>
    <row r="7" spans="1:14" x14ac:dyDescent="0.25">
      <c r="A7" t="s">
        <v>16</v>
      </c>
      <c r="B7">
        <v>2006</v>
      </c>
      <c r="C7" t="s">
        <v>11</v>
      </c>
      <c r="D7">
        <v>3.2038834949999999</v>
      </c>
      <c r="E7">
        <v>-2.6941747569999999</v>
      </c>
      <c r="F7">
        <v>9.1019417479999998</v>
      </c>
      <c r="G7">
        <v>3.0092133940000001</v>
      </c>
      <c r="H7">
        <v>12</v>
      </c>
      <c r="I7">
        <v>11</v>
      </c>
      <c r="J7">
        <f t="shared" si="2"/>
        <v>7.2090167365569169</v>
      </c>
      <c r="K7">
        <f t="shared" si="3"/>
        <v>0.44442725160466195</v>
      </c>
      <c r="L7">
        <f t="shared" si="0"/>
        <v>0.96385542168674698</v>
      </c>
      <c r="M7">
        <f t="shared" si="1"/>
        <v>0.42836361600449346</v>
      </c>
      <c r="N7">
        <f>L7*G7/J7</f>
        <v>0.40233595659601051</v>
      </c>
    </row>
    <row r="8" spans="1:14" x14ac:dyDescent="0.25">
      <c r="A8" t="s">
        <v>17</v>
      </c>
      <c r="B8">
        <v>2014</v>
      </c>
      <c r="C8" t="s">
        <v>11</v>
      </c>
      <c r="D8">
        <v>18.05825243</v>
      </c>
      <c r="E8">
        <v>3.2038834949999999</v>
      </c>
      <c r="F8">
        <v>32.912621360000003</v>
      </c>
      <c r="G8">
        <v>7.5787596590000001</v>
      </c>
      <c r="H8">
        <v>43</v>
      </c>
      <c r="I8">
        <v>48</v>
      </c>
      <c r="J8">
        <f t="shared" si="2"/>
        <v>36.093773200120843</v>
      </c>
      <c r="K8">
        <f t="shared" si="3"/>
        <v>0.50031489725046374</v>
      </c>
      <c r="L8">
        <f t="shared" si="0"/>
        <v>0.9915492957746479</v>
      </c>
      <c r="M8">
        <f t="shared" si="1"/>
        <v>0.49608688403426265</v>
      </c>
      <c r="N8">
        <f>L8*G8/J8</f>
        <v>0.20819972910733536</v>
      </c>
    </row>
    <row r="9" spans="1:14" x14ac:dyDescent="0.25">
      <c r="A9" t="s">
        <v>18</v>
      </c>
      <c r="B9">
        <v>2012</v>
      </c>
      <c r="C9" t="s">
        <v>11</v>
      </c>
      <c r="D9">
        <v>-2.4757281550000001</v>
      </c>
      <c r="E9">
        <v>-4.660194175</v>
      </c>
      <c r="F9">
        <v>-0.291262136</v>
      </c>
      <c r="G9">
        <v>1.114523479</v>
      </c>
      <c r="H9">
        <v>16</v>
      </c>
      <c r="I9">
        <v>17</v>
      </c>
      <c r="J9">
        <f t="shared" si="2"/>
        <v>3.1997548352386631</v>
      </c>
      <c r="K9">
        <f t="shared" si="3"/>
        <v>-0.77372432654370549</v>
      </c>
      <c r="L9">
        <f t="shared" si="0"/>
        <v>0.97560975609756095</v>
      </c>
      <c r="M9">
        <f t="shared" si="1"/>
        <v>-0.75485300150605417</v>
      </c>
      <c r="N9">
        <f>L9*G9/J9</f>
        <v>0.33981977854596873</v>
      </c>
    </row>
    <row r="10" spans="1:14" x14ac:dyDescent="0.25">
      <c r="A10" t="s">
        <v>19</v>
      </c>
      <c r="B10">
        <v>2007</v>
      </c>
      <c r="C10" t="s">
        <v>11</v>
      </c>
      <c r="D10">
        <v>15.2184466</v>
      </c>
      <c r="E10">
        <v>-10.084951459999999</v>
      </c>
      <c r="F10">
        <v>40.521844659999999</v>
      </c>
      <c r="G10">
        <v>12.90989697</v>
      </c>
      <c r="H10">
        <v>38</v>
      </c>
      <c r="I10">
        <v>37</v>
      </c>
      <c r="J10">
        <f t="shared" si="2"/>
        <v>55.896524438773156</v>
      </c>
      <c r="K10">
        <f t="shared" si="3"/>
        <v>0.27226105295096986</v>
      </c>
      <c r="L10">
        <f t="shared" si="0"/>
        <v>0.98969072164948457</v>
      </c>
      <c r="M10">
        <f t="shared" si="1"/>
        <v>0.26945423797209389</v>
      </c>
      <c r="N10">
        <f>L10*G10/J10</f>
        <v>0.22857960091338062</v>
      </c>
    </row>
    <row r="11" spans="1:14" x14ac:dyDescent="0.25">
      <c r="A11" t="s">
        <v>20</v>
      </c>
      <c r="B11">
        <v>2013</v>
      </c>
      <c r="C11" t="s">
        <v>11</v>
      </c>
      <c r="D11">
        <v>3.3495145630000001</v>
      </c>
      <c r="E11">
        <v>-13.21601942</v>
      </c>
      <c r="F11">
        <v>19.915048540000001</v>
      </c>
      <c r="G11">
        <v>8.4518030510000006</v>
      </c>
      <c r="H11">
        <v>21</v>
      </c>
      <c r="I11">
        <v>22</v>
      </c>
      <c r="J11">
        <f t="shared" si="2"/>
        <v>27.703594915561062</v>
      </c>
      <c r="K11">
        <f t="shared" si="3"/>
        <v>0.12090541221127167</v>
      </c>
      <c r="L11">
        <f t="shared" si="0"/>
        <v>0.98159509202453987</v>
      </c>
      <c r="M11">
        <f t="shared" si="1"/>
        <v>0.11868015922578815</v>
      </c>
      <c r="N11">
        <f>L11*G11/J11</f>
        <v>0.29946468748572569</v>
      </c>
    </row>
    <row r="12" spans="1:14" x14ac:dyDescent="0.25">
      <c r="A12" t="s">
        <v>21</v>
      </c>
      <c r="B12">
        <v>2007</v>
      </c>
      <c r="C12" t="s">
        <v>11</v>
      </c>
      <c r="D12">
        <v>8.8834951459999996</v>
      </c>
      <c r="E12">
        <v>2.330097087</v>
      </c>
      <c r="F12">
        <v>15.4368932</v>
      </c>
      <c r="G12">
        <v>3.343570438</v>
      </c>
      <c r="H12">
        <v>10</v>
      </c>
      <c r="I12">
        <v>11</v>
      </c>
      <c r="J12">
        <f t="shared" si="2"/>
        <v>7.6523913477622152</v>
      </c>
      <c r="K12">
        <f t="shared" si="3"/>
        <v>1.1608783114049435</v>
      </c>
      <c r="L12">
        <f t="shared" si="0"/>
        <v>0.96</v>
      </c>
      <c r="M12">
        <f t="shared" si="1"/>
        <v>1.1144431789487457</v>
      </c>
      <c r="N12">
        <f>L12*G12/J12</f>
        <v>0.41945419080254542</v>
      </c>
    </row>
    <row r="13" spans="1:14" x14ac:dyDescent="0.25">
      <c r="A13" t="s">
        <v>21</v>
      </c>
      <c r="B13">
        <v>2009</v>
      </c>
      <c r="C13" t="s">
        <v>11</v>
      </c>
      <c r="D13">
        <v>1.7475728159999999</v>
      </c>
      <c r="E13">
        <v>-4.696601942</v>
      </c>
      <c r="F13">
        <v>8.1917475730000007</v>
      </c>
      <c r="G13">
        <v>3.2878442639999998</v>
      </c>
      <c r="H13">
        <v>14</v>
      </c>
      <c r="I13">
        <v>26</v>
      </c>
      <c r="J13">
        <f t="shared" si="2"/>
        <v>9.9181788211995379</v>
      </c>
      <c r="K13">
        <f t="shared" si="3"/>
        <v>0.17619896227971443</v>
      </c>
      <c r="L13">
        <f t="shared" si="0"/>
        <v>0.98013245033112584</v>
      </c>
      <c r="M13">
        <f t="shared" si="1"/>
        <v>0.17269832064501811</v>
      </c>
      <c r="N13">
        <f>L13*G13/J13</f>
        <v>0.32491074348180726</v>
      </c>
    </row>
    <row r="14" spans="1:14" x14ac:dyDescent="0.25">
      <c r="A14" t="s">
        <v>22</v>
      </c>
      <c r="B14">
        <v>2009</v>
      </c>
      <c r="C14" t="s">
        <v>11</v>
      </c>
      <c r="D14">
        <v>-0.21844660199999999</v>
      </c>
      <c r="E14">
        <v>-11.10436893</v>
      </c>
      <c r="F14">
        <v>10.66747573</v>
      </c>
      <c r="G14">
        <v>5.5540420050000003</v>
      </c>
      <c r="H14">
        <v>19</v>
      </c>
      <c r="I14">
        <v>20</v>
      </c>
      <c r="J14">
        <f t="shared" si="2"/>
        <v>17.336788648787</v>
      </c>
      <c r="K14">
        <f t="shared" si="3"/>
        <v>-1.2600176793138908E-2</v>
      </c>
      <c r="L14">
        <f t="shared" si="0"/>
        <v>0.97959183673469385</v>
      </c>
      <c r="M14">
        <f t="shared" si="1"/>
        <v>-1.2343030327972808E-2</v>
      </c>
      <c r="N14">
        <f>L14*G14/J14</f>
        <v>0.31382364515127548</v>
      </c>
    </row>
    <row r="15" spans="1:14" x14ac:dyDescent="0.25">
      <c r="A15" t="s">
        <v>22</v>
      </c>
      <c r="B15">
        <v>2015</v>
      </c>
      <c r="C15" t="s">
        <v>11</v>
      </c>
      <c r="D15">
        <v>3.4223300970000001</v>
      </c>
      <c r="E15">
        <v>-25.084951459999999</v>
      </c>
      <c r="F15">
        <v>31.929611649999998</v>
      </c>
      <c r="G15">
        <v>14.5445314</v>
      </c>
      <c r="H15">
        <v>42</v>
      </c>
      <c r="I15">
        <v>47</v>
      </c>
      <c r="J15">
        <f t="shared" si="2"/>
        <v>68.498065178644481</v>
      </c>
      <c r="K15">
        <f t="shared" si="3"/>
        <v>4.9962434531172335E-2</v>
      </c>
      <c r="L15">
        <f t="shared" si="0"/>
        <v>0.99135446685878958</v>
      </c>
      <c r="M15">
        <f t="shared" si="1"/>
        <v>4.953048264761753E-2</v>
      </c>
      <c r="N15">
        <f>L15*G15/J15</f>
        <v>0.21049917445337191</v>
      </c>
    </row>
    <row r="16" spans="1:14" x14ac:dyDescent="0.25">
      <c r="A16" t="s">
        <v>23</v>
      </c>
      <c r="B16">
        <v>2010</v>
      </c>
      <c r="C16" t="s">
        <v>11</v>
      </c>
      <c r="D16">
        <v>2.9126213590000001</v>
      </c>
      <c r="E16">
        <v>-10.55825243</v>
      </c>
      <c r="F16">
        <v>16.383495150000002</v>
      </c>
      <c r="G16">
        <v>6.8728947890000001</v>
      </c>
      <c r="H16">
        <v>10</v>
      </c>
      <c r="I16">
        <v>10</v>
      </c>
      <c r="J16">
        <f t="shared" si="2"/>
        <v>15.368259950408074</v>
      </c>
      <c r="K16">
        <f t="shared" si="3"/>
        <v>0.18952186964553921</v>
      </c>
      <c r="L16">
        <f t="shared" si="0"/>
        <v>0.95774647887323949</v>
      </c>
      <c r="M16">
        <f t="shared" si="1"/>
        <v>0.18151390332248826</v>
      </c>
      <c r="N16">
        <f>L16*G16/J16</f>
        <v>0.42831724639432595</v>
      </c>
    </row>
    <row r="17" spans="1:14" x14ac:dyDescent="0.25">
      <c r="A17" t="s">
        <v>24</v>
      </c>
      <c r="B17">
        <v>2006</v>
      </c>
      <c r="C17" t="s">
        <v>11</v>
      </c>
      <c r="D17">
        <v>3.4223300970000001</v>
      </c>
      <c r="E17">
        <v>-8.1189320390000006</v>
      </c>
      <c r="F17">
        <v>14.96359223</v>
      </c>
      <c r="G17">
        <v>5.8883990490000002</v>
      </c>
      <c r="H17">
        <v>22</v>
      </c>
      <c r="I17">
        <v>25</v>
      </c>
      <c r="J17">
        <f t="shared" si="2"/>
        <v>20.143254954780851</v>
      </c>
      <c r="K17">
        <f t="shared" si="3"/>
        <v>0.16989955718093791</v>
      </c>
      <c r="L17">
        <f t="shared" si="0"/>
        <v>0.98324022346368711</v>
      </c>
      <c r="M17">
        <f t="shared" si="1"/>
        <v>0.16705207856896687</v>
      </c>
      <c r="N17">
        <f>L17*G17/J17</f>
        <v>0.28742677436091224</v>
      </c>
    </row>
    <row r="18" spans="1:14" x14ac:dyDescent="0.25">
      <c r="A18" t="s">
        <v>25</v>
      </c>
      <c r="B18">
        <v>2013</v>
      </c>
      <c r="C18" t="s">
        <v>11</v>
      </c>
      <c r="D18">
        <v>-2.9126213590000001</v>
      </c>
      <c r="E18">
        <v>-10.048543690000001</v>
      </c>
      <c r="F18">
        <v>4.2233009709999996</v>
      </c>
      <c r="G18">
        <v>3.6407766989999999</v>
      </c>
      <c r="H18">
        <v>12</v>
      </c>
      <c r="I18">
        <v>12</v>
      </c>
      <c r="J18">
        <f t="shared" si="2"/>
        <v>8.9180451799644977</v>
      </c>
      <c r="K18">
        <f t="shared" si="3"/>
        <v>-0.32659863234866399</v>
      </c>
      <c r="L18">
        <f t="shared" si="0"/>
        <v>0.96551724137931039</v>
      </c>
      <c r="M18">
        <f t="shared" si="1"/>
        <v>-0.31533661054353768</v>
      </c>
      <c r="N18">
        <f>L18*G18/J18</f>
        <v>0.39417076320648842</v>
      </c>
    </row>
    <row r="19" spans="1:14" x14ac:dyDescent="0.25">
      <c r="A19" t="s">
        <v>26</v>
      </c>
      <c r="B19">
        <v>2013</v>
      </c>
      <c r="C19" t="s">
        <v>11</v>
      </c>
      <c r="D19">
        <v>3.0582524270000002</v>
      </c>
      <c r="E19">
        <v>-3.2038834949999999</v>
      </c>
      <c r="F19">
        <v>9.32038835</v>
      </c>
      <c r="G19">
        <v>3.1949673070000002</v>
      </c>
      <c r="H19">
        <v>14</v>
      </c>
      <c r="I19">
        <v>15</v>
      </c>
      <c r="J19">
        <f t="shared" si="2"/>
        <v>8.5975966559381263</v>
      </c>
      <c r="K19">
        <f t="shared" si="3"/>
        <v>0.35571015359132352</v>
      </c>
      <c r="L19">
        <f t="shared" si="0"/>
        <v>0.9719626168224299</v>
      </c>
      <c r="M19">
        <f t="shared" si="1"/>
        <v>0.34573697171493128</v>
      </c>
      <c r="N19">
        <f>L19*G19/J19</f>
        <v>0.36119265751191348</v>
      </c>
    </row>
    <row r="20" spans="1:14" x14ac:dyDescent="0.25">
      <c r="A20" t="s">
        <v>27</v>
      </c>
      <c r="B20">
        <v>2009</v>
      </c>
      <c r="C20" t="s">
        <v>11</v>
      </c>
      <c r="D20">
        <v>1.966019417</v>
      </c>
      <c r="E20">
        <v>-4.4417475729999998</v>
      </c>
      <c r="F20">
        <v>8.3737864080000008</v>
      </c>
      <c r="G20">
        <v>3.2692688730000001</v>
      </c>
      <c r="H20">
        <v>13</v>
      </c>
      <c r="I20">
        <v>13</v>
      </c>
      <c r="J20">
        <f t="shared" si="2"/>
        <v>8.3350328893042462</v>
      </c>
      <c r="K20">
        <f t="shared" si="3"/>
        <v>0.23587422426645163</v>
      </c>
      <c r="L20">
        <f t="shared" si="0"/>
        <v>0.96842105263157896</v>
      </c>
      <c r="M20">
        <f t="shared" si="1"/>
        <v>0.22842556455277421</v>
      </c>
      <c r="N20">
        <f>L20*G20/J20</f>
        <v>0.37984598805711434</v>
      </c>
    </row>
    <row r="21" spans="1:14" x14ac:dyDescent="0.25">
      <c r="A21" t="s">
        <v>28</v>
      </c>
      <c r="B21">
        <v>2014</v>
      </c>
      <c r="C21" t="s">
        <v>11</v>
      </c>
      <c r="D21">
        <v>-1.2378640780000001</v>
      </c>
      <c r="E21">
        <v>-19.00485437</v>
      </c>
      <c r="F21">
        <v>16.529126210000001</v>
      </c>
      <c r="G21">
        <v>9.0647909650000003</v>
      </c>
      <c r="H21">
        <v>14</v>
      </c>
      <c r="I21">
        <v>12</v>
      </c>
      <c r="J21">
        <f t="shared" si="2"/>
        <v>23.042296493602688</v>
      </c>
      <c r="K21">
        <f t="shared" si="3"/>
        <v>-5.3721384860388049E-2</v>
      </c>
      <c r="L21">
        <f t="shared" si="0"/>
        <v>0.96842105263157896</v>
      </c>
      <c r="M21">
        <f t="shared" si="1"/>
        <v>-5.2024920075323167E-2</v>
      </c>
      <c r="N21">
        <f>L21*G21/J21</f>
        <v>0.38097480477467782</v>
      </c>
    </row>
    <row r="22" spans="1:14" x14ac:dyDescent="0.25">
      <c r="A22" t="s">
        <v>29</v>
      </c>
      <c r="B22">
        <v>2016</v>
      </c>
      <c r="C22" t="s">
        <v>11</v>
      </c>
      <c r="D22">
        <v>0.21844660199999999</v>
      </c>
      <c r="E22">
        <v>-8.2645631070000007</v>
      </c>
      <c r="F22">
        <v>8.7014563109999994</v>
      </c>
      <c r="G22">
        <v>4.3280661780000003</v>
      </c>
      <c r="H22">
        <v>9</v>
      </c>
      <c r="I22">
        <v>9</v>
      </c>
      <c r="J22">
        <f t="shared" si="2"/>
        <v>9.18121483166383</v>
      </c>
      <c r="K22">
        <f t="shared" si="3"/>
        <v>2.3792777535999867E-2</v>
      </c>
      <c r="L22">
        <f t="shared" si="0"/>
        <v>0.95238095238095233</v>
      </c>
      <c r="M22">
        <f t="shared" si="1"/>
        <v>2.265978812952368E-2</v>
      </c>
      <c r="N22">
        <f>L22*G22/J22</f>
        <v>0.44895668646764914</v>
      </c>
    </row>
    <row r="23" spans="1:14" x14ac:dyDescent="0.25">
      <c r="A23" t="s">
        <v>30</v>
      </c>
      <c r="B23">
        <v>2004</v>
      </c>
      <c r="C23" t="s">
        <v>11</v>
      </c>
      <c r="D23">
        <v>2.9854368930000001</v>
      </c>
      <c r="E23">
        <v>-11.17718447</v>
      </c>
      <c r="F23">
        <v>17.148058249999998</v>
      </c>
      <c r="G23">
        <v>7.2258272239999997</v>
      </c>
      <c r="H23">
        <v>9</v>
      </c>
      <c r="I23">
        <v>10</v>
      </c>
      <c r="J23">
        <f t="shared" si="2"/>
        <v>15.726498115231065</v>
      </c>
      <c r="K23">
        <f t="shared" si="3"/>
        <v>0.18983481707911909</v>
      </c>
      <c r="L23">
        <f t="shared" si="0"/>
        <v>0.95522388059701491</v>
      </c>
      <c r="M23">
        <f t="shared" si="1"/>
        <v>0.18133475064274063</v>
      </c>
      <c r="N23">
        <f>L23*G23/J23</f>
        <v>0.43889508464366878</v>
      </c>
    </row>
    <row r="24" spans="1:14" x14ac:dyDescent="0.25">
      <c r="A24" t="s">
        <v>31</v>
      </c>
      <c r="B24">
        <v>2016</v>
      </c>
      <c r="C24" t="s">
        <v>11</v>
      </c>
      <c r="D24">
        <v>3.8592233010000001</v>
      </c>
      <c r="E24">
        <v>-8.6286407769999993</v>
      </c>
      <c r="F24">
        <v>16.347087380000001</v>
      </c>
      <c r="G24">
        <v>6.3713592229999998</v>
      </c>
      <c r="H24">
        <v>46</v>
      </c>
      <c r="I24">
        <v>45</v>
      </c>
      <c r="J24">
        <f t="shared" si="2"/>
        <v>30.38761170034028</v>
      </c>
      <c r="K24">
        <f t="shared" si="3"/>
        <v>0.12699988860779027</v>
      </c>
      <c r="L24">
        <f t="shared" si="0"/>
        <v>0.9915492957746479</v>
      </c>
      <c r="M24">
        <f t="shared" si="1"/>
        <v>0.12592665011251317</v>
      </c>
      <c r="N24">
        <f>L24*G24/J24</f>
        <v>0.20789777140077825</v>
      </c>
    </row>
    <row r="25" spans="1:14" x14ac:dyDescent="0.25">
      <c r="A25" t="s">
        <v>32</v>
      </c>
      <c r="B25">
        <v>2002</v>
      </c>
      <c r="C25" t="s">
        <v>11</v>
      </c>
      <c r="D25">
        <v>8.7378640779999994</v>
      </c>
      <c r="E25">
        <v>1.347087379</v>
      </c>
      <c r="F25">
        <v>16.128640780000001</v>
      </c>
      <c r="G25">
        <v>3.7708044379999999</v>
      </c>
      <c r="H25">
        <v>25</v>
      </c>
      <c r="I25">
        <v>26</v>
      </c>
      <c r="J25">
        <f t="shared" si="2"/>
        <v>13.461876432490879</v>
      </c>
      <c r="K25">
        <f t="shared" si="3"/>
        <v>0.64908217824008163</v>
      </c>
      <c r="L25">
        <f t="shared" si="0"/>
        <v>0.98461538461538467</v>
      </c>
      <c r="M25">
        <f t="shared" si="1"/>
        <v>0.63909629857484962</v>
      </c>
      <c r="N25">
        <f>L25*G25/J25</f>
        <v>0.27580048596121187</v>
      </c>
    </row>
    <row r="26" spans="1:14" x14ac:dyDescent="0.25">
      <c r="A26" t="s">
        <v>33</v>
      </c>
      <c r="B26">
        <v>2015</v>
      </c>
      <c r="C26" t="s">
        <v>11</v>
      </c>
      <c r="D26">
        <v>4.660194175</v>
      </c>
      <c r="E26">
        <v>-7.2815534000000001E-2</v>
      </c>
      <c r="F26">
        <v>9.393203883</v>
      </c>
      <c r="G26">
        <v>2.4148008719999998</v>
      </c>
      <c r="H26">
        <v>19</v>
      </c>
      <c r="I26">
        <v>20</v>
      </c>
      <c r="J26">
        <f t="shared" si="2"/>
        <v>7.5377341959390787</v>
      </c>
      <c r="K26">
        <f t="shared" si="3"/>
        <v>0.61824867445056086</v>
      </c>
      <c r="L26">
        <f t="shared" si="0"/>
        <v>0.97959183673469385</v>
      </c>
      <c r="M26">
        <f t="shared" si="1"/>
        <v>0.60563135456381467</v>
      </c>
      <c r="N26">
        <f>L26*G26/J26</f>
        <v>0.31382364515127548</v>
      </c>
    </row>
    <row r="27" spans="1:14" x14ac:dyDescent="0.25">
      <c r="A27" t="s">
        <v>34</v>
      </c>
      <c r="B27">
        <v>2009</v>
      </c>
      <c r="C27" t="s">
        <v>11</v>
      </c>
      <c r="D27">
        <v>5.0242718450000003</v>
      </c>
      <c r="E27">
        <v>-4.5145631069999999</v>
      </c>
      <c r="F27">
        <v>14.5631068</v>
      </c>
      <c r="G27">
        <v>4.866752526</v>
      </c>
      <c r="H27">
        <v>13</v>
      </c>
      <c r="I27">
        <v>13</v>
      </c>
      <c r="J27">
        <f t="shared" si="2"/>
        <v>12.407833048950488</v>
      </c>
      <c r="K27">
        <f t="shared" si="3"/>
        <v>0.40492742166811929</v>
      </c>
      <c r="L27">
        <f t="shared" si="0"/>
        <v>0.96842105263157896</v>
      </c>
      <c r="M27">
        <f t="shared" si="1"/>
        <v>0.39214023993123132</v>
      </c>
      <c r="N27">
        <f>L27*G27/J27</f>
        <v>0.37984598805711434</v>
      </c>
    </row>
    <row r="28" spans="1:14" x14ac:dyDescent="0.25">
      <c r="A28" t="s">
        <v>35</v>
      </c>
      <c r="B28">
        <v>2013</v>
      </c>
      <c r="C28" t="s">
        <v>11</v>
      </c>
      <c r="D28">
        <v>-1.966019417</v>
      </c>
      <c r="E28">
        <v>-8.3009708740000008</v>
      </c>
      <c r="F28">
        <v>4.3689320389999997</v>
      </c>
      <c r="G28">
        <v>3.2321180900000002</v>
      </c>
      <c r="H28">
        <v>44</v>
      </c>
      <c r="I28">
        <v>41</v>
      </c>
      <c r="J28">
        <f t="shared" si="2"/>
        <v>14.890045460863826</v>
      </c>
      <c r="K28">
        <f t="shared" si="3"/>
        <v>-0.13203582367611819</v>
      </c>
      <c r="L28">
        <f t="shared" si="0"/>
        <v>0.99093655589123864</v>
      </c>
      <c r="M28">
        <f t="shared" si="1"/>
        <v>-0.13083912436787543</v>
      </c>
      <c r="N28">
        <f>L28*G28/J28</f>
        <v>0.21509833376644111</v>
      </c>
    </row>
    <row r="29" spans="1:14" x14ac:dyDescent="0.25">
      <c r="A29" t="s">
        <v>36</v>
      </c>
      <c r="B29">
        <v>2012</v>
      </c>
      <c r="C29" t="s">
        <v>11</v>
      </c>
      <c r="D29">
        <v>7.5728155340000001</v>
      </c>
      <c r="E29">
        <v>-4.9150485440000002</v>
      </c>
      <c r="F29">
        <v>20.060679610000001</v>
      </c>
      <c r="G29">
        <v>6.3713592229999998</v>
      </c>
      <c r="H29">
        <v>8</v>
      </c>
      <c r="I29">
        <v>9</v>
      </c>
      <c r="J29">
        <f t="shared" si="2"/>
        <v>13.112149106150094</v>
      </c>
      <c r="K29">
        <f t="shared" si="3"/>
        <v>0.57754190199439259</v>
      </c>
      <c r="L29">
        <f t="shared" si="0"/>
        <v>0.94915254237288138</v>
      </c>
      <c r="M29">
        <f t="shared" si="1"/>
        <v>0.54817536460484717</v>
      </c>
      <c r="N29">
        <f>L29*G29/J29</f>
        <v>0.4612052346205322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morton_protein_1rm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2025-10-13T01:01:23Z</dcterms:created>
  <dcterms:modified xsi:type="dcterms:W3CDTF">2025-12-30T13:02:27Z</dcterms:modified>
</cp:coreProperties>
</file>