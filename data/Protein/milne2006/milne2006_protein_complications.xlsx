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milne2006\"/>
    </mc:Choice>
  </mc:AlternateContent>
  <xr:revisionPtr revIDLastSave="0" documentId="13_ncr:1_{FBF8757E-CA95-4C7E-B62F-E114B723014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2" i="2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/>
  <c r="K3" i="2" l="1"/>
  <c r="K4" i="2"/>
  <c r="K5" i="2"/>
  <c r="K6" i="2"/>
  <c r="K7" i="2"/>
  <c r="K8" i="2"/>
  <c r="K9" i="2"/>
  <c r="K10" i="2"/>
  <c r="K11" i="2"/>
  <c r="K2" i="2"/>
  <c r="H3" i="2" l="1"/>
  <c r="L3" i="2" s="1"/>
  <c r="H4" i="2"/>
  <c r="L4" i="2" s="1"/>
  <c r="H5" i="2"/>
  <c r="L5" i="2" s="1"/>
  <c r="H6" i="2"/>
  <c r="L6" i="2" s="1"/>
  <c r="H7" i="2"/>
  <c r="L7" i="2" s="1"/>
  <c r="H8" i="2"/>
  <c r="L8" i="2" s="1"/>
  <c r="H9" i="2"/>
  <c r="L9" i="2" s="1"/>
  <c r="H10" i="2"/>
  <c r="L10" i="2" s="1"/>
  <c r="H11" i="2"/>
  <c r="L11" i="2" s="1"/>
  <c r="H2" i="2"/>
  <c r="L2" i="2" s="1"/>
</calcChain>
</file>

<file path=xl/sharedStrings.xml><?xml version="1.0" encoding="utf-8"?>
<sst xmlns="http://schemas.openxmlformats.org/spreadsheetml/2006/main" count="24" uniqueCount="24">
  <si>
    <t>n_treatment</t>
  </si>
  <si>
    <t>n_control</t>
  </si>
  <si>
    <t>events_control</t>
  </si>
  <si>
    <t>events_treatment</t>
  </si>
  <si>
    <t>Madigan</t>
  </si>
  <si>
    <t>Hankins</t>
  </si>
  <si>
    <t>Saudny-Unterberger</t>
  </si>
  <si>
    <t>Garlballa</t>
  </si>
  <si>
    <t>Potter</t>
  </si>
  <si>
    <t>Vermeeren</t>
  </si>
  <si>
    <t>FOOD</t>
  </si>
  <si>
    <t>Author</t>
  </si>
  <si>
    <t>Year</t>
  </si>
  <si>
    <t>Tidermark</t>
  </si>
  <si>
    <t>Delmi</t>
  </si>
  <si>
    <t>MacFie</t>
  </si>
  <si>
    <t>OR</t>
  </si>
  <si>
    <t>CI_lower_OR</t>
  </si>
  <si>
    <t>CI_upper_OR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</si>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</sst>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C7BE-C883-4AAA-9D17-86CC5801BA71}">
  <dimension ref="A1:N11"/>
  <sheetViews>
    <sheetView tabSelected="1" topLeftCell="B1" workbookViewId="0">
      <selection activeCell="N10" sqref="N10"/>
    </sheetView>
  </sheetViews>
  <sheetFormatPr defaultRowHeight="15" x14ac:dyDescent="0.25"/>
  <cols>
    <col min="1" max="1" width="33.42578125" bestFit="1" customWidth="1"/>
    <col min="8" max="8" width="9" customWidth="1"/>
  </cols>
  <sheetData>
    <row r="1" spans="1:14" x14ac:dyDescent="0.25">
      <c r="A1" t="s">
        <v>11</v>
      </c>
      <c r="B1" t="s">
        <v>12</v>
      </c>
      <c r="C1" t="s">
        <v>3</v>
      </c>
      <c r="D1" t="s">
        <v>0</v>
      </c>
      <c r="E1" t="s">
        <v>2</v>
      </c>
      <c r="F1" t="s">
        <v>1</v>
      </c>
      <c r="G1" t="s">
        <v>16</v>
      </c>
      <c r="H1" t="s">
        <v>19</v>
      </c>
      <c r="I1" t="s">
        <v>17</v>
      </c>
      <c r="J1" t="s">
        <v>18</v>
      </c>
      <c r="K1" t="s">
        <v>20</v>
      </c>
      <c r="L1" t="s">
        <v>21</v>
      </c>
      <c r="M1" t="s">
        <v>23</v>
      </c>
      <c r="N1" t="s">
        <v>22</v>
      </c>
    </row>
    <row r="2" spans="1:14" x14ac:dyDescent="0.25">
      <c r="A2" t="s">
        <v>14</v>
      </c>
      <c r="B2">
        <v>1990</v>
      </c>
      <c r="C2">
        <v>4</v>
      </c>
      <c r="D2">
        <v>25</v>
      </c>
      <c r="E2">
        <v>10</v>
      </c>
      <c r="F2">
        <v>27</v>
      </c>
      <c r="G2">
        <v>0.35</v>
      </c>
      <c r="H2">
        <f t="shared" ref="H2:H11" si="0">-LN(G2)/1.81</f>
        <v>0.58001222347993253</v>
      </c>
      <c r="I2">
        <v>0.1</v>
      </c>
      <c r="J2">
        <v>1.18</v>
      </c>
      <c r="K2">
        <f t="shared" ref="K2:K11" si="1">1-3/(4*(F2+D2-2)-1)</f>
        <v>0.98492462311557794</v>
      </c>
      <c r="L2">
        <f t="shared" ref="L2:L11" si="2">K2*H2</f>
        <v>0.57126832061340094</v>
      </c>
      <c r="M2">
        <f>(LN(J2)-LN(I2))/2/1.96/1.81</f>
        <v>0.34785482177692223</v>
      </c>
      <c r="N2">
        <f>M2*K2</f>
        <v>0.34261077923757166</v>
      </c>
    </row>
    <row r="3" spans="1:14" x14ac:dyDescent="0.25">
      <c r="A3" t="s">
        <v>4</v>
      </c>
      <c r="B3">
        <v>1994</v>
      </c>
      <c r="C3">
        <v>6</v>
      </c>
      <c r="D3">
        <v>18</v>
      </c>
      <c r="E3">
        <v>4</v>
      </c>
      <c r="F3">
        <v>12</v>
      </c>
      <c r="G3">
        <v>1</v>
      </c>
      <c r="H3">
        <f t="shared" si="0"/>
        <v>0</v>
      </c>
      <c r="I3">
        <v>0.22</v>
      </c>
      <c r="J3">
        <v>4.59</v>
      </c>
      <c r="K3">
        <f t="shared" si="1"/>
        <v>0.97297297297297303</v>
      </c>
      <c r="L3">
        <f t="shared" si="2"/>
        <v>0</v>
      </c>
      <c r="M3">
        <f t="shared" ref="M3:M11" si="3">(LN(J3)-LN(I3))/2/1.96/1.81</f>
        <v>0.42817788881246888</v>
      </c>
      <c r="N3">
        <f t="shared" ref="N3:N11" si="4">M3*K3</f>
        <v>0.41660551343915891</v>
      </c>
    </row>
    <row r="4" spans="1:14" x14ac:dyDescent="0.25">
      <c r="A4" t="s">
        <v>5</v>
      </c>
      <c r="B4">
        <v>1996</v>
      </c>
      <c r="C4">
        <v>4</v>
      </c>
      <c r="D4">
        <v>17</v>
      </c>
      <c r="E4">
        <v>4</v>
      </c>
      <c r="F4">
        <v>12</v>
      </c>
      <c r="G4">
        <v>0.62</v>
      </c>
      <c r="H4">
        <f t="shared" si="0"/>
        <v>0.26410817731657449</v>
      </c>
      <c r="I4">
        <v>0.12</v>
      </c>
      <c r="J4">
        <v>3.16</v>
      </c>
      <c r="K4">
        <f t="shared" si="1"/>
        <v>0.9719626168224299</v>
      </c>
      <c r="L4">
        <f t="shared" si="2"/>
        <v>0.25670327514882008</v>
      </c>
      <c r="M4">
        <f t="shared" si="3"/>
        <v>0.46099272237553718</v>
      </c>
      <c r="N4">
        <f t="shared" si="4"/>
        <v>0.44806769277622305</v>
      </c>
    </row>
    <row r="5" spans="1:14" x14ac:dyDescent="0.25">
      <c r="A5" t="s">
        <v>6</v>
      </c>
      <c r="B5">
        <v>1997</v>
      </c>
      <c r="C5">
        <v>0</v>
      </c>
      <c r="D5">
        <v>14</v>
      </c>
      <c r="E5">
        <v>1</v>
      </c>
      <c r="F5">
        <v>10</v>
      </c>
      <c r="G5">
        <v>0.09</v>
      </c>
      <c r="H5">
        <f t="shared" si="0"/>
        <v>1.3303566898629129</v>
      </c>
      <c r="I5" s="1">
        <v>1E-3</v>
      </c>
      <c r="J5">
        <v>4.83</v>
      </c>
      <c r="K5">
        <f t="shared" si="1"/>
        <v>0.96551724137931039</v>
      </c>
      <c r="L5">
        <f t="shared" si="2"/>
        <v>1.2844823212469505</v>
      </c>
      <c r="M5">
        <f t="shared" si="3"/>
        <v>1.1955408933710985</v>
      </c>
      <c r="N5">
        <f t="shared" si="4"/>
        <v>1.1543153453238193</v>
      </c>
    </row>
    <row r="6" spans="1:14" x14ac:dyDescent="0.25">
      <c r="A6" t="s">
        <v>7</v>
      </c>
      <c r="B6">
        <v>1998</v>
      </c>
      <c r="C6">
        <v>9</v>
      </c>
      <c r="D6">
        <v>20</v>
      </c>
      <c r="E6">
        <v>11</v>
      </c>
      <c r="F6">
        <v>20</v>
      </c>
      <c r="G6">
        <v>0.68</v>
      </c>
      <c r="H6">
        <f t="shared" si="0"/>
        <v>0.21307319381877601</v>
      </c>
      <c r="I6">
        <v>0.2</v>
      </c>
      <c r="J6">
        <v>2.2999999999999998</v>
      </c>
      <c r="K6">
        <f t="shared" si="1"/>
        <v>0.98013245033112584</v>
      </c>
      <c r="L6">
        <f t="shared" si="2"/>
        <v>0.20883995155747584</v>
      </c>
      <c r="M6">
        <f t="shared" si="3"/>
        <v>0.34422525585877839</v>
      </c>
      <c r="N6">
        <f t="shared" si="4"/>
        <v>0.33738634349072322</v>
      </c>
    </row>
    <row r="7" spans="1:14" x14ac:dyDescent="0.25">
      <c r="A7" t="s">
        <v>15</v>
      </c>
      <c r="B7">
        <v>2000</v>
      </c>
      <c r="C7">
        <v>19</v>
      </c>
      <c r="D7">
        <v>75</v>
      </c>
      <c r="E7">
        <v>3</v>
      </c>
      <c r="F7">
        <v>25</v>
      </c>
      <c r="G7">
        <v>2.16</v>
      </c>
      <c r="H7">
        <f t="shared" si="0"/>
        <v>-0.42547415563318991</v>
      </c>
      <c r="I7">
        <v>0.73</v>
      </c>
      <c r="J7">
        <v>6.4</v>
      </c>
      <c r="K7">
        <f t="shared" si="1"/>
        <v>0.99232736572890023</v>
      </c>
      <c r="L7">
        <f t="shared" si="2"/>
        <v>-0.42220964804521144</v>
      </c>
      <c r="M7">
        <f t="shared" si="3"/>
        <v>0.305982739768481</v>
      </c>
      <c r="N7">
        <f t="shared" si="4"/>
        <v>0.30363504611296838</v>
      </c>
    </row>
    <row r="8" spans="1:14" x14ac:dyDescent="0.25">
      <c r="A8" t="s">
        <v>8</v>
      </c>
      <c r="B8">
        <v>2001</v>
      </c>
      <c r="C8">
        <v>37</v>
      </c>
      <c r="D8">
        <v>130</v>
      </c>
      <c r="E8">
        <v>44</v>
      </c>
      <c r="F8">
        <v>138</v>
      </c>
      <c r="G8">
        <v>0.85</v>
      </c>
      <c r="H8">
        <f t="shared" si="0"/>
        <v>8.9789463810925382E-2</v>
      </c>
      <c r="I8">
        <v>0.51</v>
      </c>
      <c r="J8">
        <v>1.43</v>
      </c>
      <c r="K8">
        <f t="shared" si="1"/>
        <v>0.99717779868297274</v>
      </c>
      <c r="L8">
        <f t="shared" si="2"/>
        <v>8.9536059867903015E-2</v>
      </c>
      <c r="M8">
        <f t="shared" si="3"/>
        <v>0.14531218253686737</v>
      </c>
      <c r="N8">
        <f t="shared" si="4"/>
        <v>0.14490208230393173</v>
      </c>
    </row>
    <row r="9" spans="1:14" x14ac:dyDescent="0.25">
      <c r="A9" t="s">
        <v>13</v>
      </c>
      <c r="B9">
        <v>2004</v>
      </c>
      <c r="C9">
        <v>7</v>
      </c>
      <c r="D9">
        <v>18</v>
      </c>
      <c r="E9">
        <v>12</v>
      </c>
      <c r="F9">
        <v>18</v>
      </c>
      <c r="G9">
        <v>0.34</v>
      </c>
      <c r="H9">
        <f t="shared" si="0"/>
        <v>0.59602743722206064</v>
      </c>
      <c r="I9">
        <v>0.09</v>
      </c>
      <c r="J9">
        <v>1.23</v>
      </c>
      <c r="K9">
        <f t="shared" si="1"/>
        <v>0.97777777777777775</v>
      </c>
      <c r="L9">
        <f t="shared" si="2"/>
        <v>0.58278238306157037</v>
      </c>
      <c r="M9">
        <f t="shared" si="3"/>
        <v>0.36855335692245439</v>
      </c>
      <c r="N9">
        <f t="shared" si="4"/>
        <v>0.36036328232417764</v>
      </c>
    </row>
    <row r="10" spans="1:14" x14ac:dyDescent="0.25">
      <c r="A10" t="s">
        <v>9</v>
      </c>
      <c r="B10">
        <v>2004</v>
      </c>
      <c r="C10">
        <v>4</v>
      </c>
      <c r="D10">
        <v>29</v>
      </c>
      <c r="E10">
        <v>5</v>
      </c>
      <c r="F10">
        <v>27</v>
      </c>
      <c r="G10">
        <v>0.71</v>
      </c>
      <c r="H10">
        <f t="shared" si="0"/>
        <v>0.18922116516396464</v>
      </c>
      <c r="I10">
        <v>0.17</v>
      </c>
      <c r="J10">
        <v>2.92</v>
      </c>
      <c r="K10">
        <f t="shared" si="1"/>
        <v>0.98604651162790702</v>
      </c>
      <c r="L10">
        <f t="shared" si="2"/>
        <v>0.18658086983609537</v>
      </c>
      <c r="M10">
        <f t="shared" si="3"/>
        <v>0.400769598913641</v>
      </c>
      <c r="N10">
        <f t="shared" si="4"/>
        <v>0.39517746497531114</v>
      </c>
    </row>
    <row r="11" spans="1:14" x14ac:dyDescent="0.25">
      <c r="A11" t="s">
        <v>10</v>
      </c>
      <c r="B11">
        <v>2005</v>
      </c>
      <c r="C11">
        <v>15</v>
      </c>
      <c r="D11">
        <v>2016</v>
      </c>
      <c r="E11">
        <v>26</v>
      </c>
      <c r="F11">
        <v>2007</v>
      </c>
      <c r="G11">
        <v>0.57999999999999996</v>
      </c>
      <c r="H11">
        <f t="shared" si="0"/>
        <v>0.30095424057550946</v>
      </c>
      <c r="I11">
        <v>0.31</v>
      </c>
      <c r="J11">
        <v>1.07</v>
      </c>
      <c r="K11">
        <f t="shared" si="1"/>
        <v>0.99981346763663492</v>
      </c>
      <c r="L11">
        <f t="shared" si="2"/>
        <v>0.30089810286975016</v>
      </c>
      <c r="M11">
        <f t="shared" si="3"/>
        <v>0.17460277793110271</v>
      </c>
      <c r="N11">
        <f t="shared" si="4"/>
        <v>0.17457020886228511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2025-12-30T13:01:50Z</dcterms:modified>
</cp:coreProperties>
</file>