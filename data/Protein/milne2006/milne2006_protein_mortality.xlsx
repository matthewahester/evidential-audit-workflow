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milne2006\"/>
    </mc:Choice>
  </mc:AlternateContent>
  <xr:revisionPtr revIDLastSave="0" documentId="13_ncr:1_{C0E2E5ED-D31E-4DDC-9C2E-45DA921A0DB1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M3" i="2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2" i="2"/>
  <c r="K3" i="2"/>
  <c r="K4" i="2"/>
  <c r="K5" i="2"/>
  <c r="K6" i="2"/>
  <c r="K7" i="2"/>
  <c r="K8" i="2"/>
  <c r="K9" i="2"/>
  <c r="K10" i="2"/>
  <c r="K2" i="2"/>
  <c r="H3" i="2" l="1"/>
  <c r="L3" i="2" s="1"/>
  <c r="H4" i="2"/>
  <c r="L4" i="2" s="1"/>
  <c r="H5" i="2"/>
  <c r="L5" i="2" s="1"/>
  <c r="H6" i="2"/>
  <c r="L6" i="2" s="1"/>
  <c r="H7" i="2"/>
  <c r="L7" i="2" s="1"/>
  <c r="H8" i="2"/>
  <c r="L8" i="2" s="1"/>
  <c r="H9" i="2"/>
  <c r="L9" i="2" s="1"/>
  <c r="H10" i="2"/>
  <c r="L10" i="2" s="1"/>
  <c r="H2" i="2"/>
  <c r="L2" i="2" s="1"/>
</calcChain>
</file>

<file path=xl/sharedStrings.xml><?xml version="1.0" encoding="utf-8"?>
<sst xmlns="http://schemas.openxmlformats.org/spreadsheetml/2006/main" count="23" uniqueCount="23">
  <si>
    <t>Delmi</t>
  </si>
  <si>
    <t>Hankins</t>
  </si>
  <si>
    <t>Volkert</t>
  </si>
  <si>
    <t>Gariballa</t>
  </si>
  <si>
    <t>Potter</t>
  </si>
  <si>
    <t>Vlaming</t>
  </si>
  <si>
    <t>Gazzotti</t>
  </si>
  <si>
    <t>Tldermark</t>
  </si>
  <si>
    <t>FOOD</t>
  </si>
  <si>
    <t>Author</t>
  </si>
  <si>
    <t>Year</t>
  </si>
  <si>
    <t>events_treatment</t>
  </si>
  <si>
    <t>n_treatment</t>
  </si>
  <si>
    <t>events_control</t>
  </si>
  <si>
    <t>n_control</t>
  </si>
  <si>
    <t>OR</t>
  </si>
  <si>
    <t>CI_lower_OR</t>
  </si>
  <si>
    <t>CI_upper_OR</t>
  </si>
  <si>
    <t>J</t>
  </si>
  <si>
    <t>g</t>
  </si>
  <si>
    <t>d</t>
  </si>
  <si>
    <t>se_g</t>
  </si>
  <si>
    <t>se_d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</si>
</sst>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CD1F-88E5-4073-A837-9CD6D7AF12FF}">
  <dimension ref="A1:N10"/>
  <sheetViews>
    <sheetView tabSelected="1" topLeftCell="B1" workbookViewId="0">
      <selection activeCell="N5" sqref="N5"/>
    </sheetView>
  </sheetViews>
  <sheetFormatPr defaultRowHeight="15" x14ac:dyDescent="0.25"/>
  <cols>
    <col min="1" max="1" width="35.28515625" bestFit="1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20</v>
      </c>
      <c r="I1" t="s">
        <v>16</v>
      </c>
      <c r="J1" t="s">
        <v>17</v>
      </c>
      <c r="K1" t="s">
        <v>18</v>
      </c>
      <c r="L1" t="s">
        <v>19</v>
      </c>
      <c r="M1" t="s">
        <v>22</v>
      </c>
      <c r="N1" t="s">
        <v>21</v>
      </c>
    </row>
    <row r="2" spans="1:14" x14ac:dyDescent="0.25">
      <c r="A2" t="s">
        <v>0</v>
      </c>
      <c r="B2">
        <v>1990</v>
      </c>
      <c r="C2">
        <v>6</v>
      </c>
      <c r="D2">
        <v>27</v>
      </c>
      <c r="E2">
        <v>10</v>
      </c>
      <c r="F2">
        <v>32</v>
      </c>
      <c r="G2">
        <v>0.64</v>
      </c>
      <c r="H2">
        <f t="shared" ref="H2:H10" si="0">-LN(G2)/1.81</f>
        <v>0.24656746001570137</v>
      </c>
      <c r="I2">
        <v>0.2</v>
      </c>
      <c r="J2">
        <v>2</v>
      </c>
      <c r="K2">
        <f t="shared" ref="K2:K10" si="1">1-3/(4*(F2+D2-2)-1)</f>
        <v>0.986784140969163</v>
      </c>
      <c r="L2">
        <f t="shared" ref="L2:L10" si="2">K2*H2</f>
        <v>0.24330885922254233</v>
      </c>
      <c r="M2">
        <f>(LN(J2)-LN(I2))/2/1.96/1.81</f>
        <v>0.32452715821880218</v>
      </c>
      <c r="N2">
        <f>M2*K2</f>
        <v>0.32023825304410436</v>
      </c>
    </row>
    <row r="3" spans="1:14" x14ac:dyDescent="0.25">
      <c r="A3" t="s">
        <v>1</v>
      </c>
      <c r="B3">
        <v>1996</v>
      </c>
      <c r="C3">
        <v>2</v>
      </c>
      <c r="D3">
        <v>17</v>
      </c>
      <c r="E3">
        <v>4</v>
      </c>
      <c r="F3">
        <v>14</v>
      </c>
      <c r="G3">
        <v>0.35</v>
      </c>
      <c r="H3">
        <f t="shared" si="0"/>
        <v>0.58001222347993253</v>
      </c>
      <c r="I3">
        <v>0.06</v>
      </c>
      <c r="J3">
        <v>2.0499999999999998</v>
      </c>
      <c r="K3">
        <f t="shared" si="1"/>
        <v>0.97391304347826091</v>
      </c>
      <c r="L3">
        <f t="shared" si="2"/>
        <v>0.56488146982393428</v>
      </c>
      <c r="M3">
        <f t="shared" ref="M3:M10" si="3">(LN(J3)-LN(I3))/2/1.96/1.81</f>
        <v>0.4976956970783562</v>
      </c>
      <c r="N3">
        <f t="shared" ref="N3:N10" si="4">M3*K3</f>
        <v>0.48471233106761652</v>
      </c>
    </row>
    <row r="4" spans="1:14" x14ac:dyDescent="0.25">
      <c r="A4" t="s">
        <v>2</v>
      </c>
      <c r="B4">
        <v>1996</v>
      </c>
      <c r="C4">
        <v>4</v>
      </c>
      <c r="D4">
        <v>35</v>
      </c>
      <c r="E4">
        <v>8</v>
      </c>
      <c r="F4">
        <v>37</v>
      </c>
      <c r="G4">
        <v>0.48</v>
      </c>
      <c r="H4">
        <f t="shared" si="0"/>
        <v>0.40550783153602232</v>
      </c>
      <c r="I4">
        <v>0.14000000000000001</v>
      </c>
      <c r="J4">
        <v>1.66</v>
      </c>
      <c r="K4">
        <f t="shared" si="1"/>
        <v>0.989247311827957</v>
      </c>
      <c r="L4">
        <f t="shared" si="2"/>
        <v>0.40114753227219413</v>
      </c>
      <c r="M4">
        <f t="shared" si="3"/>
        <v>0.34853569437666099</v>
      </c>
      <c r="N4">
        <f t="shared" si="4"/>
        <v>0.34478799873820226</v>
      </c>
    </row>
    <row r="5" spans="1:14" x14ac:dyDescent="0.25">
      <c r="A5" t="s">
        <v>3</v>
      </c>
      <c r="B5">
        <v>1998</v>
      </c>
      <c r="C5">
        <v>2</v>
      </c>
      <c r="D5">
        <v>20</v>
      </c>
      <c r="E5">
        <v>7</v>
      </c>
      <c r="F5">
        <v>20</v>
      </c>
      <c r="G5">
        <v>0.25</v>
      </c>
      <c r="H5">
        <f t="shared" si="0"/>
        <v>0.76590848680656931</v>
      </c>
      <c r="I5">
        <v>0.06</v>
      </c>
      <c r="J5">
        <v>1.07</v>
      </c>
      <c r="K5">
        <f t="shared" si="1"/>
        <v>0.98013245033112584</v>
      </c>
      <c r="L5">
        <f t="shared" si="2"/>
        <v>0.75069176190312759</v>
      </c>
      <c r="M5">
        <f t="shared" si="3"/>
        <v>0.40605893635610713</v>
      </c>
      <c r="N5">
        <f t="shared" si="4"/>
        <v>0.39799154026956196</v>
      </c>
    </row>
    <row r="6" spans="1:14" x14ac:dyDescent="0.25">
      <c r="A6" t="s">
        <v>4</v>
      </c>
      <c r="B6">
        <v>2001</v>
      </c>
      <c r="C6">
        <v>13</v>
      </c>
      <c r="D6">
        <v>124</v>
      </c>
      <c r="E6">
        <v>27</v>
      </c>
      <c r="F6">
        <v>127</v>
      </c>
      <c r="G6">
        <v>0.45</v>
      </c>
      <c r="H6">
        <f t="shared" si="0"/>
        <v>0.4411644730484926</v>
      </c>
      <c r="I6">
        <v>0.23</v>
      </c>
      <c r="J6">
        <v>0.88</v>
      </c>
      <c r="K6">
        <f t="shared" si="1"/>
        <v>0.99698492462311561</v>
      </c>
      <c r="L6">
        <f t="shared" si="2"/>
        <v>0.43983432890864793</v>
      </c>
      <c r="M6">
        <f t="shared" si="3"/>
        <v>0.1891197709083686</v>
      </c>
      <c r="N6">
        <f t="shared" si="4"/>
        <v>0.18854956054382074</v>
      </c>
    </row>
    <row r="7" spans="1:14" x14ac:dyDescent="0.25">
      <c r="A7" t="s">
        <v>5</v>
      </c>
      <c r="B7">
        <v>2001</v>
      </c>
      <c r="C7">
        <v>12</v>
      </c>
      <c r="D7">
        <v>275</v>
      </c>
      <c r="E7">
        <v>14</v>
      </c>
      <c r="F7">
        <v>274</v>
      </c>
      <c r="G7">
        <v>0.85</v>
      </c>
      <c r="H7">
        <f t="shared" si="0"/>
        <v>8.9789463810925382E-2</v>
      </c>
      <c r="I7">
        <v>0.39</v>
      </c>
      <c r="J7">
        <v>1.86</v>
      </c>
      <c r="K7">
        <f t="shared" si="1"/>
        <v>0.99862825788751719</v>
      </c>
      <c r="L7">
        <f t="shared" si="2"/>
        <v>8.9666295822158681E-2</v>
      </c>
      <c r="M7">
        <f t="shared" si="3"/>
        <v>0.2201749108670023</v>
      </c>
      <c r="N7">
        <f t="shared" si="4"/>
        <v>0.21987288766965388</v>
      </c>
    </row>
    <row r="8" spans="1:14" x14ac:dyDescent="0.25">
      <c r="A8" t="s">
        <v>6</v>
      </c>
      <c r="B8">
        <v>2003</v>
      </c>
      <c r="C8">
        <v>2</v>
      </c>
      <c r="D8">
        <v>39</v>
      </c>
      <c r="E8">
        <v>2</v>
      </c>
      <c r="F8">
        <v>41</v>
      </c>
      <c r="G8">
        <v>1.05</v>
      </c>
      <c r="H8">
        <f t="shared" si="0"/>
        <v>-2.6955891806316048E-2</v>
      </c>
      <c r="I8">
        <v>0.14000000000000001</v>
      </c>
      <c r="J8">
        <v>7.77</v>
      </c>
      <c r="K8">
        <f t="shared" si="1"/>
        <v>0.99035369774919613</v>
      </c>
      <c r="L8">
        <f t="shared" si="2"/>
        <v>-2.6695867126512354E-2</v>
      </c>
      <c r="M8">
        <f t="shared" si="3"/>
        <v>0.56607044491379921</v>
      </c>
      <c r="N8">
        <f t="shared" si="4"/>
        <v>0.56060995830691362</v>
      </c>
    </row>
    <row r="9" spans="1:14" x14ac:dyDescent="0.25">
      <c r="A9" t="s">
        <v>7</v>
      </c>
      <c r="B9">
        <v>2004</v>
      </c>
      <c r="C9">
        <v>1</v>
      </c>
      <c r="D9">
        <v>20</v>
      </c>
      <c r="E9">
        <v>1</v>
      </c>
      <c r="F9">
        <v>20</v>
      </c>
      <c r="G9">
        <v>1</v>
      </c>
      <c r="H9">
        <f t="shared" si="0"/>
        <v>0</v>
      </c>
      <c r="I9">
        <v>0.06</v>
      </c>
      <c r="J9">
        <v>16.579999999999998</v>
      </c>
      <c r="K9">
        <f t="shared" si="1"/>
        <v>0.98013245033112584</v>
      </c>
      <c r="L9">
        <f t="shared" si="2"/>
        <v>0</v>
      </c>
      <c r="M9">
        <f t="shared" si="3"/>
        <v>0.79231140298612934</v>
      </c>
      <c r="N9">
        <f t="shared" si="4"/>
        <v>0.77657011683408705</v>
      </c>
    </row>
    <row r="10" spans="1:14" x14ac:dyDescent="0.25">
      <c r="A10" t="s">
        <v>8</v>
      </c>
      <c r="B10">
        <v>2005</v>
      </c>
      <c r="C10">
        <v>43</v>
      </c>
      <c r="D10">
        <v>156</v>
      </c>
      <c r="E10">
        <v>48</v>
      </c>
      <c r="F10">
        <v>158</v>
      </c>
      <c r="G10">
        <v>0.87</v>
      </c>
      <c r="H10">
        <f t="shared" si="0"/>
        <v>7.6940368692545669E-2</v>
      </c>
      <c r="I10">
        <v>0.54</v>
      </c>
      <c r="J10">
        <v>1.42</v>
      </c>
      <c r="K10">
        <f t="shared" si="1"/>
        <v>0.99759422614274262</v>
      </c>
      <c r="L10">
        <f t="shared" si="2"/>
        <v>7.67552675649774E-2</v>
      </c>
      <c r="M10">
        <f t="shared" si="3"/>
        <v>0.13626719627874992</v>
      </c>
      <c r="N10">
        <f t="shared" si="4"/>
        <v>0.13593936822034075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2025-12-30T13:01:33Z</dcterms:modified>
</cp:coreProperties>
</file>