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orsso2024\"/>
    </mc:Choice>
  </mc:AlternateContent>
  <xr:revisionPtr revIDLastSave="0" documentId="13_ncr:1_{C384D83C-7A1E-49C1-9525-C85801B37F34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2" i="1"/>
  <c r="N3" i="1"/>
  <c r="O3" i="1" s="1"/>
  <c r="P3" i="1"/>
  <c r="Q3" i="1" s="1"/>
  <c r="N4" i="1"/>
  <c r="O4" i="1" s="1"/>
  <c r="Q4" i="1" s="1"/>
  <c r="P4" i="1"/>
  <c r="N5" i="1"/>
  <c r="O5" i="1"/>
  <c r="P5" i="1"/>
  <c r="Q5" i="1" s="1"/>
  <c r="N6" i="1"/>
  <c r="O6" i="1" s="1"/>
  <c r="Q6" i="1" s="1"/>
  <c r="P6" i="1"/>
  <c r="N7" i="1"/>
  <c r="O7" i="1"/>
  <c r="P7" i="1"/>
  <c r="Q7" i="1"/>
  <c r="N8" i="1"/>
  <c r="O8" i="1"/>
  <c r="P8" i="1"/>
  <c r="Q8" i="1" s="1"/>
  <c r="N9" i="1"/>
  <c r="O9" i="1" s="1"/>
  <c r="Q9" i="1" s="1"/>
  <c r="P9" i="1"/>
  <c r="N10" i="1"/>
  <c r="O10" i="1" s="1"/>
  <c r="Q10" i="1" s="1"/>
  <c r="P10" i="1"/>
  <c r="N11" i="1"/>
  <c r="O11" i="1" s="1"/>
  <c r="P11" i="1"/>
  <c r="Q11" i="1" s="1"/>
  <c r="N12" i="1"/>
  <c r="O12" i="1"/>
  <c r="P12" i="1"/>
  <c r="Q12" i="1" s="1"/>
  <c r="N13" i="1"/>
  <c r="O13" i="1" s="1"/>
  <c r="P13" i="1"/>
  <c r="Q13" i="1" s="1"/>
  <c r="N14" i="1"/>
  <c r="O14" i="1"/>
  <c r="P14" i="1"/>
  <c r="Q14" i="1"/>
  <c r="N15" i="1"/>
  <c r="O15" i="1" s="1"/>
  <c r="Q15" i="1" s="1"/>
  <c r="P15" i="1"/>
  <c r="Q2" i="1"/>
  <c r="P2" i="1"/>
  <c r="O2" i="1"/>
  <c r="N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2" i="1"/>
</calcChain>
</file>

<file path=xl/sharedStrings.xml><?xml version="1.0" encoding="utf-8"?>
<sst xmlns="http://schemas.openxmlformats.org/spreadsheetml/2006/main" count="32" uniqueCount="32">
  <si>
    <t>Poon</t>
  </si>
  <si>
    <t>Baldwin</t>
  </si>
  <si>
    <t>Okabayashi</t>
  </si>
  <si>
    <t>Sultan</t>
  </si>
  <si>
    <t>Wada</t>
  </si>
  <si>
    <t>Chang</t>
  </si>
  <si>
    <t>Ritch</t>
  </si>
  <si>
    <t>Yi</t>
  </si>
  <si>
    <t>Laviano</t>
  </si>
  <si>
    <t>Katada</t>
  </si>
  <si>
    <t>Serrano</t>
  </si>
  <si>
    <t>Gunsel-Yildirim</t>
  </si>
  <si>
    <t>Sanchez-Lara</t>
  </si>
  <si>
    <t>Rotovnik-Kozjek</t>
  </si>
  <si>
    <t>Author</t>
  </si>
  <si>
    <t>Year</t>
  </si>
  <si>
    <t>sd_treat</t>
  </si>
  <si>
    <t>mean_treat</t>
  </si>
  <si>
    <t>n_treat</t>
  </si>
  <si>
    <t>mean_control</t>
  </si>
  <si>
    <t>sd_control</t>
  </si>
  <si>
    <t>n_control</t>
  </si>
  <si>
    <t>weight</t>
  </si>
  <si>
    <t>ES</t>
  </si>
  <si>
    <t>CI_Lower</t>
  </si>
  <si>
    <t>CI_Upper</t>
  </si>
  <si>
    <t>pooled_sd</t>
  </si>
  <si>
    <t>d</t>
  </si>
  <si>
    <t>J</t>
  </si>
  <si>
    <t>g</t>
  </si>
  <si>
    <t>se_g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</si>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</sst>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topLeftCell="E1" workbookViewId="0">
      <selection activeCell="R2" sqref="R2:R15"/>
    </sheetView>
  </sheetViews>
  <sheetFormatPr defaultRowHeight="15" x14ac:dyDescent="0.25"/>
  <cols>
    <col min="1" max="1" width="22.42578125" customWidth="1"/>
  </cols>
  <sheetData>
    <row r="1" spans="1:18" x14ac:dyDescent="0.25">
      <c r="A1" t="s">
        <v>14</v>
      </c>
      <c r="B1" t="s">
        <v>15</v>
      </c>
      <c r="C1" t="s">
        <v>17</v>
      </c>
      <c r="D1" t="s">
        <v>16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31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</row>
    <row r="2" spans="1:18" x14ac:dyDescent="0.25">
      <c r="A2" t="s">
        <v>0</v>
      </c>
      <c r="B2">
        <v>2004</v>
      </c>
      <c r="C2">
        <v>61</v>
      </c>
      <c r="D2">
        <v>8.5</v>
      </c>
      <c r="E2">
        <v>21</v>
      </c>
      <c r="F2">
        <v>63</v>
      </c>
      <c r="H2">
        <v>20</v>
      </c>
      <c r="I2">
        <v>3.1E-2</v>
      </c>
      <c r="J2">
        <v>-2</v>
      </c>
      <c r="K2">
        <v>-7.05</v>
      </c>
      <c r="L2">
        <v>3.05</v>
      </c>
      <c r="M2">
        <f>(L2-K2)/2/1.96</f>
        <v>2.5765306122448979</v>
      </c>
      <c r="N2">
        <f>M2/SQRT(1/E2+1/H2)</f>
        <v>8.2464688647822246</v>
      </c>
      <c r="O2">
        <f>J2/N2</f>
        <v>-0.24252804840400213</v>
      </c>
      <c r="P2">
        <f>1-3/(4*(E2+H2-2)-1)</f>
        <v>0.98064516129032253</v>
      </c>
      <c r="Q2">
        <f>P2*O2</f>
        <v>-0.23783395714456981</v>
      </c>
      <c r="R2">
        <f>P2*M2/N2</f>
        <v>0.3063932356071627</v>
      </c>
    </row>
    <row r="3" spans="1:18" x14ac:dyDescent="0.25">
      <c r="A3" t="s">
        <v>1</v>
      </c>
      <c r="B3">
        <v>2011</v>
      </c>
      <c r="C3">
        <v>0.06</v>
      </c>
      <c r="D3">
        <v>3.3</v>
      </c>
      <c r="E3">
        <v>159</v>
      </c>
      <c r="F3">
        <v>-0.55000000000000004</v>
      </c>
      <c r="G3">
        <v>3.2</v>
      </c>
      <c r="H3">
        <v>176</v>
      </c>
      <c r="I3">
        <v>0.114</v>
      </c>
      <c r="J3">
        <v>0.61</v>
      </c>
      <c r="K3">
        <v>-0.09</v>
      </c>
      <c r="L3">
        <v>1.31</v>
      </c>
      <c r="M3">
        <f t="shared" ref="M3:M15" si="0">(L3-K3)/2/1.96</f>
        <v>0.35714285714285721</v>
      </c>
      <c r="N3">
        <f t="shared" ref="N3:N15" si="1">M3/SQRT(1/E3+1/H3)</f>
        <v>3.2641827187215062</v>
      </c>
      <c r="O3">
        <f t="shared" ref="O3:O15" si="2">J3/N3</f>
        <v>0.18687679353897224</v>
      </c>
      <c r="P3">
        <f t="shared" ref="P3:P15" si="3">1-3/(4*(E3+H3-2)-1)</f>
        <v>0.99774605559729523</v>
      </c>
      <c r="Q3">
        <f t="shared" ref="Q3:Q15" si="4">P3*O3</f>
        <v>0.18645558363617967</v>
      </c>
      <c r="R3">
        <f>P3*M3/N3</f>
        <v>0.10916603257387569</v>
      </c>
    </row>
    <row r="4" spans="1:18" x14ac:dyDescent="0.25">
      <c r="A4" t="s">
        <v>2</v>
      </c>
      <c r="B4">
        <v>2011</v>
      </c>
      <c r="C4">
        <v>60.1</v>
      </c>
      <c r="D4">
        <v>9.3000000000000007</v>
      </c>
      <c r="E4">
        <v>40</v>
      </c>
      <c r="F4">
        <v>56.1</v>
      </c>
      <c r="G4">
        <v>10.6</v>
      </c>
      <c r="H4">
        <v>38</v>
      </c>
      <c r="I4">
        <v>3.6999999999999998E-2</v>
      </c>
      <c r="J4">
        <v>4</v>
      </c>
      <c r="K4">
        <v>-0.43</v>
      </c>
      <c r="L4">
        <v>8.43</v>
      </c>
      <c r="M4">
        <f t="shared" si="0"/>
        <v>2.260204081632653</v>
      </c>
      <c r="N4">
        <f t="shared" si="1"/>
        <v>9.9775094432016775</v>
      </c>
      <c r="O4">
        <f t="shared" si="2"/>
        <v>0.40090165013328638</v>
      </c>
      <c r="P4">
        <f t="shared" si="3"/>
        <v>0.99009900990099009</v>
      </c>
      <c r="Q4">
        <f t="shared" si="4"/>
        <v>0.39693232686463997</v>
      </c>
      <c r="R4">
        <f>P4*M4/N4</f>
        <v>0.22428701632785139</v>
      </c>
    </row>
    <row r="5" spans="1:18" x14ac:dyDescent="0.25">
      <c r="A5" t="s">
        <v>3</v>
      </c>
      <c r="B5">
        <v>2012</v>
      </c>
      <c r="C5">
        <v>82.8</v>
      </c>
      <c r="D5">
        <v>15.3</v>
      </c>
      <c r="E5">
        <v>104</v>
      </c>
      <c r="F5">
        <v>60.6</v>
      </c>
      <c r="G5">
        <v>15.2</v>
      </c>
      <c r="H5">
        <v>53</v>
      </c>
      <c r="I5">
        <v>3.1E-2</v>
      </c>
      <c r="J5">
        <v>2.2000000000000002</v>
      </c>
      <c r="K5">
        <v>-2.84</v>
      </c>
      <c r="L5">
        <v>7.24</v>
      </c>
      <c r="M5">
        <f t="shared" si="0"/>
        <v>2.5714285714285716</v>
      </c>
      <c r="N5">
        <f t="shared" si="1"/>
        <v>15.236290460304662</v>
      </c>
      <c r="O5">
        <f t="shared" si="2"/>
        <v>0.1443921015900618</v>
      </c>
      <c r="P5">
        <f t="shared" si="3"/>
        <v>0.99515347334410342</v>
      </c>
      <c r="Q5">
        <f t="shared" si="4"/>
        <v>0.14369230142080464</v>
      </c>
      <c r="R5">
        <f>P5*M5/N5</f>
        <v>0.1679520406217197</v>
      </c>
    </row>
    <row r="6" spans="1:18" x14ac:dyDescent="0.25">
      <c r="A6" t="s">
        <v>12</v>
      </c>
      <c r="B6">
        <v>2014</v>
      </c>
      <c r="C6">
        <v>-0.33</v>
      </c>
      <c r="D6">
        <v>3</v>
      </c>
      <c r="E6">
        <v>44</v>
      </c>
      <c r="F6">
        <v>-2.2000000000000002</v>
      </c>
      <c r="G6">
        <v>3</v>
      </c>
      <c r="H6">
        <v>40</v>
      </c>
      <c r="I6">
        <v>0.10199999999999999</v>
      </c>
      <c r="J6">
        <v>1.87</v>
      </c>
      <c r="K6">
        <v>0.59</v>
      </c>
      <c r="L6">
        <v>3.15</v>
      </c>
      <c r="M6">
        <f t="shared" si="0"/>
        <v>0.65306122448979598</v>
      </c>
      <c r="N6">
        <f t="shared" si="1"/>
        <v>2.9893074822338841</v>
      </c>
      <c r="O6">
        <f t="shared" si="2"/>
        <v>0.62556294764383524</v>
      </c>
      <c r="P6">
        <f t="shared" si="3"/>
        <v>0.99082568807339455</v>
      </c>
      <c r="Q6">
        <f t="shared" si="4"/>
        <v>0.61982383803242391</v>
      </c>
      <c r="R6">
        <f>P6*M6/N6</f>
        <v>0.2164614516756255</v>
      </c>
    </row>
    <row r="7" spans="1:18" x14ac:dyDescent="0.25">
      <c r="A7" t="s">
        <v>13</v>
      </c>
      <c r="B7">
        <v>2011</v>
      </c>
      <c r="C7">
        <v>-2.2999999999999998</v>
      </c>
      <c r="D7">
        <v>1.1000000000000001</v>
      </c>
      <c r="E7">
        <v>33</v>
      </c>
      <c r="F7">
        <v>-2.7</v>
      </c>
      <c r="G7">
        <v>2.6</v>
      </c>
      <c r="H7">
        <v>40</v>
      </c>
      <c r="I7">
        <v>0.111</v>
      </c>
      <c r="J7">
        <v>0.4</v>
      </c>
      <c r="K7">
        <v>-0.49</v>
      </c>
      <c r="L7">
        <v>1.29</v>
      </c>
      <c r="M7">
        <f t="shared" si="0"/>
        <v>0.45408163265306123</v>
      </c>
      <c r="N7">
        <f t="shared" si="1"/>
        <v>1.9308986140994926</v>
      </c>
      <c r="O7">
        <f t="shared" si="2"/>
        <v>0.20715743285493363</v>
      </c>
      <c r="P7">
        <f t="shared" si="3"/>
        <v>0.98939929328621912</v>
      </c>
      <c r="Q7">
        <f t="shared" si="4"/>
        <v>0.20496141766565873</v>
      </c>
      <c r="R7">
        <f>P7*M7/N7</f>
        <v>0.23267303791127072</v>
      </c>
    </row>
    <row r="8" spans="1:18" x14ac:dyDescent="0.25">
      <c r="A8" t="s">
        <v>4</v>
      </c>
      <c r="B8">
        <v>2018</v>
      </c>
      <c r="C8">
        <v>-1.9</v>
      </c>
      <c r="D8">
        <v>2.5</v>
      </c>
      <c r="E8">
        <v>30</v>
      </c>
      <c r="F8">
        <v>-1.4</v>
      </c>
      <c r="G8">
        <v>3.2</v>
      </c>
      <c r="H8">
        <v>30</v>
      </c>
      <c r="I8">
        <v>9.7000000000000003E-2</v>
      </c>
      <c r="J8">
        <v>-0.5</v>
      </c>
      <c r="K8">
        <v>-1.95</v>
      </c>
      <c r="L8">
        <v>0.95</v>
      </c>
      <c r="M8">
        <f t="shared" si="0"/>
        <v>0.73979591836734693</v>
      </c>
      <c r="N8">
        <f t="shared" si="1"/>
        <v>2.8652172714289565</v>
      </c>
      <c r="O8">
        <f t="shared" si="2"/>
        <v>-0.17450683582911578</v>
      </c>
      <c r="P8">
        <f t="shared" si="3"/>
        <v>0.98701298701298701</v>
      </c>
      <c r="Q8">
        <f t="shared" si="4"/>
        <v>-0.1722405132858805</v>
      </c>
      <c r="R8">
        <f>P8*M8/N8</f>
        <v>0.25484565741278242</v>
      </c>
    </row>
    <row r="9" spans="1:18" x14ac:dyDescent="0.25">
      <c r="A9" t="s">
        <v>5</v>
      </c>
      <c r="B9">
        <v>2019</v>
      </c>
      <c r="C9">
        <v>1.3</v>
      </c>
      <c r="D9">
        <v>2.1</v>
      </c>
      <c r="E9">
        <v>30</v>
      </c>
      <c r="F9">
        <v>-4</v>
      </c>
      <c r="G9">
        <v>2.7</v>
      </c>
      <c r="H9">
        <v>30</v>
      </c>
      <c r="I9">
        <v>0.10299999999999999</v>
      </c>
      <c r="J9">
        <v>5.3</v>
      </c>
      <c r="K9">
        <v>4.08</v>
      </c>
      <c r="L9">
        <v>6.52</v>
      </c>
      <c r="M9">
        <f t="shared" si="0"/>
        <v>0.62244897959183665</v>
      </c>
      <c r="N9">
        <f t="shared" si="1"/>
        <v>2.410734531822984</v>
      </c>
      <c r="O9">
        <f t="shared" si="2"/>
        <v>2.1985000546668112</v>
      </c>
      <c r="P9">
        <f t="shared" si="3"/>
        <v>0.98701298701298701</v>
      </c>
      <c r="Q9">
        <f t="shared" si="4"/>
        <v>2.1699481059049046</v>
      </c>
      <c r="R9">
        <f>P9*M9/N9</f>
        <v>0.25484565741278237</v>
      </c>
    </row>
    <row r="10" spans="1:18" x14ac:dyDescent="0.25">
      <c r="A10" t="s">
        <v>6</v>
      </c>
      <c r="B10">
        <v>2019</v>
      </c>
      <c r="C10">
        <v>-4.5999999999999996</v>
      </c>
      <c r="D10">
        <v>33</v>
      </c>
      <c r="E10">
        <v>31</v>
      </c>
      <c r="F10">
        <v>-65</v>
      </c>
      <c r="G10">
        <v>3.3</v>
      </c>
      <c r="H10">
        <v>30</v>
      </c>
      <c r="I10">
        <v>9.1999999999999998E-2</v>
      </c>
      <c r="J10">
        <v>1.9</v>
      </c>
      <c r="K10">
        <v>0.24</v>
      </c>
      <c r="L10">
        <v>3.56</v>
      </c>
      <c r="M10">
        <f t="shared" si="0"/>
        <v>0.84693877551020413</v>
      </c>
      <c r="N10">
        <f t="shared" si="1"/>
        <v>3.3069571948439331</v>
      </c>
      <c r="O10">
        <f t="shared" si="2"/>
        <v>0.57454629378402566</v>
      </c>
      <c r="P10">
        <f t="shared" si="3"/>
        <v>0.98723404255319147</v>
      </c>
      <c r="Q10">
        <f t="shared" si="4"/>
        <v>0.56721166024635727</v>
      </c>
      <c r="R10">
        <f>P10*M10/N10</f>
        <v>0.25283870999166302</v>
      </c>
    </row>
    <row r="11" spans="1:18" x14ac:dyDescent="0.25">
      <c r="A11" t="s">
        <v>7</v>
      </c>
      <c r="B11">
        <v>2020</v>
      </c>
      <c r="C11">
        <v>-0.3</v>
      </c>
      <c r="D11">
        <v>2.2999999999999998</v>
      </c>
      <c r="E11">
        <v>62</v>
      </c>
      <c r="F11">
        <v>-2.1</v>
      </c>
      <c r="G11">
        <v>23</v>
      </c>
      <c r="H11">
        <v>56</v>
      </c>
      <c r="I11">
        <v>0.112</v>
      </c>
      <c r="J11">
        <v>1.8</v>
      </c>
      <c r="K11">
        <v>0.97</v>
      </c>
      <c r="L11">
        <v>2.63</v>
      </c>
      <c r="M11">
        <f t="shared" si="0"/>
        <v>0.42346938775510201</v>
      </c>
      <c r="N11">
        <f t="shared" si="1"/>
        <v>2.2970522585306403</v>
      </c>
      <c r="O11">
        <f t="shared" si="2"/>
        <v>0.78361299500926873</v>
      </c>
      <c r="P11">
        <f t="shared" si="3"/>
        <v>0.99352051835853128</v>
      </c>
      <c r="Q11">
        <f t="shared" si="4"/>
        <v>0.77853558899408981</v>
      </c>
      <c r="R11">
        <f>P11*M11/N11</f>
        <v>0.18315888289826943</v>
      </c>
    </row>
    <row r="12" spans="1:18" x14ac:dyDescent="0.25">
      <c r="A12" t="s">
        <v>8</v>
      </c>
      <c r="B12">
        <v>2020</v>
      </c>
      <c r="C12">
        <v>0.8</v>
      </c>
      <c r="D12">
        <v>3.8</v>
      </c>
      <c r="E12">
        <v>25</v>
      </c>
      <c r="F12">
        <v>0.6</v>
      </c>
      <c r="G12">
        <v>3.7</v>
      </c>
      <c r="H12">
        <v>28</v>
      </c>
      <c r="I12">
        <v>8.2000000000000003E-2</v>
      </c>
      <c r="J12">
        <v>0.2</v>
      </c>
      <c r="K12">
        <v>-1.82</v>
      </c>
      <c r="L12">
        <v>2.2200000000000002</v>
      </c>
      <c r="M12">
        <f t="shared" si="0"/>
        <v>1.0306122448979591</v>
      </c>
      <c r="N12">
        <f t="shared" si="1"/>
        <v>3.74547052119769</v>
      </c>
      <c r="O12">
        <f t="shared" si="2"/>
        <v>5.3397830491012904E-2</v>
      </c>
      <c r="P12">
        <f t="shared" si="3"/>
        <v>0.98522167487684731</v>
      </c>
      <c r="Q12">
        <f t="shared" si="4"/>
        <v>5.2608699991145723E-2</v>
      </c>
      <c r="R12">
        <f>P12*M12/N12</f>
        <v>0.27109585199518965</v>
      </c>
    </row>
    <row r="13" spans="1:18" x14ac:dyDescent="0.25">
      <c r="A13" t="s">
        <v>9</v>
      </c>
      <c r="B13">
        <v>2021</v>
      </c>
      <c r="C13">
        <v>49.5</v>
      </c>
      <c r="D13">
        <v>10.199999999999999</v>
      </c>
      <c r="E13">
        <v>36</v>
      </c>
      <c r="F13">
        <v>49.5</v>
      </c>
      <c r="G13">
        <v>8.5</v>
      </c>
      <c r="H13">
        <v>35</v>
      </c>
      <c r="I13">
        <v>3.7999999999999999E-2</v>
      </c>
      <c r="J13">
        <v>0</v>
      </c>
      <c r="K13">
        <v>-4.3600000000000003</v>
      </c>
      <c r="L13">
        <v>4.3600000000000003</v>
      </c>
      <c r="M13">
        <f t="shared" si="0"/>
        <v>2.2244897959183674</v>
      </c>
      <c r="N13">
        <f t="shared" si="1"/>
        <v>9.3710124768288523</v>
      </c>
      <c r="O13">
        <f t="shared" si="2"/>
        <v>0</v>
      </c>
      <c r="P13">
        <f t="shared" si="3"/>
        <v>0.98909090909090913</v>
      </c>
      <c r="Q13">
        <f t="shared" si="4"/>
        <v>0</v>
      </c>
      <c r="R13">
        <f>P13*M13/N13</f>
        <v>0.23479027905988914</v>
      </c>
    </row>
    <row r="14" spans="1:18" x14ac:dyDescent="0.25">
      <c r="A14" t="s">
        <v>10</v>
      </c>
      <c r="B14">
        <v>2022</v>
      </c>
      <c r="C14">
        <v>77.7</v>
      </c>
      <c r="D14">
        <v>16.3</v>
      </c>
      <c r="E14">
        <v>34</v>
      </c>
      <c r="F14">
        <v>81.3</v>
      </c>
      <c r="G14">
        <v>11.7</v>
      </c>
      <c r="H14">
        <v>31</v>
      </c>
      <c r="I14">
        <v>1.9E-2</v>
      </c>
      <c r="J14">
        <v>-3.6</v>
      </c>
      <c r="K14">
        <v>-10.45</v>
      </c>
      <c r="L14">
        <v>3.25</v>
      </c>
      <c r="M14">
        <f t="shared" si="0"/>
        <v>3.4948979591836733</v>
      </c>
      <c r="N14">
        <f t="shared" si="1"/>
        <v>14.073370696429011</v>
      </c>
      <c r="O14">
        <f t="shared" si="2"/>
        <v>-0.25580225787085015</v>
      </c>
      <c r="P14">
        <f t="shared" si="3"/>
        <v>0.98804780876494025</v>
      </c>
      <c r="Q14">
        <f t="shared" si="4"/>
        <v>-0.25274486036641769</v>
      </c>
      <c r="R14">
        <f>P14*M14/N14</f>
        <v>0.24536597130243212</v>
      </c>
    </row>
    <row r="15" spans="1:18" x14ac:dyDescent="0.25">
      <c r="A15" t="s">
        <v>11</v>
      </c>
      <c r="B15">
        <v>2023</v>
      </c>
      <c r="C15">
        <v>73.900000000000006</v>
      </c>
      <c r="D15">
        <v>11.4</v>
      </c>
      <c r="E15">
        <v>35</v>
      </c>
      <c r="F15">
        <v>68.2</v>
      </c>
      <c r="G15">
        <v>10.7</v>
      </c>
      <c r="H15">
        <v>35</v>
      </c>
      <c r="I15">
        <v>0.03</v>
      </c>
      <c r="J15">
        <v>5.7</v>
      </c>
      <c r="K15">
        <v>0.52</v>
      </c>
      <c r="L15">
        <v>10.88</v>
      </c>
      <c r="M15">
        <f t="shared" si="0"/>
        <v>2.6428571428571432</v>
      </c>
      <c r="N15">
        <f t="shared" si="1"/>
        <v>11.055864636343143</v>
      </c>
      <c r="O15">
        <f t="shared" si="2"/>
        <v>0.51556347581018702</v>
      </c>
      <c r="P15">
        <f t="shared" si="3"/>
        <v>0.98892988929889303</v>
      </c>
      <c r="Q15">
        <f t="shared" si="4"/>
        <v>0.50985613105952077</v>
      </c>
      <c r="R15">
        <f>P15*M15/N15</f>
        <v>0.23639945926318637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2025-12-30T13:06:21Z</dcterms:modified>
</cp:coreProperties>
</file>