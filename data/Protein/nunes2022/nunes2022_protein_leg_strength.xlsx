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Protein\nunes2022\"/>
    </mc:Choice>
  </mc:AlternateContent>
  <xr:revisionPtr revIDLastSave="0" documentId="13_ncr:1_{439423BE-3982-477C-A57F-EDECA4CB11D5}" xr6:coauthVersionLast="47" xr6:coauthVersionMax="47" xr10:uidLastSave="{00000000-0000-0000-0000-000000000000}"/>
  <bookViews>
    <workbookView xWindow="38280" yWindow="2820" windowWidth="29040" windowHeight="16440" xr2:uid="{EAF82269-C384-49EB-8582-D780B39F2F20}"/>
  </bookViews>
  <sheets>
    <sheet name="nunes_protein_lb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2" i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G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G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G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2" i="1"/>
  <c r="G2" i="1" s="1"/>
  <c r="F29" i="1" l="1"/>
  <c r="F21" i="1"/>
  <c r="F13" i="1"/>
  <c r="G9" i="1"/>
  <c r="L9" i="1" s="1"/>
  <c r="G33" i="1"/>
  <c r="G25" i="1"/>
  <c r="L25" i="1" s="1"/>
  <c r="G17" i="1"/>
  <c r="L17" i="1" s="1"/>
  <c r="G32" i="1"/>
  <c r="L32" i="1" s="1"/>
  <c r="G28" i="1"/>
  <c r="G24" i="1"/>
  <c r="G20" i="1"/>
  <c r="L20" i="1" s="1"/>
  <c r="G16" i="1"/>
  <c r="L16" i="1" s="1"/>
  <c r="G12" i="1"/>
  <c r="G8" i="1"/>
  <c r="L8" i="1" s="1"/>
  <c r="G5" i="1"/>
  <c r="G35" i="1"/>
  <c r="L35" i="1" s="1"/>
  <c r="G31" i="1"/>
  <c r="L31" i="1" s="1"/>
  <c r="G27" i="1"/>
  <c r="G23" i="1"/>
  <c r="G19" i="1"/>
  <c r="G15" i="1"/>
  <c r="L15" i="1" s="1"/>
  <c r="G11" i="1"/>
  <c r="G7" i="1"/>
  <c r="G4" i="1"/>
  <c r="G34" i="1"/>
  <c r="L34" i="1" s="1"/>
  <c r="G30" i="1"/>
  <c r="L30" i="1" s="1"/>
  <c r="G26" i="1"/>
  <c r="G22" i="1"/>
  <c r="L22" i="1" s="1"/>
  <c r="G18" i="1"/>
  <c r="L18" i="1" s="1"/>
  <c r="G14" i="1"/>
  <c r="G10" i="1"/>
  <c r="L10" i="1" s="1"/>
  <c r="G6" i="1"/>
  <c r="L6" i="1" s="1"/>
  <c r="G3" i="1"/>
  <c r="L3" i="1" s="1"/>
  <c r="F2" i="1"/>
  <c r="L24" i="1" l="1"/>
  <c r="M24" i="1" s="1"/>
  <c r="L2" i="1"/>
  <c r="L14" i="1"/>
  <c r="L13" i="1"/>
  <c r="L21" i="1"/>
  <c r="L29" i="1"/>
  <c r="L26" i="1"/>
  <c r="M26" i="1" s="1"/>
  <c r="L4" i="1"/>
  <c r="L28" i="1"/>
  <c r="L12" i="1"/>
  <c r="L27" i="1"/>
  <c r="L5" i="1"/>
  <c r="L7" i="1"/>
  <c r="L11" i="1"/>
  <c r="L23" i="1"/>
  <c r="L19" i="1"/>
  <c r="L33" i="1"/>
  <c r="M35" i="1"/>
  <c r="M9" i="1"/>
  <c r="M20" i="1"/>
  <c r="M16" i="1"/>
  <c r="M34" i="1"/>
  <c r="M15" i="1"/>
  <c r="M8" i="1"/>
  <c r="M6" i="1"/>
  <c r="M32" i="1"/>
  <c r="M10" i="1"/>
  <c r="M22" i="1"/>
  <c r="M3" i="1"/>
  <c r="M14" i="1"/>
  <c r="M17" i="1"/>
  <c r="M30" i="1"/>
  <c r="M18" i="1"/>
  <c r="M31" i="1"/>
  <c r="M25" i="1"/>
  <c r="M13" i="1" l="1"/>
  <c r="M4" i="1"/>
  <c r="M23" i="1"/>
  <c r="M33" i="1"/>
  <c r="M28" i="1"/>
  <c r="M27" i="1"/>
  <c r="M12" i="1"/>
  <c r="M7" i="1"/>
  <c r="M11" i="1"/>
  <c r="M5" i="1"/>
  <c r="M19" i="1"/>
  <c r="M21" i="1"/>
  <c r="M29" i="1"/>
  <c r="M2" i="1"/>
</calcChain>
</file>

<file path=xl/sharedStrings.xml><?xml version="1.0" encoding="utf-8"?>
<sst xmlns="http://schemas.openxmlformats.org/spreadsheetml/2006/main" count="82" uniqueCount="65">
  <si>
    <t>Author</t>
  </si>
  <si>
    <t>Year</t>
  </si>
  <si>
    <t>group</t>
  </si>
  <si>
    <t>weight_%</t>
  </si>
  <si>
    <t>CI_lower</t>
  </si>
  <si>
    <t>CI_upper</t>
  </si>
  <si>
    <t>Antonio</t>
  </si>
  <si>
    <t>HP - Squat</t>
  </si>
  <si>
    <t>Bridge</t>
  </si>
  <si>
    <t>GY - Leg extension</t>
  </si>
  <si>
    <t>GY - Leg curl</t>
  </si>
  <si>
    <t>Burke</t>
  </si>
  <si>
    <t>Whey - Squat</t>
  </si>
  <si>
    <t>Whey - Leg curl</t>
  </si>
  <si>
    <t>Campbell</t>
  </si>
  <si>
    <t>High PRO - Squat</t>
  </si>
  <si>
    <t>Candow aS</t>
  </si>
  <si>
    <t>S (soy) - Squat</t>
  </si>
  <si>
    <t>Candow aW</t>
  </si>
  <si>
    <t>W (whey) - Squat</t>
  </si>
  <si>
    <t>Hartman</t>
  </si>
  <si>
    <t>Milk - Leg Press</t>
  </si>
  <si>
    <t>Milk - Leg extension</t>
  </si>
  <si>
    <t>Milk - Leg curl</t>
  </si>
  <si>
    <t>Soy - Leg Press</t>
  </si>
  <si>
    <t>Soy - Leg extension</t>
  </si>
  <si>
    <t>Soy - Leg curl</t>
  </si>
  <si>
    <t>Hoffman</t>
  </si>
  <si>
    <t>PR - Squat</t>
  </si>
  <si>
    <t>AM/PM - Squat</t>
  </si>
  <si>
    <t>PRE/POST - Squat</t>
  </si>
  <si>
    <t>Kerksick</t>
  </si>
  <si>
    <t>WC - Leg Press</t>
  </si>
  <si>
    <t>Kirmse</t>
  </si>
  <si>
    <t>COL - Isometric knee extension torque</t>
  </si>
  <si>
    <t>COL - Squat</t>
  </si>
  <si>
    <t>Lockwood</t>
  </si>
  <si>
    <t>WPC - Squat</t>
  </si>
  <si>
    <t>WPC-L - Squat</t>
  </si>
  <si>
    <t>WPH - Squat</t>
  </si>
  <si>
    <t>Mori</t>
  </si>
  <si>
    <t>EX+PRO - Leg extension</t>
  </si>
  <si>
    <t>Naclerio aB</t>
  </si>
  <si>
    <t>Beef - Squat</t>
  </si>
  <si>
    <t>Naclerio aW</t>
  </si>
  <si>
    <t>Oertzen-Hagemann</t>
  </si>
  <si>
    <t>Rozenek</t>
  </si>
  <si>
    <t>CHO - Leg Press</t>
  </si>
  <si>
    <t>CHO/PRO - Leg Press</t>
  </si>
  <si>
    <t>Snijders</t>
  </si>
  <si>
    <t>PRO - Leg Press</t>
  </si>
  <si>
    <t>PRO - Leg extension</t>
  </si>
  <si>
    <t>Spillane</t>
  </si>
  <si>
    <t>HPC - Lower-Body</t>
  </si>
  <si>
    <t>Vangsoe</t>
  </si>
  <si>
    <t>Pro - Leg Press</t>
  </si>
  <si>
    <t>Willoughby</t>
  </si>
  <si>
    <t>n_tot_est</t>
  </si>
  <si>
    <t>n_exp_est</t>
  </si>
  <si>
    <t>n_ctrl_est</t>
  </si>
  <si>
    <t>d</t>
  </si>
  <si>
    <t>J</t>
  </si>
  <si>
    <t>g</t>
  </si>
  <si>
    <t>se_d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</si>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</sst>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36088-A98F-4F50-8571-8D7CC948885C}">
  <dimension ref="A1:N35"/>
  <sheetViews>
    <sheetView tabSelected="1" topLeftCell="C1" workbookViewId="0">
      <selection activeCell="N15" sqref="N15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57</v>
      </c>
      <c r="F1" t="s">
        <v>58</v>
      </c>
      <c r="G1" t="s">
        <v>59</v>
      </c>
      <c r="H1" t="s">
        <v>60</v>
      </c>
      <c r="I1" t="s">
        <v>4</v>
      </c>
      <c r="J1" t="s">
        <v>5</v>
      </c>
      <c r="K1" t="s">
        <v>63</v>
      </c>
      <c r="L1" t="s">
        <v>61</v>
      </c>
      <c r="M1" t="s">
        <v>62</v>
      </c>
      <c r="N1" t="s">
        <v>64</v>
      </c>
    </row>
    <row r="2" spans="1:14" x14ac:dyDescent="0.25">
      <c r="A2" t="s">
        <v>6</v>
      </c>
      <c r="B2">
        <v>2015</v>
      </c>
      <c r="C2" t="s">
        <v>7</v>
      </c>
      <c r="D2">
        <v>1.07</v>
      </c>
      <c r="E2">
        <f t="shared" ref="E2:E35" si="0" xml:space="preserve"> ( 2*K2^2 + 4 + (H2^2)/2 + SQRT( MAX( (2*K2^2 + 4 + (H2^2)/2)^2 - 32*K2^2, 0) ) ) / (2*K2^2)</f>
        <v>45.751201330636881</v>
      </c>
      <c r="F2">
        <f>E2/2</f>
        <v>22.875600665318441</v>
      </c>
      <c r="G2">
        <f>E2/2</f>
        <v>22.875600665318441</v>
      </c>
      <c r="H2">
        <v>-0.11</v>
      </c>
      <c r="I2">
        <v>-0.69</v>
      </c>
      <c r="J2">
        <v>0.47</v>
      </c>
      <c r="K2">
        <v>0.29591836734693899</v>
      </c>
      <c r="L2">
        <f t="shared" ref="L2:L35" si="1">1-3/(4*(F2+G2-2)-1)</f>
        <v>0.9827590968281652</v>
      </c>
      <c r="M2">
        <f t="shared" ref="M2:M35" si="2">L2*H2</f>
        <v>-0.10810350065109817</v>
      </c>
      <c r="N2">
        <f>L2*K2</f>
        <v>0.29081646742874295</v>
      </c>
    </row>
    <row r="3" spans="1:14" x14ac:dyDescent="0.25">
      <c r="A3" t="s">
        <v>8</v>
      </c>
      <c r="B3">
        <v>2019</v>
      </c>
      <c r="C3" t="s">
        <v>9</v>
      </c>
      <c r="D3">
        <v>0.99</v>
      </c>
      <c r="E3">
        <f t="shared" si="0"/>
        <v>31.024502168077483</v>
      </c>
      <c r="F3">
        <f t="shared" ref="F3:F35" si="3">E3/2</f>
        <v>15.512251084038741</v>
      </c>
      <c r="G3">
        <f t="shared" ref="G3:G35" si="4">E3/2</f>
        <v>15.512251084038741</v>
      </c>
      <c r="H3">
        <v>0.95</v>
      </c>
      <c r="I3">
        <v>0.2</v>
      </c>
      <c r="J3">
        <v>1.69</v>
      </c>
      <c r="K3">
        <v>0.38010204081632698</v>
      </c>
      <c r="L3">
        <f t="shared" si="1"/>
        <v>0.97393525713775675</v>
      </c>
      <c r="M3">
        <f t="shared" si="2"/>
        <v>0.92523849428086891</v>
      </c>
      <c r="N3">
        <f>L3*K3</f>
        <v>0.37019477886103552</v>
      </c>
    </row>
    <row r="4" spans="1:14" x14ac:dyDescent="0.25">
      <c r="A4" t="s">
        <v>8</v>
      </c>
      <c r="B4">
        <v>2019</v>
      </c>
      <c r="C4" t="s">
        <v>10</v>
      </c>
      <c r="D4">
        <v>1.04</v>
      </c>
      <c r="E4">
        <f t="shared" si="0"/>
        <v>30.669342447073905</v>
      </c>
      <c r="F4">
        <f t="shared" si="3"/>
        <v>15.334671223536953</v>
      </c>
      <c r="G4">
        <f t="shared" si="4"/>
        <v>15.334671223536953</v>
      </c>
      <c r="H4">
        <v>0.39</v>
      </c>
      <c r="I4">
        <v>-0.33</v>
      </c>
      <c r="J4">
        <v>1.1000000000000001</v>
      </c>
      <c r="K4">
        <v>0.36479591836734698</v>
      </c>
      <c r="L4">
        <f t="shared" si="1"/>
        <v>0.97360952311276217</v>
      </c>
      <c r="M4">
        <f t="shared" si="2"/>
        <v>0.37970771401397724</v>
      </c>
      <c r="N4">
        <f>L4*K4</f>
        <v>0.35516878011511482</v>
      </c>
    </row>
    <row r="5" spans="1:14" x14ac:dyDescent="0.25">
      <c r="A5" t="s">
        <v>11</v>
      </c>
      <c r="B5">
        <v>2001</v>
      </c>
      <c r="C5" t="s">
        <v>12</v>
      </c>
      <c r="D5">
        <v>0.91</v>
      </c>
      <c r="E5">
        <f t="shared" si="0"/>
        <v>24.655189364109503</v>
      </c>
      <c r="F5">
        <f t="shared" si="3"/>
        <v>12.327594682054752</v>
      </c>
      <c r="G5">
        <f t="shared" si="4"/>
        <v>12.327594682054752</v>
      </c>
      <c r="H5">
        <v>0.1</v>
      </c>
      <c r="I5">
        <v>-0.69</v>
      </c>
      <c r="J5">
        <v>0.89</v>
      </c>
      <c r="K5">
        <v>0.40306122448979598</v>
      </c>
      <c r="L5">
        <f t="shared" si="1"/>
        <v>0.9665256120887149</v>
      </c>
      <c r="M5">
        <f t="shared" si="2"/>
        <v>9.6652561208871501E-2</v>
      </c>
      <c r="N5">
        <f>L5*K5</f>
        <v>0.38956899670922696</v>
      </c>
    </row>
    <row r="6" spans="1:14" x14ac:dyDescent="0.25">
      <c r="A6" t="s">
        <v>11</v>
      </c>
      <c r="B6">
        <v>2001</v>
      </c>
      <c r="C6" t="s">
        <v>13</v>
      </c>
      <c r="D6">
        <v>0.83</v>
      </c>
      <c r="E6">
        <f t="shared" si="0"/>
        <v>24.643197551939107</v>
      </c>
      <c r="F6">
        <f t="shared" si="3"/>
        <v>12.321598775969553</v>
      </c>
      <c r="G6">
        <f t="shared" si="4"/>
        <v>12.321598775969553</v>
      </c>
      <c r="H6">
        <v>1.08</v>
      </c>
      <c r="I6">
        <v>0.23</v>
      </c>
      <c r="J6">
        <v>1.93</v>
      </c>
      <c r="K6">
        <v>0.43367346938775497</v>
      </c>
      <c r="L6">
        <f t="shared" si="1"/>
        <v>0.96650768617298</v>
      </c>
      <c r="M6">
        <f t="shared" si="2"/>
        <v>1.0438283010668186</v>
      </c>
      <c r="N6">
        <f>L6*K6</f>
        <v>0.41914874145256775</v>
      </c>
    </row>
    <row r="7" spans="1:14" x14ac:dyDescent="0.25">
      <c r="A7" t="s">
        <v>14</v>
      </c>
      <c r="B7">
        <v>2018</v>
      </c>
      <c r="C7" t="s">
        <v>15</v>
      </c>
      <c r="D7">
        <v>0.64</v>
      </c>
      <c r="E7">
        <f t="shared" si="0"/>
        <v>18.764182973286523</v>
      </c>
      <c r="F7">
        <f t="shared" si="3"/>
        <v>9.3820914866432616</v>
      </c>
      <c r="G7">
        <f t="shared" si="4"/>
        <v>9.3820914866432616</v>
      </c>
      <c r="H7">
        <v>-0.03</v>
      </c>
      <c r="I7">
        <v>-0.94</v>
      </c>
      <c r="J7">
        <v>0.87</v>
      </c>
      <c r="K7">
        <v>0.46173469387755101</v>
      </c>
      <c r="L7">
        <f t="shared" si="1"/>
        <v>0.95458449254115652</v>
      </c>
      <c r="M7">
        <f t="shared" si="2"/>
        <v>-2.8637534776234694E-2</v>
      </c>
      <c r="N7">
        <f>L7*K7</f>
        <v>0.44076477844374828</v>
      </c>
    </row>
    <row r="8" spans="1:14" x14ac:dyDescent="0.25">
      <c r="A8" t="s">
        <v>16</v>
      </c>
      <c r="B8">
        <v>2006</v>
      </c>
      <c r="C8" t="s">
        <v>17</v>
      </c>
      <c r="D8">
        <v>0.65</v>
      </c>
      <c r="E8">
        <f t="shared" si="0"/>
        <v>20.045322873806654</v>
      </c>
      <c r="F8">
        <f t="shared" si="3"/>
        <v>10.022661436903327</v>
      </c>
      <c r="G8">
        <f t="shared" si="4"/>
        <v>10.022661436903327</v>
      </c>
      <c r="H8">
        <v>1.1299999999999999</v>
      </c>
      <c r="I8">
        <v>0.18</v>
      </c>
      <c r="J8">
        <v>2.08</v>
      </c>
      <c r="K8">
        <v>0.48469387755102</v>
      </c>
      <c r="L8">
        <f t="shared" si="1"/>
        <v>0.95785409428541801</v>
      </c>
      <c r="M8">
        <f t="shared" si="2"/>
        <v>1.0823751265425223</v>
      </c>
      <c r="N8">
        <f>L8*K8</f>
        <v>0.46426601508731957</v>
      </c>
    </row>
    <row r="9" spans="1:14" x14ac:dyDescent="0.25">
      <c r="A9" t="s">
        <v>18</v>
      </c>
      <c r="B9">
        <v>2006</v>
      </c>
      <c r="C9" t="s">
        <v>19</v>
      </c>
      <c r="D9">
        <v>0.59</v>
      </c>
      <c r="E9">
        <f t="shared" si="0"/>
        <v>19.768371673514224</v>
      </c>
      <c r="F9">
        <f t="shared" si="3"/>
        <v>9.884185836757112</v>
      </c>
      <c r="G9">
        <f t="shared" si="4"/>
        <v>9.884185836757112</v>
      </c>
      <c r="H9">
        <v>1.56</v>
      </c>
      <c r="I9">
        <v>0.54</v>
      </c>
      <c r="J9">
        <v>2.58</v>
      </c>
      <c r="K9">
        <v>0.52040816326530603</v>
      </c>
      <c r="L9">
        <f t="shared" si="1"/>
        <v>0.957187801813001</v>
      </c>
      <c r="M9">
        <f t="shared" si="2"/>
        <v>1.4932129708282815</v>
      </c>
      <c r="N9">
        <f>L9*K9</f>
        <v>0.4981283458414596</v>
      </c>
    </row>
    <row r="10" spans="1:14" x14ac:dyDescent="0.25">
      <c r="A10" t="s">
        <v>20</v>
      </c>
      <c r="B10">
        <v>2007</v>
      </c>
      <c r="C10" t="s">
        <v>21</v>
      </c>
      <c r="D10">
        <v>1.64</v>
      </c>
      <c r="E10">
        <f t="shared" si="0"/>
        <v>38.777791830494209</v>
      </c>
      <c r="F10">
        <f t="shared" si="3"/>
        <v>19.388895915247105</v>
      </c>
      <c r="G10">
        <f t="shared" si="4"/>
        <v>19.388895915247105</v>
      </c>
      <c r="H10">
        <v>0.11</v>
      </c>
      <c r="I10">
        <v>-0.52</v>
      </c>
      <c r="J10">
        <v>0.74</v>
      </c>
      <c r="K10">
        <v>0.32142857142857101</v>
      </c>
      <c r="L10">
        <f t="shared" si="1"/>
        <v>0.97946768850741528</v>
      </c>
      <c r="M10">
        <f t="shared" si="2"/>
        <v>0.10774144573581568</v>
      </c>
      <c r="N10">
        <f>L10*K10</f>
        <v>0.31482889987738305</v>
      </c>
    </row>
    <row r="11" spans="1:14" x14ac:dyDescent="0.25">
      <c r="A11" t="s">
        <v>20</v>
      </c>
      <c r="B11">
        <v>2007</v>
      </c>
      <c r="C11" t="s">
        <v>22</v>
      </c>
      <c r="D11">
        <v>1.53</v>
      </c>
      <c r="E11">
        <f t="shared" si="0"/>
        <v>39.146176883915174</v>
      </c>
      <c r="F11">
        <f t="shared" si="3"/>
        <v>19.573088441957587</v>
      </c>
      <c r="G11">
        <f t="shared" si="4"/>
        <v>19.573088441957587</v>
      </c>
      <c r="H11">
        <v>0.84</v>
      </c>
      <c r="I11">
        <v>0.19</v>
      </c>
      <c r="J11">
        <v>1.5</v>
      </c>
      <c r="K11">
        <v>0.33418367346938799</v>
      </c>
      <c r="L11">
        <f t="shared" si="1"/>
        <v>0.97967269068663421</v>
      </c>
      <c r="M11">
        <f t="shared" si="2"/>
        <v>0.82292506017677269</v>
      </c>
      <c r="N11">
        <f>L11*K11</f>
        <v>0.32739061857129892</v>
      </c>
    </row>
    <row r="12" spans="1:14" x14ac:dyDescent="0.25">
      <c r="A12" t="s">
        <v>20</v>
      </c>
      <c r="B12">
        <v>2007</v>
      </c>
      <c r="C12" t="s">
        <v>23</v>
      </c>
      <c r="D12">
        <v>1.59</v>
      </c>
      <c r="E12">
        <f t="shared" si="0"/>
        <v>38.631179772690651</v>
      </c>
      <c r="F12">
        <f t="shared" si="3"/>
        <v>19.315589886345325</v>
      </c>
      <c r="G12">
        <f t="shared" si="4"/>
        <v>19.315589886345325</v>
      </c>
      <c r="H12">
        <v>0.59</v>
      </c>
      <c r="I12">
        <v>-0.06</v>
      </c>
      <c r="J12">
        <v>1.23</v>
      </c>
      <c r="K12">
        <v>0.32908163265306101</v>
      </c>
      <c r="L12">
        <f t="shared" si="1"/>
        <v>0.97938494560412848</v>
      </c>
      <c r="M12">
        <f t="shared" si="2"/>
        <v>0.57783711790643577</v>
      </c>
      <c r="N12">
        <f>L12*K12</f>
        <v>0.32229759689523596</v>
      </c>
    </row>
    <row r="13" spans="1:14" x14ac:dyDescent="0.25">
      <c r="A13" t="s">
        <v>20</v>
      </c>
      <c r="B13">
        <v>2007</v>
      </c>
      <c r="C13" t="s">
        <v>24</v>
      </c>
      <c r="D13">
        <v>1.67</v>
      </c>
      <c r="E13">
        <f t="shared" si="0"/>
        <v>39.803949340476521</v>
      </c>
      <c r="F13">
        <f t="shared" si="3"/>
        <v>19.901974670238261</v>
      </c>
      <c r="G13">
        <f t="shared" si="4"/>
        <v>19.901974670238261</v>
      </c>
      <c r="H13">
        <v>0.3</v>
      </c>
      <c r="I13">
        <v>-0.32</v>
      </c>
      <c r="J13">
        <v>0.93</v>
      </c>
      <c r="K13">
        <v>0.31887755102040799</v>
      </c>
      <c r="L13">
        <f t="shared" si="1"/>
        <v>0.98002873164683024</v>
      </c>
      <c r="M13">
        <f t="shared" si="2"/>
        <v>0.29400861949404905</v>
      </c>
      <c r="N13">
        <f>L13*K13</f>
        <v>0.31250916187717787</v>
      </c>
    </row>
    <row r="14" spans="1:14" x14ac:dyDescent="0.25">
      <c r="A14" t="s">
        <v>20</v>
      </c>
      <c r="B14">
        <v>2007</v>
      </c>
      <c r="C14" t="s">
        <v>25</v>
      </c>
      <c r="D14">
        <v>1.62</v>
      </c>
      <c r="E14">
        <f t="shared" si="0"/>
        <v>39.35399801760623</v>
      </c>
      <c r="F14">
        <f t="shared" si="3"/>
        <v>19.676999008803115</v>
      </c>
      <c r="G14">
        <f t="shared" si="4"/>
        <v>19.676999008803115</v>
      </c>
      <c r="H14">
        <v>0.61</v>
      </c>
      <c r="I14">
        <v>-0.03</v>
      </c>
      <c r="J14">
        <v>1.25</v>
      </c>
      <c r="K14">
        <v>0.32653061224489799</v>
      </c>
      <c r="L14">
        <f t="shared" si="1"/>
        <v>0.97978654484500249</v>
      </c>
      <c r="M14">
        <f t="shared" si="2"/>
        <v>0.59766979235545148</v>
      </c>
      <c r="N14">
        <f>L14*K14</f>
        <v>0.31993030035755188</v>
      </c>
    </row>
    <row r="15" spans="1:14" x14ac:dyDescent="0.25">
      <c r="A15" t="s">
        <v>20</v>
      </c>
      <c r="B15">
        <v>2007</v>
      </c>
      <c r="C15" t="s">
        <v>26</v>
      </c>
      <c r="D15">
        <v>1.68</v>
      </c>
      <c r="E15">
        <f t="shared" si="0"/>
        <v>40.063910386136442</v>
      </c>
      <c r="F15">
        <f t="shared" si="3"/>
        <v>20.031955193068221</v>
      </c>
      <c r="G15">
        <f t="shared" si="4"/>
        <v>20.031955193068221</v>
      </c>
      <c r="H15">
        <v>-0.13</v>
      </c>
      <c r="I15">
        <v>-0.75</v>
      </c>
      <c r="J15">
        <v>0.49</v>
      </c>
      <c r="K15">
        <v>0.31632653061224503</v>
      </c>
      <c r="L15">
        <f t="shared" si="1"/>
        <v>0.9801660290527644</v>
      </c>
      <c r="M15">
        <f t="shared" si="2"/>
        <v>-0.12742158377685939</v>
      </c>
      <c r="N15">
        <f>L15*K15</f>
        <v>0.31005251939424194</v>
      </c>
    </row>
    <row r="16" spans="1:14" x14ac:dyDescent="0.25">
      <c r="A16" t="s">
        <v>27</v>
      </c>
      <c r="B16">
        <v>2007</v>
      </c>
      <c r="C16" t="s">
        <v>28</v>
      </c>
      <c r="D16">
        <v>0.66</v>
      </c>
      <c r="E16">
        <f t="shared" si="0"/>
        <v>22.755539834589012</v>
      </c>
      <c r="F16">
        <f t="shared" si="3"/>
        <v>11.377769917294506</v>
      </c>
      <c r="G16">
        <f t="shared" si="4"/>
        <v>11.377769917294506</v>
      </c>
      <c r="H16">
        <v>1.08</v>
      </c>
      <c r="I16">
        <v>0.19</v>
      </c>
      <c r="J16">
        <v>1.96</v>
      </c>
      <c r="K16">
        <v>0.45153061224489799</v>
      </c>
      <c r="L16">
        <f t="shared" si="1"/>
        <v>0.96342451815216834</v>
      </c>
      <c r="M16">
        <f t="shared" si="2"/>
        <v>1.0404984796043419</v>
      </c>
      <c r="N16">
        <f>L16*K16</f>
        <v>0.4350156625329944</v>
      </c>
    </row>
    <row r="17" spans="1:14" x14ac:dyDescent="0.25">
      <c r="A17" t="s">
        <v>27</v>
      </c>
      <c r="B17">
        <v>2009</v>
      </c>
      <c r="C17" t="s">
        <v>29</v>
      </c>
      <c r="D17">
        <v>0.74</v>
      </c>
      <c r="E17">
        <f t="shared" si="0"/>
        <v>19.84407855738851</v>
      </c>
      <c r="F17">
        <f t="shared" si="3"/>
        <v>9.9220392786942551</v>
      </c>
      <c r="G17">
        <f t="shared" si="4"/>
        <v>9.9220392786942551</v>
      </c>
      <c r="H17">
        <v>0.02</v>
      </c>
      <c r="I17">
        <v>-0.86</v>
      </c>
      <c r="J17">
        <v>0.9</v>
      </c>
      <c r="K17">
        <v>0.44897959183673503</v>
      </c>
      <c r="L17">
        <f t="shared" si="1"/>
        <v>0.95737202164048296</v>
      </c>
      <c r="M17">
        <f t="shared" si="2"/>
        <v>1.9147440432809661E-2</v>
      </c>
      <c r="N17">
        <f>L17*K17</f>
        <v>0.42984049951205389</v>
      </c>
    </row>
    <row r="18" spans="1:14" x14ac:dyDescent="0.25">
      <c r="A18" t="s">
        <v>27</v>
      </c>
      <c r="B18">
        <v>2009</v>
      </c>
      <c r="C18" t="s">
        <v>30</v>
      </c>
      <c r="D18">
        <v>0.73</v>
      </c>
      <c r="E18">
        <f t="shared" si="0"/>
        <v>19.945349848014938</v>
      </c>
      <c r="F18">
        <f t="shared" si="3"/>
        <v>9.9726749240074692</v>
      </c>
      <c r="G18">
        <f t="shared" si="4"/>
        <v>9.9726749240074692</v>
      </c>
      <c r="H18">
        <v>0.45</v>
      </c>
      <c r="I18">
        <v>-0.44</v>
      </c>
      <c r="J18">
        <v>1.34</v>
      </c>
      <c r="K18">
        <v>0.45408163265306101</v>
      </c>
      <c r="L18">
        <f t="shared" si="1"/>
        <v>0.95761598349613108</v>
      </c>
      <c r="M18">
        <f t="shared" si="2"/>
        <v>0.43092719257325901</v>
      </c>
      <c r="N18">
        <f>L18*K18</f>
        <v>0.43483582924058994</v>
      </c>
    </row>
    <row r="19" spans="1:14" x14ac:dyDescent="0.25">
      <c r="A19" t="s">
        <v>31</v>
      </c>
      <c r="B19">
        <v>2006</v>
      </c>
      <c r="C19" t="s">
        <v>32</v>
      </c>
      <c r="D19">
        <v>0.72</v>
      </c>
      <c r="E19">
        <f t="shared" si="0"/>
        <v>22.713368266201872</v>
      </c>
      <c r="F19">
        <f t="shared" si="3"/>
        <v>11.356684133100936</v>
      </c>
      <c r="G19">
        <f t="shared" si="4"/>
        <v>11.356684133100936</v>
      </c>
      <c r="H19">
        <v>0.21</v>
      </c>
      <c r="I19">
        <v>-0.61</v>
      </c>
      <c r="J19">
        <v>1.04</v>
      </c>
      <c r="K19">
        <v>0.42091836734693899</v>
      </c>
      <c r="L19">
        <f t="shared" si="1"/>
        <v>0.96334914222118895</v>
      </c>
      <c r="M19">
        <f t="shared" si="2"/>
        <v>0.20230331986644967</v>
      </c>
      <c r="N19">
        <f>L19*K19</f>
        <v>0.40549134812881699</v>
      </c>
    </row>
    <row r="20" spans="1:14" x14ac:dyDescent="0.25">
      <c r="A20" t="s">
        <v>33</v>
      </c>
      <c r="B20">
        <v>2019</v>
      </c>
      <c r="C20" t="s">
        <v>34</v>
      </c>
      <c r="D20">
        <v>1.75</v>
      </c>
      <c r="E20">
        <f t="shared" si="0"/>
        <v>55.936130030262596</v>
      </c>
      <c r="F20">
        <f t="shared" si="3"/>
        <v>27.968065015131298</v>
      </c>
      <c r="G20">
        <f t="shared" si="4"/>
        <v>27.968065015131298</v>
      </c>
      <c r="H20">
        <v>0.16</v>
      </c>
      <c r="I20">
        <v>-0.36</v>
      </c>
      <c r="J20">
        <v>0.69</v>
      </c>
      <c r="K20">
        <v>0.26785714285714302</v>
      </c>
      <c r="L20">
        <f t="shared" si="1"/>
        <v>0.98602991127173389</v>
      </c>
      <c r="M20">
        <f t="shared" si="2"/>
        <v>0.15776478580347741</v>
      </c>
      <c r="N20">
        <f>L20*K20</f>
        <v>0.26411515480492886</v>
      </c>
    </row>
    <row r="21" spans="1:14" x14ac:dyDescent="0.25">
      <c r="A21" t="s">
        <v>33</v>
      </c>
      <c r="B21">
        <v>2019</v>
      </c>
      <c r="C21" t="s">
        <v>35</v>
      </c>
      <c r="D21">
        <v>0.78</v>
      </c>
      <c r="E21">
        <f t="shared" si="0"/>
        <v>54.545792682240773</v>
      </c>
      <c r="F21">
        <f t="shared" si="3"/>
        <v>27.272896341120386</v>
      </c>
      <c r="G21">
        <f t="shared" si="4"/>
        <v>27.272896341120386</v>
      </c>
      <c r="H21">
        <v>0.52</v>
      </c>
      <c r="I21">
        <v>-0.02</v>
      </c>
      <c r="J21">
        <v>1.06</v>
      </c>
      <c r="K21">
        <v>0.27551020408163301</v>
      </c>
      <c r="L21">
        <f t="shared" si="1"/>
        <v>0.98565850211780626</v>
      </c>
      <c r="M21">
        <f t="shared" si="2"/>
        <v>0.51254242110125925</v>
      </c>
      <c r="N21">
        <f>L21*K21</f>
        <v>0.27155897507327353</v>
      </c>
    </row>
    <row r="22" spans="1:14" x14ac:dyDescent="0.25">
      <c r="A22" t="s">
        <v>36</v>
      </c>
      <c r="B22">
        <v>2017</v>
      </c>
      <c r="C22" t="s">
        <v>37</v>
      </c>
      <c r="D22">
        <v>1.1299999999999999</v>
      </c>
      <c r="E22">
        <f t="shared" si="0"/>
        <v>29.364939184628536</v>
      </c>
      <c r="F22">
        <f t="shared" si="3"/>
        <v>14.682469592314268</v>
      </c>
      <c r="G22">
        <f t="shared" si="4"/>
        <v>14.682469592314268</v>
      </c>
      <c r="H22">
        <v>0.37</v>
      </c>
      <c r="I22">
        <v>-0.36</v>
      </c>
      <c r="J22">
        <v>1.1000000000000001</v>
      </c>
      <c r="K22">
        <v>0.37244897959183698</v>
      </c>
      <c r="L22">
        <f t="shared" si="1"/>
        <v>0.97233997115416082</v>
      </c>
      <c r="M22">
        <f t="shared" si="2"/>
        <v>0.35976578932703951</v>
      </c>
      <c r="N22">
        <f>L22*K22</f>
        <v>0.36214703007272342</v>
      </c>
    </row>
    <row r="23" spans="1:14" x14ac:dyDescent="0.25">
      <c r="A23" t="s">
        <v>36</v>
      </c>
      <c r="B23">
        <v>2017</v>
      </c>
      <c r="C23" t="s">
        <v>38</v>
      </c>
      <c r="D23">
        <v>1.2</v>
      </c>
      <c r="E23">
        <f t="shared" si="0"/>
        <v>31.847214991957603</v>
      </c>
      <c r="F23">
        <f t="shared" si="3"/>
        <v>15.923607495978802</v>
      </c>
      <c r="G23">
        <f t="shared" si="4"/>
        <v>15.923607495978802</v>
      </c>
      <c r="H23">
        <v>0.09</v>
      </c>
      <c r="I23">
        <v>-0.6</v>
      </c>
      <c r="J23">
        <v>0.79</v>
      </c>
      <c r="K23">
        <v>0.35459183673469402</v>
      </c>
      <c r="L23">
        <f t="shared" si="1"/>
        <v>0.97465977794857406</v>
      </c>
      <c r="M23">
        <f t="shared" si="2"/>
        <v>8.7719380015371662E-2</v>
      </c>
      <c r="N23">
        <f>L23*K23</f>
        <v>0.3456064008542139</v>
      </c>
    </row>
    <row r="24" spans="1:14" x14ac:dyDescent="0.25">
      <c r="A24" t="s">
        <v>36</v>
      </c>
      <c r="B24">
        <v>2017</v>
      </c>
      <c r="C24" t="s">
        <v>39</v>
      </c>
      <c r="D24">
        <v>1.1399999999999999</v>
      </c>
      <c r="E24">
        <f t="shared" si="0"/>
        <v>29.311399953499269</v>
      </c>
      <c r="F24">
        <f t="shared" si="3"/>
        <v>14.655699976749634</v>
      </c>
      <c r="G24">
        <f t="shared" si="4"/>
        <v>14.655699976749634</v>
      </c>
      <c r="H24">
        <v>-0.14000000000000001</v>
      </c>
      <c r="I24">
        <v>-0.87</v>
      </c>
      <c r="J24">
        <v>0.57999999999999996</v>
      </c>
      <c r="K24">
        <v>0.36989795918367302</v>
      </c>
      <c r="L24">
        <f t="shared" si="1"/>
        <v>0.97228524757445078</v>
      </c>
      <c r="M24">
        <f t="shared" si="2"/>
        <v>-0.13611993466042313</v>
      </c>
      <c r="N24">
        <f>L24*K24</f>
        <v>0.35964632882218162</v>
      </c>
    </row>
    <row r="25" spans="1:14" x14ac:dyDescent="0.25">
      <c r="A25" t="s">
        <v>40</v>
      </c>
      <c r="B25">
        <v>2018</v>
      </c>
      <c r="C25" t="s">
        <v>41</v>
      </c>
      <c r="D25">
        <v>1.1200000000000001</v>
      </c>
      <c r="E25">
        <f t="shared" si="0"/>
        <v>51.200951733011983</v>
      </c>
      <c r="F25">
        <f t="shared" si="3"/>
        <v>25.600475866505992</v>
      </c>
      <c r="G25">
        <f t="shared" si="4"/>
        <v>25.600475866505992</v>
      </c>
      <c r="H25">
        <v>0.45</v>
      </c>
      <c r="I25">
        <v>-0.11</v>
      </c>
      <c r="J25">
        <v>1</v>
      </c>
      <c r="K25">
        <v>0.28316326530612201</v>
      </c>
      <c r="L25">
        <f t="shared" si="1"/>
        <v>0.98467854099976149</v>
      </c>
      <c r="M25">
        <f t="shared" si="2"/>
        <v>0.44310534344989266</v>
      </c>
      <c r="N25">
        <f>L25*K25</f>
        <v>0.27882479094636059</v>
      </c>
    </row>
    <row r="26" spans="1:14" x14ac:dyDescent="0.25">
      <c r="A26" t="s">
        <v>42</v>
      </c>
      <c r="B26">
        <v>2017</v>
      </c>
      <c r="C26" t="s">
        <v>43</v>
      </c>
      <c r="D26">
        <v>0.68</v>
      </c>
      <c r="E26">
        <f t="shared" si="0"/>
        <v>17.96836342144411</v>
      </c>
      <c r="F26">
        <f t="shared" si="3"/>
        <v>8.984181710722055</v>
      </c>
      <c r="G26">
        <f t="shared" si="4"/>
        <v>8.984181710722055</v>
      </c>
      <c r="H26">
        <v>0.06</v>
      </c>
      <c r="I26">
        <v>-0.87</v>
      </c>
      <c r="J26">
        <v>0.98</v>
      </c>
      <c r="K26">
        <v>0.47193877551020402</v>
      </c>
      <c r="L26">
        <f t="shared" si="1"/>
        <v>0.95228510883157236</v>
      </c>
      <c r="M26">
        <f t="shared" si="2"/>
        <v>5.7137106529894337E-2</v>
      </c>
      <c r="N26">
        <f>L26*K26</f>
        <v>0.44942026819857361</v>
      </c>
    </row>
    <row r="27" spans="1:14" x14ac:dyDescent="0.25">
      <c r="A27" t="s">
        <v>44</v>
      </c>
      <c r="B27">
        <v>2017</v>
      </c>
      <c r="C27" t="s">
        <v>12</v>
      </c>
      <c r="D27">
        <v>0.68</v>
      </c>
      <c r="E27">
        <f t="shared" si="0"/>
        <v>17.802705660312725</v>
      </c>
      <c r="F27">
        <f t="shared" si="3"/>
        <v>8.9013528301563625</v>
      </c>
      <c r="G27">
        <f t="shared" si="4"/>
        <v>8.9013528301563625</v>
      </c>
      <c r="H27">
        <v>-0.12</v>
      </c>
      <c r="I27">
        <v>-1.05</v>
      </c>
      <c r="J27">
        <v>0.81</v>
      </c>
      <c r="K27">
        <v>0.47448979591836699</v>
      </c>
      <c r="L27">
        <f t="shared" si="1"/>
        <v>0.9517768794458803</v>
      </c>
      <c r="M27">
        <f t="shared" si="2"/>
        <v>-0.11421322553350563</v>
      </c>
      <c r="N27">
        <f>L27*K27</f>
        <v>0.45160841728809592</v>
      </c>
    </row>
    <row r="28" spans="1:14" x14ac:dyDescent="0.25">
      <c r="A28" t="s">
        <v>45</v>
      </c>
      <c r="B28">
        <v>2019</v>
      </c>
      <c r="C28" t="s">
        <v>35</v>
      </c>
      <c r="D28">
        <v>0.78</v>
      </c>
      <c r="E28">
        <f t="shared" si="0"/>
        <v>26.707155215522317</v>
      </c>
      <c r="F28">
        <f t="shared" si="3"/>
        <v>13.353577607761158</v>
      </c>
      <c r="G28">
        <f t="shared" si="4"/>
        <v>13.353577607761158</v>
      </c>
      <c r="H28">
        <v>0.56999999999999995</v>
      </c>
      <c r="I28">
        <v>-0.2</v>
      </c>
      <c r="J28">
        <v>1.35</v>
      </c>
      <c r="K28">
        <v>0.39540816326530598</v>
      </c>
      <c r="L28">
        <f t="shared" si="1"/>
        <v>0.96933412764523019</v>
      </c>
      <c r="M28">
        <f t="shared" si="2"/>
        <v>0.55252045275778117</v>
      </c>
      <c r="N28">
        <f>L28*K28</f>
        <v>0.38328262700257815</v>
      </c>
    </row>
    <row r="29" spans="1:14" x14ac:dyDescent="0.25">
      <c r="A29" t="s">
        <v>46</v>
      </c>
      <c r="B29">
        <v>2002</v>
      </c>
      <c r="C29" t="s">
        <v>47</v>
      </c>
      <c r="D29">
        <v>1.55</v>
      </c>
      <c r="E29">
        <f t="shared" si="0"/>
        <v>46.479252528826322</v>
      </c>
      <c r="F29">
        <f t="shared" si="3"/>
        <v>23.239626264413161</v>
      </c>
      <c r="G29">
        <f t="shared" si="4"/>
        <v>23.239626264413161</v>
      </c>
      <c r="H29">
        <v>0.02</v>
      </c>
      <c r="I29">
        <v>-0.55000000000000004</v>
      </c>
      <c r="J29">
        <v>0.6</v>
      </c>
      <c r="K29">
        <v>0.29336734693877498</v>
      </c>
      <c r="L29">
        <f t="shared" si="1"/>
        <v>0.98304289679073398</v>
      </c>
      <c r="M29">
        <f t="shared" si="2"/>
        <v>1.966085793581468E-2</v>
      </c>
      <c r="N29">
        <f>L29*K29</f>
        <v>0.28839268655850564</v>
      </c>
    </row>
    <row r="30" spans="1:14" x14ac:dyDescent="0.25">
      <c r="A30" t="s">
        <v>46</v>
      </c>
      <c r="B30">
        <v>2002</v>
      </c>
      <c r="C30" t="s">
        <v>48</v>
      </c>
      <c r="D30">
        <v>1.6</v>
      </c>
      <c r="E30">
        <f t="shared" si="0"/>
        <v>52.652089200663788</v>
      </c>
      <c r="F30">
        <f t="shared" si="3"/>
        <v>26.326044600331894</v>
      </c>
      <c r="G30">
        <f t="shared" si="4"/>
        <v>26.326044600331894</v>
      </c>
      <c r="H30">
        <v>0.53</v>
      </c>
      <c r="I30">
        <v>-0.02</v>
      </c>
      <c r="J30">
        <v>1.08</v>
      </c>
      <c r="K30">
        <v>0.280612244897959</v>
      </c>
      <c r="L30">
        <f t="shared" si="1"/>
        <v>0.98511966444458177</v>
      </c>
      <c r="M30">
        <f t="shared" si="2"/>
        <v>0.52211342215562839</v>
      </c>
      <c r="N30">
        <f>L30*K30</f>
        <v>0.27643664053291817</v>
      </c>
    </row>
    <row r="31" spans="1:14" x14ac:dyDescent="0.25">
      <c r="A31" t="s">
        <v>49</v>
      </c>
      <c r="B31">
        <v>2015</v>
      </c>
      <c r="C31" t="s">
        <v>50</v>
      </c>
      <c r="D31">
        <v>1.35</v>
      </c>
      <c r="E31">
        <f t="shared" si="0"/>
        <v>40.863154310591725</v>
      </c>
      <c r="F31">
        <f t="shared" si="3"/>
        <v>20.431577155295862</v>
      </c>
      <c r="G31">
        <f t="shared" si="4"/>
        <v>20.431577155295862</v>
      </c>
      <c r="H31">
        <v>0.21</v>
      </c>
      <c r="I31">
        <v>-0.4</v>
      </c>
      <c r="J31">
        <v>0.83</v>
      </c>
      <c r="K31">
        <v>0.31377551020408201</v>
      </c>
      <c r="L31">
        <f t="shared" si="1"/>
        <v>0.98057656740583166</v>
      </c>
      <c r="M31">
        <f t="shared" si="2"/>
        <v>0.20592107915522465</v>
      </c>
      <c r="N31">
        <f>L31*K31</f>
        <v>0.30768091273193227</v>
      </c>
    </row>
    <row r="32" spans="1:14" x14ac:dyDescent="0.25">
      <c r="A32" t="s">
        <v>49</v>
      </c>
      <c r="B32">
        <v>2015</v>
      </c>
      <c r="C32" t="s">
        <v>51</v>
      </c>
      <c r="D32">
        <v>1.35</v>
      </c>
      <c r="E32">
        <f t="shared" si="0"/>
        <v>40.841266982941193</v>
      </c>
      <c r="F32">
        <f t="shared" si="3"/>
        <v>20.420633491470596</v>
      </c>
      <c r="G32">
        <f t="shared" si="4"/>
        <v>20.420633491470596</v>
      </c>
      <c r="H32">
        <v>0.2</v>
      </c>
      <c r="I32">
        <v>-0.42</v>
      </c>
      <c r="J32">
        <v>0.81</v>
      </c>
      <c r="K32">
        <v>0.31377551020408201</v>
      </c>
      <c r="L32">
        <f t="shared" si="1"/>
        <v>0.98056555125978295</v>
      </c>
      <c r="M32">
        <f t="shared" si="2"/>
        <v>0.1961131102519566</v>
      </c>
      <c r="N32">
        <f>L32*K32</f>
        <v>0.30767745613508535</v>
      </c>
    </row>
    <row r="33" spans="1:14" x14ac:dyDescent="0.25">
      <c r="A33" t="s">
        <v>52</v>
      </c>
      <c r="B33">
        <v>2016</v>
      </c>
      <c r="C33" t="s">
        <v>53</v>
      </c>
      <c r="D33">
        <v>0.7</v>
      </c>
      <c r="E33">
        <f t="shared" si="0"/>
        <v>22.805268828373347</v>
      </c>
      <c r="F33">
        <f t="shared" si="3"/>
        <v>11.402634414186673</v>
      </c>
      <c r="G33">
        <f t="shared" si="4"/>
        <v>11.402634414186673</v>
      </c>
      <c r="H33">
        <v>0.66</v>
      </c>
      <c r="I33">
        <v>-0.18</v>
      </c>
      <c r="J33">
        <v>1.51</v>
      </c>
      <c r="K33">
        <v>0.43112244897959201</v>
      </c>
      <c r="L33">
        <f t="shared" si="1"/>
        <v>0.96351300456042965</v>
      </c>
      <c r="M33">
        <f t="shared" si="2"/>
        <v>0.63591858300988358</v>
      </c>
      <c r="N33">
        <f>L33*K33</f>
        <v>0.41539208614977724</v>
      </c>
    </row>
    <row r="34" spans="1:14" x14ac:dyDescent="0.25">
      <c r="A34" t="s">
        <v>54</v>
      </c>
      <c r="B34">
        <v>2018</v>
      </c>
      <c r="C34" t="s">
        <v>55</v>
      </c>
      <c r="D34">
        <v>0.66</v>
      </c>
      <c r="E34">
        <f t="shared" si="0"/>
        <v>20.01284396457476</v>
      </c>
      <c r="F34">
        <f t="shared" si="3"/>
        <v>10.00642198228738</v>
      </c>
      <c r="G34">
        <f t="shared" si="4"/>
        <v>10.00642198228738</v>
      </c>
      <c r="H34">
        <v>-0.38</v>
      </c>
      <c r="I34">
        <v>-1.26</v>
      </c>
      <c r="J34">
        <v>0.51</v>
      </c>
      <c r="K34">
        <v>0.45153061224489799</v>
      </c>
      <c r="L34">
        <f t="shared" si="1"/>
        <v>0.95777703156680549</v>
      </c>
      <c r="M34">
        <f t="shared" si="2"/>
        <v>-0.36395527199538608</v>
      </c>
      <c r="N34">
        <f>L34*K34</f>
        <v>0.43246564945746069</v>
      </c>
    </row>
    <row r="35" spans="1:14" x14ac:dyDescent="0.25">
      <c r="A35" t="s">
        <v>56</v>
      </c>
      <c r="B35">
        <v>2007</v>
      </c>
      <c r="C35" t="s">
        <v>50</v>
      </c>
      <c r="D35">
        <v>0.62</v>
      </c>
      <c r="E35">
        <f t="shared" si="0"/>
        <v>20.921457006863886</v>
      </c>
      <c r="F35">
        <f t="shared" si="3"/>
        <v>10.460728503431943</v>
      </c>
      <c r="G35">
        <f t="shared" si="4"/>
        <v>10.460728503431943</v>
      </c>
      <c r="H35">
        <v>1.05</v>
      </c>
      <c r="I35">
        <v>0.13</v>
      </c>
      <c r="J35">
        <v>1.97</v>
      </c>
      <c r="K35">
        <v>0.469387755102041</v>
      </c>
      <c r="L35">
        <f t="shared" si="1"/>
        <v>0.95983173676675104</v>
      </c>
      <c r="M35">
        <f t="shared" si="2"/>
        <v>1.0078233236050886</v>
      </c>
      <c r="N35">
        <f>L35*K35</f>
        <v>0.45053326419663842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nunes_protein_lbs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Hester</cp:lastModifiedBy>
  <dcterms:created xsi:type="dcterms:W3CDTF">2025-10-11T20:07:12Z</dcterms:created>
  <dcterms:modified xsi:type="dcterms:W3CDTF">2025-12-30T13:03:56Z</dcterms:modified>
</cp:coreProperties>
</file>