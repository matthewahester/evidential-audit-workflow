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nunes2022\"/>
    </mc:Choice>
  </mc:AlternateContent>
  <xr:revisionPtr revIDLastSave="0" documentId="13_ncr:1_{174F39C8-95C4-4469-AA8E-160D93E03473}" xr6:coauthVersionLast="47" xr6:coauthVersionMax="47" xr10:uidLastSave="{00000000-0000-0000-0000-000000000000}"/>
  <bookViews>
    <workbookView xWindow="38280" yWindow="2820" windowWidth="29040" windowHeight="16440" xr2:uid="{3CA128F4-6D59-4401-AEC0-E8A21A4E1D68}"/>
  </bookViews>
  <sheets>
    <sheet name="nunes_protein_bp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2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2" i="1"/>
  <c r="G2" i="1" s="1"/>
  <c r="L31" i="1" l="1"/>
  <c r="L5" i="1"/>
  <c r="L40" i="1"/>
  <c r="L28" i="1"/>
  <c r="L16" i="1"/>
  <c r="G22" i="1"/>
  <c r="G29" i="1"/>
  <c r="G6" i="1"/>
  <c r="G14" i="1"/>
  <c r="G10" i="1"/>
  <c r="G49" i="1"/>
  <c r="G45" i="1"/>
  <c r="G41" i="1"/>
  <c r="L41" i="1" s="1"/>
  <c r="G37" i="1"/>
  <c r="L37" i="1" s="1"/>
  <c r="G33" i="1"/>
  <c r="L33" i="1" s="1"/>
  <c r="G26" i="1"/>
  <c r="L26" i="1" s="1"/>
  <c r="G18" i="1"/>
  <c r="G48" i="1"/>
  <c r="G44" i="1"/>
  <c r="G40" i="1"/>
  <c r="G36" i="1"/>
  <c r="L36" i="1" s="1"/>
  <c r="G32" i="1"/>
  <c r="G25" i="1"/>
  <c r="L25" i="1" s="1"/>
  <c r="G21" i="1"/>
  <c r="L21" i="1" s="1"/>
  <c r="G17" i="1"/>
  <c r="L17" i="1" s="1"/>
  <c r="G13" i="1"/>
  <c r="G9" i="1"/>
  <c r="L9" i="1" s="1"/>
  <c r="G5" i="1"/>
  <c r="G47" i="1"/>
  <c r="G43" i="1"/>
  <c r="G39" i="1"/>
  <c r="G35" i="1"/>
  <c r="L35" i="1" s="1"/>
  <c r="G31" i="1"/>
  <c r="G28" i="1"/>
  <c r="G24" i="1"/>
  <c r="L24" i="1" s="1"/>
  <c r="G20" i="1"/>
  <c r="L20" i="1" s="1"/>
  <c r="G16" i="1"/>
  <c r="G12" i="1"/>
  <c r="L12" i="1" s="1"/>
  <c r="G8" i="1"/>
  <c r="G4" i="1"/>
  <c r="L4" i="1" s="1"/>
  <c r="G46" i="1"/>
  <c r="G42" i="1"/>
  <c r="G38" i="1"/>
  <c r="G34" i="1"/>
  <c r="L34" i="1" s="1"/>
  <c r="G30" i="1"/>
  <c r="G27" i="1"/>
  <c r="L27" i="1" s="1"/>
  <c r="G23" i="1"/>
  <c r="L23" i="1" s="1"/>
  <c r="G19" i="1"/>
  <c r="L19" i="1" s="1"/>
  <c r="G15" i="1"/>
  <c r="L15" i="1" s="1"/>
  <c r="G11" i="1"/>
  <c r="L11" i="1" s="1"/>
  <c r="G7" i="1"/>
  <c r="L7" i="1" s="1"/>
  <c r="G3" i="1"/>
  <c r="L3" i="1" s="1"/>
  <c r="F2" i="1"/>
  <c r="L30" i="1" l="1"/>
  <c r="L2" i="1"/>
  <c r="L6" i="1"/>
  <c r="M6" i="1" s="1"/>
  <c r="L44" i="1"/>
  <c r="L43" i="1"/>
  <c r="L18" i="1"/>
  <c r="L29" i="1"/>
  <c r="M29" i="1" s="1"/>
  <c r="L48" i="1"/>
  <c r="L39" i="1"/>
  <c r="L13" i="1"/>
  <c r="L32" i="1"/>
  <c r="L42" i="1"/>
  <c r="L14" i="1"/>
  <c r="L8" i="1"/>
  <c r="L22" i="1"/>
  <c r="M22" i="1" s="1"/>
  <c r="L46" i="1"/>
  <c r="L10" i="1"/>
  <c r="L45" i="1"/>
  <c r="M45" i="1" s="1"/>
  <c r="L47" i="1"/>
  <c r="L49" i="1"/>
  <c r="L38" i="1"/>
  <c r="M9" i="1"/>
  <c r="M33" i="1"/>
  <c r="M16" i="1"/>
  <c r="M17" i="1"/>
  <c r="M41" i="1"/>
  <c r="M37" i="1"/>
  <c r="M4" i="1"/>
  <c r="M11" i="1"/>
  <c r="M19" i="1"/>
  <c r="M25" i="1"/>
  <c r="M3" i="1"/>
  <c r="M12" i="1"/>
  <c r="M20" i="1"/>
  <c r="M28" i="1"/>
  <c r="M15" i="1"/>
  <c r="M27" i="1"/>
  <c r="M36" i="1"/>
  <c r="M26" i="1"/>
  <c r="M23" i="1"/>
  <c r="M35" i="1"/>
  <c r="M40" i="1"/>
  <c r="M24" i="1"/>
  <c r="M34" i="1"/>
  <c r="M48" i="1" l="1"/>
  <c r="M31" i="1"/>
  <c r="M32" i="1"/>
  <c r="M18" i="1"/>
  <c r="M8" i="1"/>
  <c r="M43" i="1"/>
  <c r="M46" i="1"/>
  <c r="M10" i="1"/>
  <c r="M39" i="1"/>
  <c r="M44" i="1"/>
  <c r="M42" i="1"/>
  <c r="M13" i="1"/>
  <c r="M47" i="1"/>
  <c r="M14" i="1"/>
  <c r="M7" i="1"/>
  <c r="M30" i="1"/>
  <c r="M2" i="1"/>
  <c r="M49" i="1"/>
  <c r="M38" i="1"/>
  <c r="M21" i="1"/>
  <c r="M5" i="1"/>
</calcChain>
</file>

<file path=xl/sharedStrings.xml><?xml version="1.0" encoding="utf-8"?>
<sst xmlns="http://schemas.openxmlformats.org/spreadsheetml/2006/main" count="110" uniqueCount="83">
  <si>
    <t>Author</t>
  </si>
  <si>
    <t>Year</t>
  </si>
  <si>
    <t>group</t>
  </si>
  <si>
    <t>weight_%</t>
  </si>
  <si>
    <t>CI_lower</t>
  </si>
  <si>
    <t>CI_upper</t>
  </si>
  <si>
    <t>Antonio</t>
  </si>
  <si>
    <t>HP</t>
  </si>
  <si>
    <t>Bridge</t>
  </si>
  <si>
    <t>GY</t>
  </si>
  <si>
    <t>Burke</t>
  </si>
  <si>
    <t>Whey</t>
  </si>
  <si>
    <t>Candow S</t>
  </si>
  <si>
    <t>S (soy)</t>
  </si>
  <si>
    <t>Candow W</t>
  </si>
  <si>
    <t>W (whey)</t>
  </si>
  <si>
    <t>Candow A</t>
  </si>
  <si>
    <t>PRO-A</t>
  </si>
  <si>
    <t>Candow B</t>
  </si>
  <si>
    <t>PRO-B</t>
  </si>
  <si>
    <t>Herda</t>
  </si>
  <si>
    <t>BWPMV</t>
  </si>
  <si>
    <t>SWPMV</t>
  </si>
  <si>
    <t>Hida</t>
  </si>
  <si>
    <t>Prot</t>
  </si>
  <si>
    <t>Hoffman</t>
  </si>
  <si>
    <t>PR</t>
  </si>
  <si>
    <t>AM/PM</t>
  </si>
  <si>
    <t>PRE/POST</t>
  </si>
  <si>
    <t>Kerksick</t>
  </si>
  <si>
    <t>WC</t>
  </si>
  <si>
    <t>Kirmse</t>
  </si>
  <si>
    <t>COL</t>
  </si>
  <si>
    <t>Lockwood</t>
  </si>
  <si>
    <t>WPC</t>
  </si>
  <si>
    <t>WPC-L</t>
  </si>
  <si>
    <t>WPH</t>
  </si>
  <si>
    <t>Mobley</t>
  </si>
  <si>
    <t>SPC</t>
  </si>
  <si>
    <t>Nabuco</t>
  </si>
  <si>
    <t>WP-PLA</t>
  </si>
  <si>
    <t>Naclerio B</t>
  </si>
  <si>
    <t>Beef</t>
  </si>
  <si>
    <t>Naclerio W</t>
  </si>
  <si>
    <t>Nahas</t>
  </si>
  <si>
    <t>Negro</t>
  </si>
  <si>
    <t>FG</t>
  </si>
  <si>
    <t>WP</t>
  </si>
  <si>
    <t>Oertzen-Hagemann</t>
  </si>
  <si>
    <t>Orsatti</t>
  </si>
  <si>
    <t>SOY+RT</t>
  </si>
  <si>
    <t>Pihoker</t>
  </si>
  <si>
    <t>POST</t>
  </si>
  <si>
    <t>PRE</t>
  </si>
  <si>
    <t>Rankin</t>
  </si>
  <si>
    <t>MILK</t>
  </si>
  <si>
    <t>Reidy</t>
  </si>
  <si>
    <t>PB</t>
  </si>
  <si>
    <t>Rossato</t>
  </si>
  <si>
    <t>Rozenek</t>
  </si>
  <si>
    <t>CHO</t>
  </si>
  <si>
    <t>CHO/PRO</t>
  </si>
  <si>
    <t>Sharp</t>
  </si>
  <si>
    <t>Chx</t>
  </si>
  <si>
    <t>Snijders</t>
  </si>
  <si>
    <t>PRO</t>
  </si>
  <si>
    <t>Taylor</t>
  </si>
  <si>
    <t>Vangsoe</t>
  </si>
  <si>
    <t>Pro</t>
  </si>
  <si>
    <t>Volek</t>
  </si>
  <si>
    <t>Soy</t>
  </si>
  <si>
    <t>Walker</t>
  </si>
  <si>
    <t>WPL</t>
  </si>
  <si>
    <t>Weisgarber</t>
  </si>
  <si>
    <t>Willoughby</t>
  </si>
  <si>
    <t>n_tot_est</t>
  </si>
  <si>
    <t>n_exp_est</t>
  </si>
  <si>
    <t>n_ctrl_est</t>
  </si>
  <si>
    <t>d</t>
  </si>
  <si>
    <t>J</t>
  </si>
  <si>
    <t>g</t>
  </si>
  <si>
    <t>se_d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</si>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</sst>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E535-62D1-4E6E-BE1D-77A525BCC7F5}">
  <dimension ref="A1:N49"/>
  <sheetViews>
    <sheetView tabSelected="1" topLeftCell="C1" workbookViewId="0">
      <selection activeCell="J8" sqref="J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76</v>
      </c>
      <c r="G1" t="s">
        <v>77</v>
      </c>
      <c r="H1" t="s">
        <v>78</v>
      </c>
      <c r="I1" t="s">
        <v>4</v>
      </c>
      <c r="J1" t="s">
        <v>5</v>
      </c>
      <c r="K1" t="s">
        <v>81</v>
      </c>
      <c r="L1" t="s">
        <v>79</v>
      </c>
      <c r="M1" t="s">
        <v>80</v>
      </c>
      <c r="N1" t="s">
        <v>82</v>
      </c>
    </row>
    <row r="2" spans="1:14" x14ac:dyDescent="0.25">
      <c r="A2" t="s">
        <v>6</v>
      </c>
      <c r="B2">
        <v>2015</v>
      </c>
      <c r="C2" t="s">
        <v>7</v>
      </c>
      <c r="D2">
        <v>2.67</v>
      </c>
      <c r="E2">
        <f t="shared" ref="E2" si="0" xml:space="preserve"> ( 2*K2^2 + 4 + (H2^2)/2 + SQRT( MAX( (2*K2^2 + 4 + (H2^2)/2)^2 - 32*K2^2, 0) ) ) / (2*K2^2)</f>
        <v>45.79597784229199</v>
      </c>
      <c r="F2">
        <f>E2/2</f>
        <v>22.897988921145995</v>
      </c>
      <c r="G2">
        <f>E2/2</f>
        <v>22.897988921145995</v>
      </c>
      <c r="H2">
        <v>-0.14000000000000001</v>
      </c>
      <c r="I2">
        <v>-0.72</v>
      </c>
      <c r="J2">
        <v>0.44</v>
      </c>
      <c r="K2">
        <v>0.29591836700000002</v>
      </c>
      <c r="L2">
        <f t="shared" ref="L2:L49" si="1">1-3/(4*(F2+G2-2)-1)</f>
        <v>0.98277682492936014</v>
      </c>
      <c r="M2">
        <f t="shared" ref="M2:M49" si="2">L2*H2</f>
        <v>-0.13758875549011043</v>
      </c>
      <c r="N2">
        <f>L2*K2</f>
        <v>0.29082171315854116</v>
      </c>
    </row>
    <row r="3" spans="1:14" x14ac:dyDescent="0.25">
      <c r="A3" t="s">
        <v>8</v>
      </c>
      <c r="B3">
        <v>2019</v>
      </c>
      <c r="C3" t="s">
        <v>9</v>
      </c>
      <c r="D3">
        <v>2.09</v>
      </c>
      <c r="E3">
        <f t="shared" ref="E3:E49" si="3" xml:space="preserve"> ( 2*K3^2 + 4 + (H3^2)/2 + SQRT( MAX( (2*K3^2 + 4 + (H3^2)/2)^2 - 32*K3^2, 0) ) ) / (2*K3^2)</f>
        <v>30.566737276621083</v>
      </c>
      <c r="F3">
        <f t="shared" ref="F3:F49" si="4">E3/2</f>
        <v>15.283368638310542</v>
      </c>
      <c r="G3">
        <f t="shared" ref="G3:G49" si="5">E3/2</f>
        <v>15.283368638310542</v>
      </c>
      <c r="H3">
        <v>0.67</v>
      </c>
      <c r="I3">
        <v>-0.06</v>
      </c>
      <c r="J3">
        <v>1.4</v>
      </c>
      <c r="K3">
        <v>0.37244897999999999</v>
      </c>
      <c r="L3">
        <f t="shared" si="1"/>
        <v>0.97351389771097618</v>
      </c>
      <c r="M3">
        <f t="shared" si="2"/>
        <v>0.65225431146635404</v>
      </c>
      <c r="N3">
        <f>L3*K3</f>
        <v>0.36258425821827739</v>
      </c>
    </row>
    <row r="4" spans="1:14" x14ac:dyDescent="0.25">
      <c r="A4" t="s">
        <v>10</v>
      </c>
      <c r="B4">
        <v>2001</v>
      </c>
      <c r="C4" t="s">
        <v>11</v>
      </c>
      <c r="D4">
        <v>1.87</v>
      </c>
      <c r="E4">
        <f t="shared" si="3"/>
        <v>24.591179724033129</v>
      </c>
      <c r="F4">
        <f t="shared" si="4"/>
        <v>12.295589862016564</v>
      </c>
      <c r="G4">
        <f t="shared" si="5"/>
        <v>12.295589862016564</v>
      </c>
      <c r="H4">
        <v>-0.28999999999999998</v>
      </c>
      <c r="I4">
        <v>-1.0900000000000001</v>
      </c>
      <c r="J4">
        <v>0.5</v>
      </c>
      <c r="K4">
        <v>0.40561224499999998</v>
      </c>
      <c r="L4">
        <f t="shared" si="1"/>
        <v>0.96642970473071299</v>
      </c>
      <c r="M4">
        <f t="shared" si="2"/>
        <v>-0.28026461437190675</v>
      </c>
      <c r="N4">
        <f>L4*K4</f>
        <v>0.3919957221705116</v>
      </c>
    </row>
    <row r="5" spans="1:14" x14ac:dyDescent="0.25">
      <c r="A5" t="s">
        <v>12</v>
      </c>
      <c r="B5">
        <v>2006</v>
      </c>
      <c r="C5" t="s">
        <v>13</v>
      </c>
      <c r="D5">
        <v>1.51</v>
      </c>
      <c r="E5">
        <f t="shared" si="3"/>
        <v>19.812246874909569</v>
      </c>
      <c r="F5">
        <f t="shared" si="4"/>
        <v>9.9061234374547844</v>
      </c>
      <c r="G5">
        <f t="shared" si="5"/>
        <v>9.9061234374547844</v>
      </c>
      <c r="H5">
        <v>0.91</v>
      </c>
      <c r="I5">
        <v>-0.02</v>
      </c>
      <c r="J5">
        <v>1.84</v>
      </c>
      <c r="K5">
        <v>0.47448979600000002</v>
      </c>
      <c r="L5">
        <f t="shared" si="1"/>
        <v>0.95729475816266463</v>
      </c>
      <c r="M5">
        <f t="shared" si="2"/>
        <v>0.87113822992802481</v>
      </c>
      <c r="N5">
        <f>L5*K5</f>
        <v>0.4542265945124721</v>
      </c>
    </row>
    <row r="6" spans="1:14" x14ac:dyDescent="0.25">
      <c r="A6" t="s">
        <v>14</v>
      </c>
      <c r="B6">
        <v>2006</v>
      </c>
      <c r="C6" t="s">
        <v>15</v>
      </c>
      <c r="D6">
        <v>1.42</v>
      </c>
      <c r="E6">
        <f t="shared" si="3"/>
        <v>20.024730677858852</v>
      </c>
      <c r="F6">
        <f t="shared" si="4"/>
        <v>10.012365338929426</v>
      </c>
      <c r="G6">
        <f t="shared" si="5"/>
        <v>10.012365338929426</v>
      </c>
      <c r="H6">
        <v>1.24</v>
      </c>
      <c r="I6">
        <v>0.27</v>
      </c>
      <c r="J6">
        <v>2.2000000000000002</v>
      </c>
      <c r="K6">
        <v>0.49234693899999998</v>
      </c>
      <c r="L6">
        <f t="shared" si="1"/>
        <v>0.95780526784947351</v>
      </c>
      <c r="M6">
        <f t="shared" si="2"/>
        <v>1.1876785321333472</v>
      </c>
      <c r="N6">
        <f>L6*K6</f>
        <v>0.47157249178376337</v>
      </c>
    </row>
    <row r="7" spans="1:14" x14ac:dyDescent="0.25">
      <c r="A7" t="s">
        <v>16</v>
      </c>
      <c r="B7">
        <v>2006</v>
      </c>
      <c r="C7" t="s">
        <v>17</v>
      </c>
      <c r="D7">
        <v>1.72</v>
      </c>
      <c r="E7">
        <f t="shared" si="3"/>
        <v>21.824072632806264</v>
      </c>
      <c r="F7">
        <f t="shared" si="4"/>
        <v>10.912036316403132</v>
      </c>
      <c r="G7">
        <f t="shared" si="5"/>
        <v>10.912036316403132</v>
      </c>
      <c r="H7">
        <v>-0.32</v>
      </c>
      <c r="I7">
        <v>-1.1599999999999999</v>
      </c>
      <c r="J7">
        <v>0.53</v>
      </c>
      <c r="K7">
        <v>0.43112244900000002</v>
      </c>
      <c r="L7">
        <f t="shared" si="1"/>
        <v>0.96168400853162284</v>
      </c>
      <c r="M7">
        <f t="shared" si="2"/>
        <v>-0.30773888273011929</v>
      </c>
      <c r="N7">
        <f>L7*K7</f>
        <v>0.41460356492229017</v>
      </c>
    </row>
    <row r="8" spans="1:14" x14ac:dyDescent="0.25">
      <c r="A8" t="s">
        <v>18</v>
      </c>
      <c r="B8">
        <v>2006</v>
      </c>
      <c r="C8" t="s">
        <v>19</v>
      </c>
      <c r="D8">
        <v>1.68</v>
      </c>
      <c r="E8">
        <f t="shared" si="3"/>
        <v>20.818008681043647</v>
      </c>
      <c r="F8">
        <f t="shared" si="4"/>
        <v>10.409004340521824</v>
      </c>
      <c r="G8">
        <f t="shared" si="5"/>
        <v>10.409004340521824</v>
      </c>
      <c r="H8">
        <v>0.12</v>
      </c>
      <c r="I8">
        <v>-0.74</v>
      </c>
      <c r="J8">
        <v>0.98</v>
      </c>
      <c r="K8">
        <v>0.43877550999999998</v>
      </c>
      <c r="L8">
        <f t="shared" si="1"/>
        <v>0.95960794650178693</v>
      </c>
      <c r="M8">
        <f t="shared" si="2"/>
        <v>0.11515295358021443</v>
      </c>
      <c r="N8">
        <f>L8*K8</f>
        <v>0.42105246612637426</v>
      </c>
    </row>
    <row r="9" spans="1:14" x14ac:dyDescent="0.25">
      <c r="A9" t="s">
        <v>20</v>
      </c>
      <c r="B9">
        <v>2013</v>
      </c>
      <c r="C9" t="s">
        <v>21</v>
      </c>
      <c r="D9">
        <v>2.31</v>
      </c>
      <c r="E9">
        <f t="shared" si="3"/>
        <v>34.23304959965494</v>
      </c>
      <c r="F9">
        <f t="shared" si="4"/>
        <v>17.11652479982747</v>
      </c>
      <c r="G9">
        <f t="shared" si="5"/>
        <v>17.11652479982747</v>
      </c>
      <c r="H9">
        <v>0.02</v>
      </c>
      <c r="I9">
        <v>-0.65</v>
      </c>
      <c r="J9">
        <v>0.69</v>
      </c>
      <c r="K9">
        <v>0.341836735</v>
      </c>
      <c r="L9">
        <f t="shared" si="1"/>
        <v>0.976550078576369</v>
      </c>
      <c r="M9">
        <f t="shared" si="2"/>
        <v>1.953100157152738E-2</v>
      </c>
      <c r="N9">
        <f>L9*K9</f>
        <v>0.33382069042453943</v>
      </c>
    </row>
    <row r="10" spans="1:14" x14ac:dyDescent="0.25">
      <c r="A10" t="s">
        <v>20</v>
      </c>
      <c r="B10">
        <v>2013</v>
      </c>
      <c r="C10" t="s">
        <v>22</v>
      </c>
      <c r="D10">
        <v>2.59</v>
      </c>
      <c r="E10">
        <f t="shared" si="3"/>
        <v>42.684444438753175</v>
      </c>
      <c r="F10">
        <f t="shared" si="4"/>
        <v>21.342222219376588</v>
      </c>
      <c r="G10">
        <f t="shared" si="5"/>
        <v>21.342222219376588</v>
      </c>
      <c r="H10">
        <v>0</v>
      </c>
      <c r="I10">
        <v>-0.6</v>
      </c>
      <c r="J10">
        <v>0.6</v>
      </c>
      <c r="K10">
        <v>0.30612244900000002</v>
      </c>
      <c r="L10">
        <f t="shared" si="1"/>
        <v>0.98145145777541132</v>
      </c>
      <c r="M10">
        <f t="shared" si="2"/>
        <v>0</v>
      </c>
      <c r="N10">
        <f>L10*K10</f>
        <v>0.30044432382882902</v>
      </c>
    </row>
    <row r="11" spans="1:14" x14ac:dyDescent="0.25">
      <c r="A11" t="s">
        <v>23</v>
      </c>
      <c r="B11">
        <v>2012</v>
      </c>
      <c r="C11" t="s">
        <v>24</v>
      </c>
      <c r="D11">
        <v>2.64</v>
      </c>
      <c r="E11">
        <f t="shared" si="3"/>
        <v>44.144214915358198</v>
      </c>
      <c r="F11">
        <f t="shared" si="4"/>
        <v>22.072107457679099</v>
      </c>
      <c r="G11">
        <f t="shared" si="5"/>
        <v>22.072107457679099</v>
      </c>
      <c r="H11">
        <v>-0.01</v>
      </c>
      <c r="I11">
        <v>-0.6</v>
      </c>
      <c r="J11">
        <v>0.57999999999999996</v>
      </c>
      <c r="K11">
        <v>0.30102040800000002</v>
      </c>
      <c r="L11">
        <f t="shared" si="1"/>
        <v>0.98209776692282513</v>
      </c>
      <c r="M11">
        <f t="shared" si="2"/>
        <v>-9.8209776692282508E-3</v>
      </c>
      <c r="N11">
        <f>L11*K11</f>
        <v>0.29563147049499772</v>
      </c>
    </row>
    <row r="12" spans="1:14" x14ac:dyDescent="0.25">
      <c r="A12" t="s">
        <v>25</v>
      </c>
      <c r="B12">
        <v>2007</v>
      </c>
      <c r="C12" t="s">
        <v>26</v>
      </c>
      <c r="D12">
        <v>2.19</v>
      </c>
      <c r="E12">
        <f t="shared" si="3"/>
        <v>31.527420661666728</v>
      </c>
      <c r="F12">
        <f t="shared" si="4"/>
        <v>15.763710330833364</v>
      </c>
      <c r="G12">
        <f t="shared" si="5"/>
        <v>15.763710330833364</v>
      </c>
      <c r="H12">
        <v>-0.2</v>
      </c>
      <c r="I12">
        <v>-0.9</v>
      </c>
      <c r="J12">
        <v>0.5</v>
      </c>
      <c r="K12">
        <v>0.35714285699999998</v>
      </c>
      <c r="L12">
        <f t="shared" si="1"/>
        <v>0.97438298924392663</v>
      </c>
      <c r="M12">
        <f t="shared" si="2"/>
        <v>-0.19487659784878533</v>
      </c>
      <c r="N12">
        <f>L12*K12</f>
        <v>0.34799392459077622</v>
      </c>
    </row>
    <row r="13" spans="1:14" x14ac:dyDescent="0.25">
      <c r="A13" t="s">
        <v>25</v>
      </c>
      <c r="B13">
        <v>2009</v>
      </c>
      <c r="C13" t="s">
        <v>27</v>
      </c>
      <c r="D13">
        <v>1.75</v>
      </c>
      <c r="E13">
        <f t="shared" si="3"/>
        <v>22.844736395957128</v>
      </c>
      <c r="F13">
        <f t="shared" si="4"/>
        <v>11.422368197978564</v>
      </c>
      <c r="G13">
        <f t="shared" si="5"/>
        <v>11.422368197978564</v>
      </c>
      <c r="H13">
        <v>0.42</v>
      </c>
      <c r="I13">
        <v>-0.38</v>
      </c>
      <c r="J13">
        <v>1.28</v>
      </c>
      <c r="K13">
        <v>0.423469388</v>
      </c>
      <c r="L13">
        <f t="shared" si="1"/>
        <v>0.96358292791029709</v>
      </c>
      <c r="M13">
        <f t="shared" si="2"/>
        <v>0.40470482972232474</v>
      </c>
      <c r="N13">
        <f>L13*K13</f>
        <v>0.40804787276942162</v>
      </c>
    </row>
    <row r="14" spans="1:14" x14ac:dyDescent="0.25">
      <c r="A14" t="s">
        <v>25</v>
      </c>
      <c r="B14">
        <v>2009</v>
      </c>
      <c r="C14" t="s">
        <v>28</v>
      </c>
      <c r="D14">
        <v>1.63</v>
      </c>
      <c r="E14">
        <f t="shared" si="3"/>
        <v>19.905017384375508</v>
      </c>
      <c r="F14">
        <f t="shared" si="4"/>
        <v>9.9525086921877541</v>
      </c>
      <c r="G14">
        <f t="shared" si="5"/>
        <v>9.9525086921877541</v>
      </c>
      <c r="H14">
        <v>-0.15</v>
      </c>
      <c r="I14">
        <v>-1.03</v>
      </c>
      <c r="J14">
        <v>0.73</v>
      </c>
      <c r="K14">
        <v>0.44897959199999998</v>
      </c>
      <c r="L14">
        <f t="shared" si="1"/>
        <v>0.95751915822729572</v>
      </c>
      <c r="M14">
        <f t="shared" si="2"/>
        <v>-0.14362787373409436</v>
      </c>
      <c r="N14">
        <f>L14*K14</f>
        <v>0.42990656099307467</v>
      </c>
    </row>
    <row r="15" spans="1:14" x14ac:dyDescent="0.25">
      <c r="A15" t="s">
        <v>29</v>
      </c>
      <c r="B15">
        <v>2006</v>
      </c>
      <c r="C15" t="s">
        <v>30</v>
      </c>
      <c r="D15">
        <v>1.63</v>
      </c>
      <c r="E15">
        <f t="shared" si="3"/>
        <v>19.91356203656969</v>
      </c>
      <c r="F15">
        <f t="shared" si="4"/>
        <v>9.9567810182848451</v>
      </c>
      <c r="G15">
        <f t="shared" si="5"/>
        <v>9.9567810182848451</v>
      </c>
      <c r="H15">
        <v>-0.16</v>
      </c>
      <c r="I15">
        <v>-1.04</v>
      </c>
      <c r="J15">
        <v>0.72</v>
      </c>
      <c r="K15">
        <v>0.44897959199999998</v>
      </c>
      <c r="L15">
        <f t="shared" si="1"/>
        <v>0.95753970810376521</v>
      </c>
      <c r="M15">
        <f t="shared" si="2"/>
        <v>-0.15320635329660243</v>
      </c>
      <c r="N15">
        <f>L15*K15</f>
        <v>0.42991578746822756</v>
      </c>
    </row>
    <row r="16" spans="1:14" x14ac:dyDescent="0.25">
      <c r="A16" t="s">
        <v>31</v>
      </c>
      <c r="B16">
        <v>2019</v>
      </c>
      <c r="C16" t="s">
        <v>32</v>
      </c>
      <c r="D16">
        <v>1.77</v>
      </c>
      <c r="E16">
        <f t="shared" si="3"/>
        <v>22.528767981500486</v>
      </c>
      <c r="F16">
        <f t="shared" si="4"/>
        <v>11.264383990750243</v>
      </c>
      <c r="G16">
        <f t="shared" si="5"/>
        <v>11.264383990750243</v>
      </c>
      <c r="H16">
        <v>0.27</v>
      </c>
      <c r="I16">
        <v>-0.56000000000000005</v>
      </c>
      <c r="J16">
        <v>1.1000000000000001</v>
      </c>
      <c r="K16">
        <v>0.423469388</v>
      </c>
      <c r="L16">
        <f t="shared" si="1"/>
        <v>0.9630155046556973</v>
      </c>
      <c r="M16">
        <f t="shared" si="2"/>
        <v>0.26001418625703826</v>
      </c>
      <c r="N16">
        <f>L16*K16</f>
        <v>0.4078075863910593</v>
      </c>
    </row>
    <row r="17" spans="1:14" x14ac:dyDescent="0.25">
      <c r="A17" t="s">
        <v>33</v>
      </c>
      <c r="B17">
        <v>2017</v>
      </c>
      <c r="C17" t="s">
        <v>34</v>
      </c>
      <c r="D17">
        <v>2.98</v>
      </c>
      <c r="E17">
        <f t="shared" si="3"/>
        <v>56.902025781243928</v>
      </c>
      <c r="F17">
        <f t="shared" si="4"/>
        <v>28.451012890621964</v>
      </c>
      <c r="G17">
        <f t="shared" si="5"/>
        <v>28.451012890621964</v>
      </c>
      <c r="H17">
        <v>0.1</v>
      </c>
      <c r="I17">
        <v>-0.42</v>
      </c>
      <c r="J17">
        <v>0.62</v>
      </c>
      <c r="K17">
        <v>0.26530612199999998</v>
      </c>
      <c r="L17">
        <f t="shared" si="1"/>
        <v>0.9862768124460376</v>
      </c>
      <c r="M17">
        <f t="shared" si="2"/>
        <v>9.8627681244603763E-2</v>
      </c>
      <c r="N17">
        <f>L17*K17</f>
        <v>0.26166527632857955</v>
      </c>
    </row>
    <row r="18" spans="1:14" x14ac:dyDescent="0.25">
      <c r="A18" t="s">
        <v>33</v>
      </c>
      <c r="B18">
        <v>2017</v>
      </c>
      <c r="C18" t="s">
        <v>35</v>
      </c>
      <c r="D18">
        <v>2.11</v>
      </c>
      <c r="E18">
        <f t="shared" si="3"/>
        <v>29.641975272412896</v>
      </c>
      <c r="F18">
        <f t="shared" si="4"/>
        <v>14.820987636206448</v>
      </c>
      <c r="G18">
        <f t="shared" si="5"/>
        <v>14.820987636206448</v>
      </c>
      <c r="H18">
        <v>0</v>
      </c>
      <c r="I18">
        <v>-0.72</v>
      </c>
      <c r="J18">
        <v>0.72</v>
      </c>
      <c r="K18">
        <v>0.36734693899999998</v>
      </c>
      <c r="L18">
        <f t="shared" si="1"/>
        <v>0.97261971827364557</v>
      </c>
      <c r="M18">
        <f t="shared" si="2"/>
        <v>0</v>
      </c>
      <c r="N18">
        <f>L18*K18</f>
        <v>0.35728887631886602</v>
      </c>
    </row>
    <row r="19" spans="1:14" x14ac:dyDescent="0.25">
      <c r="A19" t="s">
        <v>33</v>
      </c>
      <c r="B19">
        <v>2017</v>
      </c>
      <c r="C19" t="s">
        <v>36</v>
      </c>
      <c r="D19">
        <v>2.2000000000000002</v>
      </c>
      <c r="E19">
        <f t="shared" si="3"/>
        <v>31.360000025087999</v>
      </c>
      <c r="F19">
        <f t="shared" si="4"/>
        <v>15.680000012543999</v>
      </c>
      <c r="G19">
        <f t="shared" si="5"/>
        <v>15.680000012543999</v>
      </c>
      <c r="H19">
        <v>0</v>
      </c>
      <c r="I19">
        <v>-0.7</v>
      </c>
      <c r="J19">
        <v>0.7</v>
      </c>
      <c r="K19">
        <v>0.35714285699999998</v>
      </c>
      <c r="L19">
        <f t="shared" si="1"/>
        <v>0.97423565787174082</v>
      </c>
      <c r="M19">
        <f t="shared" si="2"/>
        <v>0</v>
      </c>
      <c r="N19">
        <f>L19*K19</f>
        <v>0.34794130624358804</v>
      </c>
    </row>
    <row r="20" spans="1:14" x14ac:dyDescent="0.25">
      <c r="A20" t="s">
        <v>37</v>
      </c>
      <c r="B20">
        <v>2017</v>
      </c>
      <c r="C20" t="s">
        <v>38</v>
      </c>
      <c r="D20">
        <v>2.14</v>
      </c>
      <c r="E20">
        <f t="shared" si="3"/>
        <v>30.373330138072678</v>
      </c>
      <c r="F20">
        <f t="shared" si="4"/>
        <v>15.186665069036339</v>
      </c>
      <c r="G20">
        <f t="shared" si="5"/>
        <v>15.186665069036339</v>
      </c>
      <c r="H20">
        <v>0.28000000000000003</v>
      </c>
      <c r="I20">
        <v>-0.44</v>
      </c>
      <c r="J20">
        <v>0.99</v>
      </c>
      <c r="K20">
        <v>0.364795918</v>
      </c>
      <c r="L20">
        <f t="shared" si="1"/>
        <v>0.97333174996283001</v>
      </c>
      <c r="M20">
        <f t="shared" si="2"/>
        <v>0.27253288998959241</v>
      </c>
      <c r="N20">
        <f>L20*K20</f>
        <v>0.35506744924623701</v>
      </c>
    </row>
    <row r="21" spans="1:14" x14ac:dyDescent="0.25">
      <c r="A21" t="s">
        <v>37</v>
      </c>
      <c r="B21">
        <v>2017</v>
      </c>
      <c r="C21" t="s">
        <v>34</v>
      </c>
      <c r="D21">
        <v>2.15</v>
      </c>
      <c r="E21">
        <f t="shared" si="3"/>
        <v>30.515869256268608</v>
      </c>
      <c r="F21">
        <f t="shared" si="4"/>
        <v>15.257934628134304</v>
      </c>
      <c r="G21">
        <f t="shared" si="5"/>
        <v>15.257934628134304</v>
      </c>
      <c r="H21">
        <v>0.09</v>
      </c>
      <c r="I21">
        <v>-0.62</v>
      </c>
      <c r="J21">
        <v>0.8</v>
      </c>
      <c r="K21">
        <v>0.36224489799999998</v>
      </c>
      <c r="L21">
        <f t="shared" si="1"/>
        <v>0.97346623260723986</v>
      </c>
      <c r="M21">
        <f t="shared" si="2"/>
        <v>8.7611960934651581E-2</v>
      </c>
      <c r="N21">
        <f>L21*K21</f>
        <v>0.35263317613725387</v>
      </c>
    </row>
    <row r="22" spans="1:14" x14ac:dyDescent="0.25">
      <c r="A22" t="s">
        <v>37</v>
      </c>
      <c r="B22">
        <v>2017</v>
      </c>
      <c r="C22" t="s">
        <v>36</v>
      </c>
      <c r="D22">
        <v>2.2799999999999998</v>
      </c>
      <c r="E22">
        <f t="shared" si="3"/>
        <v>33.770792142727103</v>
      </c>
      <c r="F22">
        <f t="shared" si="4"/>
        <v>16.885396071363552</v>
      </c>
      <c r="G22">
        <f t="shared" si="5"/>
        <v>16.885396071363552</v>
      </c>
      <c r="H22">
        <v>0.1</v>
      </c>
      <c r="I22">
        <v>-0.57999999999999996</v>
      </c>
      <c r="J22">
        <v>0.77</v>
      </c>
      <c r="K22">
        <v>0.34438775500000002</v>
      </c>
      <c r="L22">
        <f t="shared" si="1"/>
        <v>0.97620618172906393</v>
      </c>
      <c r="M22">
        <f t="shared" si="2"/>
        <v>9.7620618172906404E-2</v>
      </c>
      <c r="N22">
        <f>L22*K22</f>
        <v>0.33619345534279438</v>
      </c>
    </row>
    <row r="23" spans="1:14" x14ac:dyDescent="0.25">
      <c r="A23" t="s">
        <v>39</v>
      </c>
      <c r="B23">
        <v>2018</v>
      </c>
      <c r="C23" t="s">
        <v>40</v>
      </c>
      <c r="D23">
        <v>2.74</v>
      </c>
      <c r="E23">
        <f t="shared" si="3"/>
        <v>31.715296997880394</v>
      </c>
      <c r="F23">
        <f t="shared" si="4"/>
        <v>15.857648498940197</v>
      </c>
      <c r="G23">
        <f t="shared" si="5"/>
        <v>15.857648498940197</v>
      </c>
      <c r="H23">
        <v>0.44</v>
      </c>
      <c r="I23">
        <v>-0.27</v>
      </c>
      <c r="J23">
        <v>1.1399999999999999</v>
      </c>
      <c r="K23">
        <v>0.35969387800000002</v>
      </c>
      <c r="L23">
        <f t="shared" si="1"/>
        <v>0.97454632817534637</v>
      </c>
      <c r="M23">
        <f t="shared" si="2"/>
        <v>0.4288003843971524</v>
      </c>
      <c r="N23">
        <f>L23*K23</f>
        <v>0.35053834807205103</v>
      </c>
    </row>
    <row r="24" spans="1:14" x14ac:dyDescent="0.25">
      <c r="A24" t="s">
        <v>39</v>
      </c>
      <c r="B24">
        <v>2018</v>
      </c>
      <c r="C24" t="s">
        <v>40</v>
      </c>
      <c r="D24">
        <v>3.42</v>
      </c>
      <c r="E24">
        <f t="shared" si="3"/>
        <v>46.673482289162877</v>
      </c>
      <c r="F24">
        <f t="shared" si="4"/>
        <v>23.336741144581438</v>
      </c>
      <c r="G24">
        <f t="shared" si="5"/>
        <v>23.336741144581438</v>
      </c>
      <c r="H24">
        <v>0.18</v>
      </c>
      <c r="I24">
        <v>-0.4</v>
      </c>
      <c r="J24">
        <v>0.75</v>
      </c>
      <c r="K24">
        <v>0.293367347</v>
      </c>
      <c r="L24">
        <f t="shared" si="1"/>
        <v>0.98311703717601262</v>
      </c>
      <c r="M24">
        <f t="shared" si="2"/>
        <v>0.17696106669168227</v>
      </c>
      <c r="N24">
        <f>L24*K24</f>
        <v>0.28841443698682717</v>
      </c>
    </row>
    <row r="25" spans="1:14" x14ac:dyDescent="0.25">
      <c r="A25" t="s">
        <v>41</v>
      </c>
      <c r="B25">
        <v>2017</v>
      </c>
      <c r="C25" t="s">
        <v>42</v>
      </c>
      <c r="D25">
        <v>2.67</v>
      </c>
      <c r="E25">
        <f t="shared" si="3"/>
        <v>45.091744708426305</v>
      </c>
      <c r="F25">
        <f t="shared" si="4"/>
        <v>22.545872354213152</v>
      </c>
      <c r="G25">
        <f t="shared" si="5"/>
        <v>22.545872354213152</v>
      </c>
      <c r="H25">
        <v>0.18</v>
      </c>
      <c r="I25">
        <v>-0.41</v>
      </c>
      <c r="J25">
        <v>0.76</v>
      </c>
      <c r="K25">
        <v>0.298469388</v>
      </c>
      <c r="L25">
        <f t="shared" si="1"/>
        <v>0.9824937101627309</v>
      </c>
      <c r="M25">
        <f t="shared" si="2"/>
        <v>0.17684886782929155</v>
      </c>
      <c r="N25">
        <f>L25*K25</f>
        <v>0.29324429638611965</v>
      </c>
    </row>
    <row r="26" spans="1:14" x14ac:dyDescent="0.25">
      <c r="A26" t="s">
        <v>43</v>
      </c>
      <c r="B26">
        <v>2017</v>
      </c>
      <c r="C26" t="s">
        <v>11</v>
      </c>
      <c r="D26">
        <v>1.51</v>
      </c>
      <c r="E26">
        <f t="shared" si="3"/>
        <v>17.989830481532362</v>
      </c>
      <c r="F26">
        <f t="shared" si="4"/>
        <v>8.994915240766181</v>
      </c>
      <c r="G26">
        <f t="shared" si="5"/>
        <v>8.994915240766181</v>
      </c>
      <c r="H26">
        <v>0.11</v>
      </c>
      <c r="I26">
        <v>-0.82</v>
      </c>
      <c r="J26">
        <v>1.03</v>
      </c>
      <c r="K26">
        <v>0.471938776</v>
      </c>
      <c r="L26">
        <f t="shared" si="1"/>
        <v>0.95235018567194996</v>
      </c>
      <c r="M26">
        <f t="shared" si="2"/>
        <v>0.10475852042391449</v>
      </c>
      <c r="N26">
        <f>L26*K26</f>
        <v>0.44945098094939279</v>
      </c>
    </row>
    <row r="27" spans="1:14" x14ac:dyDescent="0.25">
      <c r="A27" t="s">
        <v>44</v>
      </c>
      <c r="B27">
        <v>2019</v>
      </c>
      <c r="C27" t="s">
        <v>7</v>
      </c>
      <c r="D27">
        <v>1.51</v>
      </c>
      <c r="E27">
        <f t="shared" si="3"/>
        <v>17.830714259373394</v>
      </c>
      <c r="F27">
        <f t="shared" si="4"/>
        <v>8.9153571296866971</v>
      </c>
      <c r="G27">
        <f t="shared" si="5"/>
        <v>8.9153571296866971</v>
      </c>
      <c r="H27">
        <v>-0.16</v>
      </c>
      <c r="I27">
        <v>-1.0900000000000001</v>
      </c>
      <c r="J27">
        <v>0.77</v>
      </c>
      <c r="K27">
        <v>0.47448979600000002</v>
      </c>
      <c r="L27">
        <f t="shared" si="1"/>
        <v>0.95186356751592449</v>
      </c>
      <c r="M27">
        <f t="shared" si="2"/>
        <v>-0.15229817080254793</v>
      </c>
      <c r="N27">
        <f>L27*K27</f>
        <v>0.45164954997046325</v>
      </c>
    </row>
    <row r="28" spans="1:14" x14ac:dyDescent="0.25">
      <c r="A28" t="s">
        <v>45</v>
      </c>
      <c r="B28">
        <v>2014</v>
      </c>
      <c r="C28" t="s">
        <v>46</v>
      </c>
      <c r="D28">
        <v>2.72</v>
      </c>
      <c r="E28">
        <f t="shared" si="3"/>
        <v>48.544399934487302</v>
      </c>
      <c r="F28">
        <f t="shared" si="4"/>
        <v>24.272199967243651</v>
      </c>
      <c r="G28">
        <f t="shared" si="5"/>
        <v>24.272199967243651</v>
      </c>
      <c r="H28">
        <v>-0.45</v>
      </c>
      <c r="I28">
        <v>-1.02</v>
      </c>
      <c r="J28">
        <v>0.12</v>
      </c>
      <c r="K28">
        <v>0.29081632699999999</v>
      </c>
      <c r="L28">
        <f t="shared" si="1"/>
        <v>0.98379933639789374</v>
      </c>
      <c r="M28">
        <f t="shared" si="2"/>
        <v>-0.44270970137905219</v>
      </c>
      <c r="N28">
        <f>L28*K28</f>
        <v>0.28610490951627288</v>
      </c>
    </row>
    <row r="29" spans="1:14" x14ac:dyDescent="0.25">
      <c r="A29" t="s">
        <v>48</v>
      </c>
      <c r="B29">
        <v>2019</v>
      </c>
      <c r="C29" t="s">
        <v>32</v>
      </c>
      <c r="D29">
        <v>2.0099999999999998</v>
      </c>
      <c r="E29">
        <f t="shared" si="3"/>
        <v>27.37764776462576</v>
      </c>
      <c r="F29">
        <f t="shared" si="4"/>
        <v>13.68882388231288</v>
      </c>
      <c r="G29">
        <f t="shared" si="5"/>
        <v>13.68882388231288</v>
      </c>
      <c r="H29">
        <v>-0.34</v>
      </c>
      <c r="I29">
        <v>-1.0900000000000001</v>
      </c>
      <c r="J29">
        <v>0.42</v>
      </c>
      <c r="K29">
        <v>0.385204082</v>
      </c>
      <c r="L29">
        <f t="shared" si="1"/>
        <v>0.97015239918095975</v>
      </c>
      <c r="M29">
        <f t="shared" si="2"/>
        <v>-0.32985181572152633</v>
      </c>
      <c r="N29">
        <f>L29*K29</f>
        <v>0.37370666432659916</v>
      </c>
    </row>
    <row r="30" spans="1:14" x14ac:dyDescent="0.25">
      <c r="A30" t="s">
        <v>49</v>
      </c>
      <c r="B30">
        <v>2018</v>
      </c>
      <c r="C30" t="s">
        <v>50</v>
      </c>
      <c r="D30">
        <v>1.91</v>
      </c>
      <c r="E30">
        <f t="shared" si="3"/>
        <v>26.788650539673707</v>
      </c>
      <c r="F30">
        <f t="shared" si="4"/>
        <v>13.394325269836854</v>
      </c>
      <c r="G30">
        <f t="shared" si="5"/>
        <v>13.394325269836854</v>
      </c>
      <c r="H30">
        <v>0.67</v>
      </c>
      <c r="I30">
        <v>-0.11</v>
      </c>
      <c r="J30">
        <v>1.45</v>
      </c>
      <c r="K30">
        <v>0.39795918400000002</v>
      </c>
      <c r="L30">
        <f t="shared" si="1"/>
        <v>0.96943597208870913</v>
      </c>
      <c r="M30">
        <f t="shared" si="2"/>
        <v>0.64952210129943511</v>
      </c>
      <c r="N30">
        <f>L30*K30</f>
        <v>0.38579594839266951</v>
      </c>
    </row>
    <row r="31" spans="1:14" x14ac:dyDescent="0.25">
      <c r="A31" t="s">
        <v>51</v>
      </c>
      <c r="B31">
        <v>2019</v>
      </c>
      <c r="C31" t="s">
        <v>52</v>
      </c>
      <c r="D31">
        <v>1.72</v>
      </c>
      <c r="E31">
        <f t="shared" si="3"/>
        <v>25.721168548682694</v>
      </c>
      <c r="F31">
        <f t="shared" si="4"/>
        <v>12.860584274341347</v>
      </c>
      <c r="G31">
        <f t="shared" si="5"/>
        <v>12.860584274341347</v>
      </c>
      <c r="H31">
        <v>1.2</v>
      </c>
      <c r="I31">
        <v>0.35</v>
      </c>
      <c r="J31">
        <v>2.04</v>
      </c>
      <c r="K31">
        <v>0.43112244900000002</v>
      </c>
      <c r="L31">
        <f t="shared" si="1"/>
        <v>0.96804590285121983</v>
      </c>
      <c r="M31">
        <f t="shared" si="2"/>
        <v>1.1616550834214638</v>
      </c>
      <c r="N31">
        <f>L31*K31</f>
        <v>0.417346320381634</v>
      </c>
    </row>
    <row r="32" spans="1:14" x14ac:dyDescent="0.25">
      <c r="A32" t="s">
        <v>51</v>
      </c>
      <c r="B32">
        <v>2019</v>
      </c>
      <c r="C32" t="s">
        <v>53</v>
      </c>
      <c r="D32">
        <v>2.42</v>
      </c>
      <c r="E32">
        <f t="shared" si="3"/>
        <v>37.539896476636166</v>
      </c>
      <c r="F32">
        <f t="shared" si="4"/>
        <v>18.769948238318083</v>
      </c>
      <c r="G32">
        <f t="shared" si="5"/>
        <v>18.769948238318083</v>
      </c>
      <c r="H32">
        <v>-7.0000000000000007E-2</v>
      </c>
      <c r="I32">
        <v>-0.71</v>
      </c>
      <c r="J32">
        <v>0.56999999999999995</v>
      </c>
      <c r="K32">
        <v>0.326530612</v>
      </c>
      <c r="L32">
        <f t="shared" si="1"/>
        <v>0.97874745819964248</v>
      </c>
      <c r="M32">
        <f t="shared" si="2"/>
        <v>-6.8512322073974979E-2</v>
      </c>
      <c r="N32">
        <f>L32*K32</f>
        <v>0.31959100651937367</v>
      </c>
    </row>
    <row r="33" spans="1:14" x14ac:dyDescent="0.25">
      <c r="A33" t="s">
        <v>54</v>
      </c>
      <c r="B33">
        <v>2004</v>
      </c>
      <c r="C33" t="s">
        <v>55</v>
      </c>
      <c r="D33">
        <v>1.77</v>
      </c>
      <c r="E33">
        <f t="shared" si="3"/>
        <v>25.458605378788228</v>
      </c>
      <c r="F33">
        <f t="shared" si="4"/>
        <v>12.729302689394114</v>
      </c>
      <c r="G33">
        <f t="shared" si="5"/>
        <v>12.729302689394114</v>
      </c>
      <c r="H33">
        <v>0.97</v>
      </c>
      <c r="I33">
        <v>0.15</v>
      </c>
      <c r="J33">
        <v>1.8</v>
      </c>
      <c r="K33">
        <v>0.42091836700000002</v>
      </c>
      <c r="L33">
        <f t="shared" si="1"/>
        <v>0.96768440034378489</v>
      </c>
      <c r="M33">
        <f t="shared" si="2"/>
        <v>0.93865386833347131</v>
      </c>
      <c r="N33">
        <f>L33*K33</f>
        <v>0.40731613756408019</v>
      </c>
    </row>
    <row r="34" spans="1:14" x14ac:dyDescent="0.25">
      <c r="A34" t="s">
        <v>56</v>
      </c>
      <c r="B34">
        <v>2016</v>
      </c>
      <c r="C34" t="s">
        <v>57</v>
      </c>
      <c r="D34">
        <v>1.72</v>
      </c>
      <c r="E34">
        <f t="shared" si="3"/>
        <v>21.556694135577484</v>
      </c>
      <c r="F34">
        <f t="shared" si="4"/>
        <v>10.778347067788742</v>
      </c>
      <c r="G34">
        <f t="shared" si="5"/>
        <v>10.778347067788742</v>
      </c>
      <c r="H34">
        <v>0.11</v>
      </c>
      <c r="I34">
        <v>-0.74</v>
      </c>
      <c r="J34">
        <v>0.95</v>
      </c>
      <c r="K34">
        <v>0.43112244900000002</v>
      </c>
      <c r="L34">
        <f t="shared" si="1"/>
        <v>0.96115337018687552</v>
      </c>
      <c r="M34">
        <f t="shared" si="2"/>
        <v>0.10572687072055631</v>
      </c>
      <c r="N34">
        <f>L34*K34</f>
        <v>0.4143747948195694</v>
      </c>
    </row>
    <row r="35" spans="1:14" x14ac:dyDescent="0.25">
      <c r="A35" t="s">
        <v>56</v>
      </c>
      <c r="B35">
        <v>2016</v>
      </c>
      <c r="C35" t="s">
        <v>47</v>
      </c>
      <c r="D35">
        <v>2.5499999999999998</v>
      </c>
      <c r="E35">
        <f t="shared" si="3"/>
        <v>41.402737373764708</v>
      </c>
      <c r="F35">
        <f t="shared" si="4"/>
        <v>20.701368686882354</v>
      </c>
      <c r="G35">
        <f t="shared" si="5"/>
        <v>20.701368686882354</v>
      </c>
      <c r="H35">
        <v>-0.14000000000000001</v>
      </c>
      <c r="I35">
        <v>-0.75</v>
      </c>
      <c r="J35">
        <v>0.47</v>
      </c>
      <c r="K35">
        <v>0.31122449000000002</v>
      </c>
      <c r="L35">
        <f t="shared" si="1"/>
        <v>0.98084425125016783</v>
      </c>
      <c r="M35">
        <f t="shared" si="2"/>
        <v>-0.1373181951750235</v>
      </c>
      <c r="N35">
        <f>L35*K35</f>
        <v>0.30526275186476537</v>
      </c>
    </row>
    <row r="36" spans="1:14" x14ac:dyDescent="0.25">
      <c r="A36" t="s">
        <v>58</v>
      </c>
      <c r="B36">
        <v>2017</v>
      </c>
      <c r="C36" t="s">
        <v>7</v>
      </c>
      <c r="D36">
        <v>2.42</v>
      </c>
      <c r="E36">
        <f t="shared" si="3"/>
        <v>37.903758106208542</v>
      </c>
      <c r="F36">
        <f t="shared" si="4"/>
        <v>18.951879053104271</v>
      </c>
      <c r="G36">
        <f t="shared" si="5"/>
        <v>18.951879053104271</v>
      </c>
      <c r="H36">
        <v>-0.28000000000000003</v>
      </c>
      <c r="I36">
        <v>-0.92</v>
      </c>
      <c r="J36">
        <v>0.36</v>
      </c>
      <c r="K36">
        <v>0.326530612</v>
      </c>
      <c r="L36">
        <f t="shared" si="1"/>
        <v>0.97896434934668497</v>
      </c>
      <c r="M36">
        <f t="shared" si="2"/>
        <v>-0.27411001781707184</v>
      </c>
      <c r="N36">
        <f>L36*K36</f>
        <v>0.31966182811835486</v>
      </c>
    </row>
    <row r="37" spans="1:14" x14ac:dyDescent="0.25">
      <c r="A37" t="s">
        <v>59</v>
      </c>
      <c r="B37">
        <v>2002</v>
      </c>
      <c r="C37" t="s">
        <v>60</v>
      </c>
      <c r="D37">
        <v>2.82</v>
      </c>
      <c r="E37">
        <f t="shared" si="3"/>
        <v>51.474515932706474</v>
      </c>
      <c r="F37">
        <f t="shared" si="4"/>
        <v>25.737257966353237</v>
      </c>
      <c r="G37">
        <f t="shared" si="5"/>
        <v>25.737257966353237</v>
      </c>
      <c r="H37">
        <v>0.32</v>
      </c>
      <c r="I37">
        <v>-0.03</v>
      </c>
      <c r="J37">
        <v>1.07</v>
      </c>
      <c r="K37">
        <v>0.28061224499999998</v>
      </c>
      <c r="L37">
        <f t="shared" si="1"/>
        <v>0.98476368968208228</v>
      </c>
      <c r="M37">
        <f t="shared" si="2"/>
        <v>0.31512438069826632</v>
      </c>
      <c r="N37">
        <f>L37*K37</f>
        <v>0.27633674975617245</v>
      </c>
    </row>
    <row r="38" spans="1:14" x14ac:dyDescent="0.25">
      <c r="A38" t="s">
        <v>59</v>
      </c>
      <c r="B38">
        <v>2002</v>
      </c>
      <c r="C38" t="s">
        <v>61</v>
      </c>
      <c r="D38">
        <v>1.83</v>
      </c>
      <c r="E38">
        <f t="shared" si="3"/>
        <v>24.568157261931997</v>
      </c>
      <c r="F38">
        <f t="shared" si="4"/>
        <v>12.284078630965999</v>
      </c>
      <c r="G38">
        <f t="shared" si="5"/>
        <v>12.284078630965999</v>
      </c>
      <c r="H38">
        <v>-0.6</v>
      </c>
      <c r="I38">
        <v>-1.41</v>
      </c>
      <c r="J38">
        <v>0.21</v>
      </c>
      <c r="K38">
        <v>0.413265306</v>
      </c>
      <c r="L38">
        <f t="shared" si="1"/>
        <v>0.96639507504146538</v>
      </c>
      <c r="M38">
        <f t="shared" si="2"/>
        <v>-0.57983704502487921</v>
      </c>
      <c r="N38">
        <f>L38*K38</f>
        <v>0.39937755640390415</v>
      </c>
    </row>
    <row r="39" spans="1:14" x14ac:dyDescent="0.25">
      <c r="A39" t="s">
        <v>62</v>
      </c>
      <c r="B39">
        <v>2018</v>
      </c>
      <c r="C39" t="s">
        <v>42</v>
      </c>
      <c r="D39">
        <v>1.74</v>
      </c>
      <c r="E39">
        <f t="shared" si="3"/>
        <v>21.897611543436522</v>
      </c>
      <c r="F39">
        <f t="shared" si="4"/>
        <v>10.948805771718261</v>
      </c>
      <c r="G39">
        <f t="shared" si="5"/>
        <v>10.948805771718261</v>
      </c>
      <c r="H39">
        <v>0.2</v>
      </c>
      <c r="I39">
        <v>-0.64</v>
      </c>
      <c r="J39">
        <v>1.04</v>
      </c>
      <c r="K39">
        <v>0.428571429</v>
      </c>
      <c r="L39">
        <f t="shared" si="1"/>
        <v>0.96182742119356768</v>
      </c>
      <c r="M39">
        <f t="shared" si="2"/>
        <v>0.19236548423871355</v>
      </c>
      <c r="N39">
        <f>L39*K39</f>
        <v>0.41221175235231217</v>
      </c>
    </row>
    <row r="40" spans="1:14" x14ac:dyDescent="0.25">
      <c r="A40" t="s">
        <v>62</v>
      </c>
      <c r="B40">
        <v>2018</v>
      </c>
      <c r="C40" t="s">
        <v>63</v>
      </c>
      <c r="D40">
        <v>1.74</v>
      </c>
      <c r="E40">
        <f t="shared" si="3"/>
        <v>21.57892708697549</v>
      </c>
      <c r="F40">
        <f t="shared" si="4"/>
        <v>10.789463543487745</v>
      </c>
      <c r="G40">
        <f t="shared" si="5"/>
        <v>10.789463543487745</v>
      </c>
      <c r="H40">
        <v>0.14000000000000001</v>
      </c>
      <c r="I40">
        <v>-0.71</v>
      </c>
      <c r="J40">
        <v>0.98</v>
      </c>
      <c r="K40">
        <v>0.43112244900000002</v>
      </c>
      <c r="L40">
        <f t="shared" si="1"/>
        <v>0.96119805322741492</v>
      </c>
      <c r="M40">
        <f t="shared" si="2"/>
        <v>0.13456772745183809</v>
      </c>
      <c r="N40">
        <f>L40*K40</f>
        <v>0.41439405868143547</v>
      </c>
    </row>
    <row r="41" spans="1:14" x14ac:dyDescent="0.25">
      <c r="A41" t="s">
        <v>62</v>
      </c>
      <c r="B41">
        <v>2018</v>
      </c>
      <c r="C41" t="s">
        <v>34</v>
      </c>
      <c r="D41">
        <v>2.72</v>
      </c>
      <c r="E41">
        <f t="shared" si="3"/>
        <v>47.335288982729573</v>
      </c>
      <c r="F41">
        <f t="shared" si="4"/>
        <v>23.667644491364786</v>
      </c>
      <c r="G41">
        <f t="shared" si="5"/>
        <v>23.667644491364786</v>
      </c>
      <c r="H41">
        <v>0.08</v>
      </c>
      <c r="I41">
        <v>-0.49</v>
      </c>
      <c r="J41">
        <v>0.65</v>
      </c>
      <c r="K41">
        <v>0.29081632699999999</v>
      </c>
      <c r="L41">
        <f t="shared" si="1"/>
        <v>0.98336486208866725</v>
      </c>
      <c r="M41">
        <f t="shared" si="2"/>
        <v>7.8669188967093379E-2</v>
      </c>
      <c r="N41">
        <f>L41*K41</f>
        <v>0.28597855729348776</v>
      </c>
    </row>
    <row r="42" spans="1:14" x14ac:dyDescent="0.25">
      <c r="A42" t="s">
        <v>64</v>
      </c>
      <c r="B42">
        <v>2015</v>
      </c>
      <c r="C42" t="s">
        <v>65</v>
      </c>
      <c r="D42">
        <v>1.78</v>
      </c>
      <c r="E42">
        <f t="shared" si="3"/>
        <v>22.7266666384517</v>
      </c>
      <c r="F42">
        <f t="shared" si="4"/>
        <v>11.36333331922585</v>
      </c>
      <c r="G42">
        <f t="shared" si="5"/>
        <v>11.36333331922585</v>
      </c>
      <c r="H42">
        <v>0.22</v>
      </c>
      <c r="I42">
        <v>-0.6</v>
      </c>
      <c r="J42">
        <v>1.05</v>
      </c>
      <c r="K42">
        <v>0.42091836700000002</v>
      </c>
      <c r="L42">
        <f t="shared" si="1"/>
        <v>0.96337294476476809</v>
      </c>
      <c r="M42">
        <f t="shared" si="2"/>
        <v>0.21194204784824899</v>
      </c>
      <c r="N42">
        <f>L42*K42</f>
        <v>0.40550136672236742</v>
      </c>
    </row>
    <row r="43" spans="1:14" x14ac:dyDescent="0.25">
      <c r="A43" t="s">
        <v>66</v>
      </c>
      <c r="B43">
        <v>2016</v>
      </c>
      <c r="C43" t="s">
        <v>47</v>
      </c>
      <c r="D43">
        <v>1.1599999999999999</v>
      </c>
      <c r="E43">
        <f t="shared" si="3"/>
        <v>15.725221301219971</v>
      </c>
      <c r="F43">
        <f t="shared" si="4"/>
        <v>7.8626106506099855</v>
      </c>
      <c r="G43">
        <f t="shared" si="5"/>
        <v>7.8626106506099855</v>
      </c>
      <c r="H43">
        <v>1.32</v>
      </c>
      <c r="I43">
        <v>0.22</v>
      </c>
      <c r="J43">
        <v>2.4300000000000002</v>
      </c>
      <c r="K43">
        <v>0.56377551000000004</v>
      </c>
      <c r="L43">
        <f t="shared" si="1"/>
        <v>0.94434228698477118</v>
      </c>
      <c r="M43">
        <f t="shared" si="2"/>
        <v>1.2465318188198979</v>
      </c>
      <c r="N43">
        <f>L43*K43</f>
        <v>0.53239705445940577</v>
      </c>
    </row>
    <row r="44" spans="1:14" x14ac:dyDescent="0.25">
      <c r="A44" t="s">
        <v>67</v>
      </c>
      <c r="B44">
        <v>2018</v>
      </c>
      <c r="C44" t="s">
        <v>68</v>
      </c>
      <c r="D44">
        <v>1.33</v>
      </c>
      <c r="E44">
        <f t="shared" si="3"/>
        <v>19.833197312720973</v>
      </c>
      <c r="F44">
        <f t="shared" si="4"/>
        <v>9.9165986563604864</v>
      </c>
      <c r="G44">
        <f t="shared" si="5"/>
        <v>9.9165986563604864</v>
      </c>
      <c r="H44">
        <v>-1.54</v>
      </c>
      <c r="I44">
        <v>-2.56</v>
      </c>
      <c r="J44">
        <v>-0.53</v>
      </c>
      <c r="K44">
        <v>0.51785714299999996</v>
      </c>
      <c r="L44">
        <f t="shared" si="1"/>
        <v>0.95734564159969959</v>
      </c>
      <c r="M44">
        <f t="shared" si="2"/>
        <v>-1.4743122880635373</v>
      </c>
      <c r="N44">
        <f>L44*K44</f>
        <v>0.49576827882232233</v>
      </c>
    </row>
    <row r="45" spans="1:14" x14ac:dyDescent="0.25">
      <c r="A45" t="s">
        <v>69</v>
      </c>
      <c r="B45">
        <v>2013</v>
      </c>
      <c r="C45" t="s">
        <v>70</v>
      </c>
      <c r="D45">
        <v>2.67</v>
      </c>
      <c r="E45">
        <f t="shared" si="3"/>
        <v>45.681342254576741</v>
      </c>
      <c r="F45">
        <f t="shared" si="4"/>
        <v>22.84067112728837</v>
      </c>
      <c r="G45">
        <f t="shared" si="5"/>
        <v>22.84067112728837</v>
      </c>
      <c r="H45">
        <v>-0.02</v>
      </c>
      <c r="I45">
        <v>-0.6</v>
      </c>
      <c r="J45">
        <v>0.56000000000000005</v>
      </c>
      <c r="K45">
        <v>0.29591836700000002</v>
      </c>
      <c r="L45">
        <f t="shared" si="1"/>
        <v>0.98273136492987467</v>
      </c>
      <c r="M45">
        <f t="shared" si="2"/>
        <v>-1.9654627298597495E-2</v>
      </c>
      <c r="N45">
        <f>L45*K45</f>
        <v>0.29080826070972959</v>
      </c>
    </row>
    <row r="46" spans="1:14" x14ac:dyDescent="0.25">
      <c r="A46" t="s">
        <v>69</v>
      </c>
      <c r="B46">
        <v>2013</v>
      </c>
      <c r="C46" t="s">
        <v>11</v>
      </c>
      <c r="D46">
        <v>2.5099999999999998</v>
      </c>
      <c r="E46">
        <f t="shared" si="3"/>
        <v>42.191263687230034</v>
      </c>
      <c r="F46">
        <f t="shared" si="4"/>
        <v>21.095631843615017</v>
      </c>
      <c r="G46">
        <f t="shared" si="5"/>
        <v>21.095631843615017</v>
      </c>
      <c r="H46">
        <v>0.65</v>
      </c>
      <c r="I46">
        <v>0.03</v>
      </c>
      <c r="J46">
        <v>1.27</v>
      </c>
      <c r="K46">
        <v>0.31632653100000002</v>
      </c>
      <c r="L46">
        <f t="shared" si="1"/>
        <v>0.98122242686478167</v>
      </c>
      <c r="M46">
        <f t="shared" si="2"/>
        <v>0.6377945774621081</v>
      </c>
      <c r="N46">
        <f>L46*K46</f>
        <v>0.31038668642953759</v>
      </c>
    </row>
    <row r="47" spans="1:14" x14ac:dyDescent="0.25">
      <c r="A47" t="s">
        <v>71</v>
      </c>
      <c r="B47">
        <v>2010</v>
      </c>
      <c r="C47" t="s">
        <v>72</v>
      </c>
      <c r="D47">
        <v>2.11</v>
      </c>
      <c r="E47">
        <f t="shared" si="3"/>
        <v>30.409810235783489</v>
      </c>
      <c r="F47">
        <f t="shared" si="4"/>
        <v>15.204905117891744</v>
      </c>
      <c r="G47">
        <f t="shared" si="5"/>
        <v>15.204905117891744</v>
      </c>
      <c r="H47">
        <v>0.44</v>
      </c>
      <c r="I47">
        <v>-0.28000000000000003</v>
      </c>
      <c r="J47">
        <v>1.1599999999999999</v>
      </c>
      <c r="K47">
        <v>0.36734693899999998</v>
      </c>
      <c r="L47">
        <f t="shared" si="1"/>
        <v>0.97336629779390516</v>
      </c>
      <c r="M47">
        <f t="shared" si="2"/>
        <v>0.42828117102931829</v>
      </c>
      <c r="N47">
        <f>L47*K47</f>
        <v>0.3575631300203535</v>
      </c>
    </row>
    <row r="48" spans="1:14" x14ac:dyDescent="0.25">
      <c r="A48" t="s">
        <v>73</v>
      </c>
      <c r="B48">
        <v>2012</v>
      </c>
      <c r="C48" t="s">
        <v>65</v>
      </c>
      <c r="D48">
        <v>1.52</v>
      </c>
      <c r="E48">
        <f t="shared" si="3"/>
        <v>18.71958663744519</v>
      </c>
      <c r="F48">
        <f t="shared" si="4"/>
        <v>9.3597933187225948</v>
      </c>
      <c r="G48">
        <f t="shared" si="5"/>
        <v>9.3597933187225948</v>
      </c>
      <c r="H48">
        <v>0.55000000000000004</v>
      </c>
      <c r="I48">
        <v>-0.37</v>
      </c>
      <c r="J48">
        <v>1.48</v>
      </c>
      <c r="K48">
        <v>0.471938776</v>
      </c>
      <c r="L48">
        <f t="shared" si="1"/>
        <v>0.954461516459994</v>
      </c>
      <c r="M48">
        <f t="shared" si="2"/>
        <v>0.52495383405299678</v>
      </c>
      <c r="N48">
        <f>L48*K48</f>
        <v>0.45044739981723342</v>
      </c>
    </row>
    <row r="49" spans="1:14" x14ac:dyDescent="0.25">
      <c r="A49" t="s">
        <v>74</v>
      </c>
      <c r="B49">
        <v>2007</v>
      </c>
      <c r="C49" t="s">
        <v>65</v>
      </c>
      <c r="D49">
        <v>1.21</v>
      </c>
      <c r="E49">
        <f t="shared" si="3"/>
        <v>20.872394581052831</v>
      </c>
      <c r="F49">
        <f t="shared" si="4"/>
        <v>10.436197290526415</v>
      </c>
      <c r="G49">
        <f t="shared" si="5"/>
        <v>10.436197290526415</v>
      </c>
      <c r="H49">
        <v>2.0299999999999998</v>
      </c>
      <c r="I49">
        <v>0.96</v>
      </c>
      <c r="J49">
        <v>3.11</v>
      </c>
      <c r="K49">
        <v>0.548469388</v>
      </c>
      <c r="L49">
        <f t="shared" si="1"/>
        <v>0.95972590975152683</v>
      </c>
      <c r="M49">
        <f t="shared" si="2"/>
        <v>1.9482435967955993</v>
      </c>
      <c r="N49">
        <f>L49*K49</f>
        <v>0.52638028236916312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nunes_protein_bpd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2025-10-11T20:08:38Z</dcterms:created>
  <dcterms:modified xsi:type="dcterms:W3CDTF">2025-12-30T13:05:36Z</dcterms:modified>
</cp:coreProperties>
</file>