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nunes2022\"/>
    </mc:Choice>
  </mc:AlternateContent>
  <xr:revisionPtr revIDLastSave="0" documentId="13_ncr:1_{4D9FCF84-3983-49BD-A7E5-9D016AD0E538}" xr6:coauthVersionLast="47" xr6:coauthVersionMax="47" xr10:uidLastSave="{00000000-0000-0000-0000-000000000000}"/>
  <bookViews>
    <workbookView xWindow="38400" yWindow="2940" windowWidth="14400" windowHeight="16200" xr2:uid="{E41DC8DB-ABC6-40CC-8CE2-CB9921FECA0D}"/>
  </bookViews>
  <sheets>
    <sheet name="nunes_protein_f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5" i="1"/>
  <c r="F5" i="1" s="1"/>
  <c r="E6" i="1"/>
  <c r="F6" i="1" s="1"/>
  <c r="E7" i="1"/>
  <c r="F7" i="1" s="1"/>
  <c r="E8" i="1"/>
  <c r="F8" i="1" s="1"/>
  <c r="E10" i="1"/>
  <c r="F10" i="1" s="1"/>
  <c r="E11" i="1"/>
  <c r="F11" i="1" s="1"/>
  <c r="E12" i="1"/>
  <c r="F12" i="1" s="1"/>
  <c r="E13" i="1"/>
  <c r="F13" i="1" s="1"/>
  <c r="E14" i="1"/>
  <c r="G14" i="1" s="1"/>
  <c r="E15" i="1"/>
  <c r="G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G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G34" i="1" s="1"/>
  <c r="E35" i="1"/>
  <c r="G35" i="1" s="1"/>
  <c r="E36" i="1"/>
  <c r="F36" i="1" s="1"/>
  <c r="E37" i="1"/>
  <c r="G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G45" i="1" s="1"/>
  <c r="E46" i="1"/>
  <c r="F46" i="1" s="1"/>
  <c r="E47" i="1"/>
  <c r="F47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3" i="1"/>
  <c r="F63" i="1" s="1"/>
  <c r="E64" i="1"/>
  <c r="F64" i="1" s="1"/>
  <c r="E65" i="1"/>
  <c r="F65" i="1" s="1"/>
  <c r="E66" i="1"/>
  <c r="F66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7" i="1"/>
  <c r="F87" i="1" s="1"/>
  <c r="E86" i="1"/>
  <c r="F86" i="1" s="1"/>
  <c r="E88" i="1"/>
  <c r="F88" i="1" s="1"/>
  <c r="E89" i="1"/>
  <c r="F89" i="1" s="1"/>
  <c r="E90" i="1"/>
  <c r="F90" i="1" s="1"/>
  <c r="E91" i="1"/>
  <c r="G91" i="1" s="1"/>
  <c r="E93" i="1"/>
  <c r="F93" i="1" s="1"/>
  <c r="E2" i="1"/>
  <c r="F2" i="1" s="1"/>
  <c r="E9" i="1"/>
  <c r="F9" i="1" s="1"/>
  <c r="E48" i="1"/>
  <c r="F48" i="1" s="1"/>
  <c r="E62" i="1"/>
  <c r="F62" i="1" s="1"/>
  <c r="E67" i="1"/>
  <c r="F67" i="1" s="1"/>
  <c r="E92" i="1"/>
  <c r="G92" i="1" s="1"/>
  <c r="E3" i="1"/>
  <c r="F3" i="1" s="1"/>
  <c r="G20" i="1" l="1"/>
  <c r="F45" i="1"/>
  <c r="G44" i="1"/>
  <c r="F35" i="1"/>
  <c r="G41" i="1"/>
  <c r="F37" i="1"/>
  <c r="G27" i="1"/>
  <c r="F34" i="1"/>
  <c r="G19" i="1"/>
  <c r="L19" i="1" s="1"/>
  <c r="N19" i="1" s="1"/>
  <c r="F14" i="1"/>
  <c r="G3" i="1"/>
  <c r="L3" i="1" s="1"/>
  <c r="N3" i="1" s="1"/>
  <c r="G86" i="1"/>
  <c r="G32" i="1"/>
  <c r="G18" i="1"/>
  <c r="L18" i="1" s="1"/>
  <c r="N18" i="1" s="1"/>
  <c r="G10" i="1"/>
  <c r="G31" i="1"/>
  <c r="G23" i="1"/>
  <c r="F15" i="1"/>
  <c r="G57" i="1"/>
  <c r="F21" i="1"/>
  <c r="G28" i="1"/>
  <c r="G66" i="1"/>
  <c r="G46" i="1"/>
  <c r="L46" i="1" s="1"/>
  <c r="N46" i="1" s="1"/>
  <c r="G36" i="1"/>
  <c r="G75" i="1"/>
  <c r="G40" i="1"/>
  <c r="G22" i="1"/>
  <c r="G8" i="1"/>
  <c r="G53" i="1"/>
  <c r="L53" i="1" s="1"/>
  <c r="N53" i="1" s="1"/>
  <c r="G26" i="1"/>
  <c r="L26" i="1" s="1"/>
  <c r="N26" i="1" s="1"/>
  <c r="G13" i="1"/>
  <c r="G83" i="1"/>
  <c r="L83" i="1" s="1"/>
  <c r="N83" i="1" s="1"/>
  <c r="G39" i="1"/>
  <c r="G30" i="1"/>
  <c r="L30" i="1" s="1"/>
  <c r="N30" i="1" s="1"/>
  <c r="G17" i="1"/>
  <c r="G61" i="1"/>
  <c r="L61" i="1" s="1"/>
  <c r="N61" i="1" s="1"/>
  <c r="G7" i="1"/>
  <c r="G38" i="1"/>
  <c r="L38" i="1" s="1"/>
  <c r="N38" i="1" s="1"/>
  <c r="G25" i="1"/>
  <c r="G12" i="1"/>
  <c r="L12" i="1" s="1"/>
  <c r="N12" i="1" s="1"/>
  <c r="G71" i="1"/>
  <c r="G50" i="1"/>
  <c r="G29" i="1"/>
  <c r="L29" i="1" s="1"/>
  <c r="N29" i="1" s="1"/>
  <c r="G16" i="1"/>
  <c r="G42" i="1"/>
  <c r="L42" i="1" s="1"/>
  <c r="N42" i="1" s="1"/>
  <c r="G33" i="1"/>
  <c r="G11" i="1"/>
  <c r="G79" i="1"/>
  <c r="G49" i="1"/>
  <c r="L49" i="1" s="1"/>
  <c r="N49" i="1" s="1"/>
  <c r="G24" i="1"/>
  <c r="L24" i="1" s="1"/>
  <c r="N24" i="1" s="1"/>
  <c r="G9" i="1"/>
  <c r="L9" i="1" s="1"/>
  <c r="N9" i="1" s="1"/>
  <c r="F92" i="1"/>
  <c r="F91" i="1"/>
  <c r="G2" i="1"/>
  <c r="G87" i="1"/>
  <c r="G82" i="1"/>
  <c r="L82" i="1" s="1"/>
  <c r="N82" i="1" s="1"/>
  <c r="G78" i="1"/>
  <c r="G74" i="1"/>
  <c r="G70" i="1"/>
  <c r="L70" i="1" s="1"/>
  <c r="N70" i="1" s="1"/>
  <c r="G65" i="1"/>
  <c r="L65" i="1" s="1"/>
  <c r="N65" i="1" s="1"/>
  <c r="G60" i="1"/>
  <c r="L60" i="1" s="1"/>
  <c r="N60" i="1" s="1"/>
  <c r="G56" i="1"/>
  <c r="G52" i="1"/>
  <c r="G47" i="1"/>
  <c r="L47" i="1" s="1"/>
  <c r="N47" i="1" s="1"/>
  <c r="G43" i="1"/>
  <c r="G6" i="1"/>
  <c r="L6" i="1" s="1"/>
  <c r="N6" i="1" s="1"/>
  <c r="G67" i="1"/>
  <c r="G90" i="1"/>
  <c r="G62" i="1"/>
  <c r="L62" i="1" s="1"/>
  <c r="N62" i="1" s="1"/>
  <c r="G89" i="1"/>
  <c r="G85" i="1"/>
  <c r="L85" i="1" s="1"/>
  <c r="N85" i="1" s="1"/>
  <c r="G81" i="1"/>
  <c r="L81" i="1" s="1"/>
  <c r="N81" i="1" s="1"/>
  <c r="G77" i="1"/>
  <c r="G73" i="1"/>
  <c r="G69" i="1"/>
  <c r="L69" i="1" s="1"/>
  <c r="N69" i="1" s="1"/>
  <c r="G64" i="1"/>
  <c r="G59" i="1"/>
  <c r="G55" i="1"/>
  <c r="G51" i="1"/>
  <c r="G5" i="1"/>
  <c r="L5" i="1" s="1"/>
  <c r="N5" i="1" s="1"/>
  <c r="G48" i="1"/>
  <c r="L48" i="1" s="1"/>
  <c r="N48" i="1" s="1"/>
  <c r="G93" i="1"/>
  <c r="L93" i="1" s="1"/>
  <c r="N93" i="1" s="1"/>
  <c r="G88" i="1"/>
  <c r="G84" i="1"/>
  <c r="L84" i="1" s="1"/>
  <c r="N84" i="1" s="1"/>
  <c r="G80" i="1"/>
  <c r="L80" i="1" s="1"/>
  <c r="N80" i="1" s="1"/>
  <c r="G76" i="1"/>
  <c r="G72" i="1"/>
  <c r="L72" i="1" s="1"/>
  <c r="N72" i="1" s="1"/>
  <c r="G68" i="1"/>
  <c r="L68" i="1" s="1"/>
  <c r="N68" i="1" s="1"/>
  <c r="G63" i="1"/>
  <c r="G58" i="1"/>
  <c r="G54" i="1"/>
  <c r="L54" i="1" s="1"/>
  <c r="N54" i="1" s="1"/>
  <c r="G4" i="1"/>
  <c r="L52" i="1" l="1"/>
  <c r="N52" i="1" s="1"/>
  <c r="L25" i="1"/>
  <c r="N25" i="1" s="1"/>
  <c r="L43" i="1"/>
  <c r="N43" i="1" s="1"/>
  <c r="L45" i="1"/>
  <c r="N45" i="1" s="1"/>
  <c r="L71" i="1"/>
  <c r="N71" i="1" s="1"/>
  <c r="L35" i="1"/>
  <c r="N35" i="1" s="1"/>
  <c r="L40" i="1"/>
  <c r="N40" i="1" s="1"/>
  <c r="L41" i="1"/>
  <c r="L7" i="1"/>
  <c r="N7" i="1" s="1"/>
  <c r="L20" i="1"/>
  <c r="L92" i="1"/>
  <c r="N92" i="1" s="1"/>
  <c r="L88" i="1"/>
  <c r="N88" i="1" s="1"/>
  <c r="L66" i="1"/>
  <c r="L14" i="1"/>
  <c r="N14" i="1" s="1"/>
  <c r="L63" i="1"/>
  <c r="N63" i="1" s="1"/>
  <c r="L91" i="1"/>
  <c r="N91" i="1" s="1"/>
  <c r="L21" i="1"/>
  <c r="N21" i="1" s="1"/>
  <c r="L16" i="1"/>
  <c r="N16" i="1" s="1"/>
  <c r="L34" i="1"/>
  <c r="N34" i="1" s="1"/>
  <c r="L32" i="1"/>
  <c r="N32" i="1" s="1"/>
  <c r="L39" i="1"/>
  <c r="N39" i="1" s="1"/>
  <c r="L15" i="1"/>
  <c r="N15" i="1" s="1"/>
  <c r="L37" i="1"/>
  <c r="N37" i="1" s="1"/>
  <c r="L64" i="1"/>
  <c r="N64" i="1" s="1"/>
  <c r="L10" i="1"/>
  <c r="N10" i="1" s="1"/>
  <c r="L76" i="1"/>
  <c r="N76" i="1" s="1"/>
  <c r="L77" i="1"/>
  <c r="N77" i="1" s="1"/>
  <c r="L36" i="1"/>
  <c r="N36" i="1" s="1"/>
  <c r="L86" i="1"/>
  <c r="N86" i="1" s="1"/>
  <c r="L55" i="1"/>
  <c r="N55" i="1" s="1"/>
  <c r="L44" i="1"/>
  <c r="N44" i="1" s="1"/>
  <c r="L73" i="1"/>
  <c r="N73" i="1" s="1"/>
  <c r="L11" i="1"/>
  <c r="N11" i="1" s="1"/>
  <c r="L27" i="1"/>
  <c r="N27" i="1" s="1"/>
  <c r="L89" i="1"/>
  <c r="N89" i="1" s="1"/>
  <c r="L74" i="1"/>
  <c r="N74" i="1" s="1"/>
  <c r="L33" i="1"/>
  <c r="N33" i="1" s="1"/>
  <c r="L4" i="1"/>
  <c r="N4" i="1" s="1"/>
  <c r="L28" i="1"/>
  <c r="N28" i="1" s="1"/>
  <c r="L17" i="1"/>
  <c r="N17" i="1" s="1"/>
  <c r="L2" i="1"/>
  <c r="N2" i="1" s="1"/>
  <c r="L57" i="1"/>
  <c r="N57" i="1" s="1"/>
  <c r="L79" i="1"/>
  <c r="N79" i="1" s="1"/>
  <c r="L22" i="1"/>
  <c r="N22" i="1" s="1"/>
  <c r="L75" i="1"/>
  <c r="N75" i="1" s="1"/>
  <c r="L78" i="1"/>
  <c r="N78" i="1" s="1"/>
  <c r="L31" i="1"/>
  <c r="N31" i="1" s="1"/>
  <c r="L50" i="1"/>
  <c r="N50" i="1" s="1"/>
  <c r="L56" i="1"/>
  <c r="N56" i="1" s="1"/>
  <c r="L8" i="1"/>
  <c r="N8" i="1" s="1"/>
  <c r="L51" i="1"/>
  <c r="N51" i="1" s="1"/>
  <c r="L67" i="1"/>
  <c r="N67" i="1" s="1"/>
  <c r="L87" i="1"/>
  <c r="N87" i="1" s="1"/>
  <c r="L13" i="1"/>
  <c r="N13" i="1" s="1"/>
  <c r="L58" i="1"/>
  <c r="N58" i="1" s="1"/>
  <c r="L59" i="1"/>
  <c r="N59" i="1" s="1"/>
  <c r="L23" i="1"/>
  <c r="N23" i="1" s="1"/>
  <c r="L90" i="1"/>
  <c r="N90" i="1" s="1"/>
  <c r="M30" i="1"/>
  <c r="M12" i="1"/>
  <c r="M25" i="1"/>
  <c r="M18" i="1"/>
  <c r="M53" i="1"/>
  <c r="M49" i="1"/>
  <c r="M38" i="1"/>
  <c r="M81" i="1"/>
  <c r="M65" i="1"/>
  <c r="M63" i="1"/>
  <c r="M9" i="1"/>
  <c r="M85" i="1"/>
  <c r="M46" i="1"/>
  <c r="M3" i="1"/>
  <c r="M47" i="1"/>
  <c r="M24" i="1"/>
  <c r="M68" i="1"/>
  <c r="M60" i="1"/>
  <c r="M42" i="1"/>
  <c r="M39" i="1"/>
  <c r="M19" i="1"/>
  <c r="M70" i="1"/>
  <c r="M5" i="1"/>
  <c r="M16" i="1"/>
  <c r="M72" i="1"/>
  <c r="M48" i="1"/>
  <c r="M54" i="1"/>
  <c r="M29" i="1"/>
  <c r="M69" i="1"/>
  <c r="M80" i="1"/>
  <c r="M93" i="1"/>
  <c r="M82" i="1"/>
  <c r="M6" i="1"/>
  <c r="M41" i="1" l="1"/>
  <c r="N41" i="1"/>
  <c r="M20" i="1"/>
  <c r="N20" i="1"/>
  <c r="M88" i="1"/>
  <c r="M32" i="1"/>
  <c r="M71" i="1"/>
  <c r="M66" i="1"/>
  <c r="N66" i="1"/>
  <c r="M83" i="1"/>
  <c r="M22" i="1"/>
  <c r="M62" i="1"/>
  <c r="M44" i="1"/>
  <c r="M92" i="1"/>
  <c r="M14" i="1"/>
  <c r="M34" i="1"/>
  <c r="M11" i="1"/>
  <c r="M87" i="1"/>
  <c r="M31" i="1"/>
  <c r="M35" i="1"/>
  <c r="M10" i="1"/>
  <c r="M78" i="1"/>
  <c r="M77" i="1"/>
  <c r="M84" i="1"/>
  <c r="M67" i="1"/>
  <c r="M73" i="1"/>
  <c r="M91" i="1"/>
  <c r="M56" i="1"/>
  <c r="M50" i="1"/>
  <c r="M58" i="1"/>
  <c r="M64" i="1"/>
  <c r="M33" i="1"/>
  <c r="M79" i="1"/>
  <c r="M76" i="1"/>
  <c r="M90" i="1"/>
  <c r="M51" i="1"/>
  <c r="M43" i="1"/>
  <c r="M75" i="1"/>
  <c r="M23" i="1"/>
  <c r="M59" i="1"/>
  <c r="M55" i="1"/>
  <c r="M86" i="1"/>
  <c r="M74" i="1"/>
  <c r="M21" i="1"/>
  <c r="M26" i="1"/>
  <c r="M17" i="1"/>
  <c r="M2" i="1"/>
  <c r="M4" i="1"/>
  <c r="M27" i="1"/>
  <c r="M8" i="1"/>
  <c r="M52" i="1"/>
  <c r="M45" i="1"/>
  <c r="M13" i="1"/>
  <c r="M36" i="1"/>
  <c r="M61" i="1"/>
  <c r="M89" i="1"/>
  <c r="M57" i="1"/>
  <c r="M40" i="1"/>
  <c r="M37" i="1"/>
  <c r="M7" i="1"/>
  <c r="M28" i="1"/>
  <c r="M15" i="1"/>
</calcChain>
</file>

<file path=xl/sharedStrings.xml><?xml version="1.0" encoding="utf-8"?>
<sst xmlns="http://schemas.openxmlformats.org/spreadsheetml/2006/main" count="290" uniqueCount="137">
  <si>
    <t>Author</t>
  </si>
  <si>
    <t>Year</t>
  </si>
  <si>
    <t>Group</t>
  </si>
  <si>
    <t>CI_lower</t>
  </si>
  <si>
    <t>CI_upper</t>
  </si>
  <si>
    <t>resistance_exercise</t>
  </si>
  <si>
    <t>Amasene</t>
  </si>
  <si>
    <t>Protein Group</t>
  </si>
  <si>
    <t>yes</t>
  </si>
  <si>
    <t>Antonio</t>
  </si>
  <si>
    <t>High Protein</t>
  </si>
  <si>
    <t>HP</t>
  </si>
  <si>
    <t>Arastizabal</t>
  </si>
  <si>
    <t>Soy</t>
  </si>
  <si>
    <t>Whey</t>
  </si>
  <si>
    <t>Arnarson</t>
  </si>
  <si>
    <t>Whey protein</t>
  </si>
  <si>
    <t>Bridge</t>
  </si>
  <si>
    <t>GY</t>
  </si>
  <si>
    <t>Brown</t>
  </si>
  <si>
    <t>Burke</t>
  </si>
  <si>
    <t>Candow a</t>
  </si>
  <si>
    <t>S (soy)</t>
  </si>
  <si>
    <t>W (whey)</t>
  </si>
  <si>
    <t>Candow b</t>
  </si>
  <si>
    <t>PRO-A</t>
  </si>
  <si>
    <t>PRO-B</t>
  </si>
  <si>
    <t>Chale</t>
  </si>
  <si>
    <t>Coburn</t>
  </si>
  <si>
    <t>SUPP</t>
  </si>
  <si>
    <t>Deibert</t>
  </si>
  <si>
    <t>PLC</t>
  </si>
  <si>
    <t>Dulac</t>
  </si>
  <si>
    <t>S-PROT+MPT (casein)</t>
  </si>
  <si>
    <t>F-PROT+MPT (whey)</t>
  </si>
  <si>
    <t>Eliot</t>
  </si>
  <si>
    <t>Erskine</t>
  </si>
  <si>
    <t>PRO</t>
  </si>
  <si>
    <t>Gryson</t>
  </si>
  <si>
    <t>PRO10</t>
  </si>
  <si>
    <t>TMP10fl</t>
  </si>
  <si>
    <t>Hartman</t>
  </si>
  <si>
    <t>Milk</t>
  </si>
  <si>
    <t>Haun</t>
  </si>
  <si>
    <t>Herda</t>
  </si>
  <si>
    <t>BWPMV</t>
  </si>
  <si>
    <t>SWPMV</t>
  </si>
  <si>
    <t>Hida</t>
  </si>
  <si>
    <t>Prot</t>
  </si>
  <si>
    <t>Hoffman</t>
  </si>
  <si>
    <t>PR</t>
  </si>
  <si>
    <t>AM/PM</t>
  </si>
  <si>
    <t>AM/POST</t>
  </si>
  <si>
    <t>Iglay</t>
  </si>
  <si>
    <t>Kerksick</t>
  </si>
  <si>
    <t>WC</t>
  </si>
  <si>
    <t>Kim</t>
  </si>
  <si>
    <t>RE+HP diet</t>
  </si>
  <si>
    <t>Kirmse</t>
  </si>
  <si>
    <t>COL</t>
  </si>
  <si>
    <t>Leenders</t>
  </si>
  <si>
    <t>Protein(M)</t>
  </si>
  <si>
    <t>Protein(W)</t>
  </si>
  <si>
    <t>Lockwood</t>
  </si>
  <si>
    <t>WPC</t>
  </si>
  <si>
    <t>WPC-L</t>
  </si>
  <si>
    <t>WPH</t>
  </si>
  <si>
    <t>Maesta</t>
  </si>
  <si>
    <t>SPE</t>
  </si>
  <si>
    <t>Mobley</t>
  </si>
  <si>
    <t>SPC</t>
  </si>
  <si>
    <t>Nabuco</t>
  </si>
  <si>
    <t>PLA+WP</t>
  </si>
  <si>
    <t>WP+PLA</t>
  </si>
  <si>
    <t>Nabuco b</t>
  </si>
  <si>
    <t>Naclerio a</t>
  </si>
  <si>
    <t>Naclerio b</t>
  </si>
  <si>
    <t>Beef</t>
  </si>
  <si>
    <t>Nahas</t>
  </si>
  <si>
    <t>Nakayama</t>
  </si>
  <si>
    <t>MILK</t>
  </si>
  <si>
    <t>Negro</t>
  </si>
  <si>
    <t>PG</t>
  </si>
  <si>
    <t>Obradovic</t>
  </si>
  <si>
    <t>WP</t>
  </si>
  <si>
    <t>Oertzen-Hagemann</t>
  </si>
  <si>
    <t>Ormsbee</t>
  </si>
  <si>
    <t>Orsatti</t>
  </si>
  <si>
    <t>SOY+RT</t>
  </si>
  <si>
    <t>Ozan</t>
  </si>
  <si>
    <t>Paoli</t>
  </si>
  <si>
    <t>Pihoker</t>
  </si>
  <si>
    <t>POST</t>
  </si>
  <si>
    <t>PRE</t>
  </si>
  <si>
    <t>Ranelle-Ferrugio</t>
  </si>
  <si>
    <t>RE+HS</t>
  </si>
  <si>
    <t>Rankin</t>
  </si>
  <si>
    <t>Reidy</t>
  </si>
  <si>
    <t>PB</t>
  </si>
  <si>
    <t>Roschel</t>
  </si>
  <si>
    <t>Rozenek</t>
  </si>
  <si>
    <t>CHO</t>
  </si>
  <si>
    <t>CHOPRO</t>
  </si>
  <si>
    <t>Sharp</t>
  </si>
  <si>
    <t>Chx</t>
  </si>
  <si>
    <t>Snijders</t>
  </si>
  <si>
    <t>Spillane</t>
  </si>
  <si>
    <t>HPC</t>
  </si>
  <si>
    <t>Taylor</t>
  </si>
  <si>
    <t>van Dongen</t>
  </si>
  <si>
    <t>Intervention</t>
  </si>
  <si>
    <t>Vieillevoye</t>
  </si>
  <si>
    <t>Pro</t>
  </si>
  <si>
    <t>Verdijk</t>
  </si>
  <si>
    <t>Protein</t>
  </si>
  <si>
    <t>Volek</t>
  </si>
  <si>
    <t>Walker</t>
  </si>
  <si>
    <t>WPL</t>
  </si>
  <si>
    <t>Watanabe</t>
  </si>
  <si>
    <t>APP+RT</t>
  </si>
  <si>
    <t>Weisgarber</t>
  </si>
  <si>
    <t>Aleman-Mateo</t>
  </si>
  <si>
    <t>ICHD+RCH</t>
  </si>
  <si>
    <t>no</t>
  </si>
  <si>
    <t>Bartholomae</t>
  </si>
  <si>
    <t>SP</t>
  </si>
  <si>
    <t>Norton</t>
  </si>
  <si>
    <t>Ottestad</t>
  </si>
  <si>
    <t>APP+CH</t>
  </si>
  <si>
    <t>n_tot_est</t>
  </si>
  <si>
    <t>n_exp_est</t>
  </si>
  <si>
    <t>n_ctrl_est</t>
  </si>
  <si>
    <t>d</t>
  </si>
  <si>
    <t>J</t>
  </si>
  <si>
    <t>g</t>
  </si>
  <si>
    <t>se_d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</si>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</sst>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90DF-D355-41F3-BCF3-3519C877164E}">
  <dimension ref="A1:N93"/>
  <sheetViews>
    <sheetView tabSelected="1" topLeftCell="A64" workbookViewId="0">
      <selection activeCell="E90" sqref="E90"/>
    </sheetView>
  </sheetViews>
  <sheetFormatPr defaultRowHeight="15" x14ac:dyDescent="0.25"/>
  <cols>
    <col min="1" max="1" width="18.28515625" bestFit="1" customWidth="1"/>
    <col min="2" max="2" width="5" bestFit="1" customWidth="1"/>
    <col min="3" max="3" width="20.140625" bestFit="1" customWidth="1"/>
    <col min="4" max="4" width="5.7109375" customWidth="1"/>
    <col min="5" max="7" width="12" bestFit="1" customWidth="1"/>
    <col min="8" max="8" width="5.7109375" bestFit="1" customWidth="1"/>
    <col min="9" max="9" width="8.42578125" bestFit="1" customWidth="1"/>
    <col min="10" max="10" width="8.7109375" bestFit="1" customWidth="1"/>
    <col min="11" max="11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5</v>
      </c>
      <c r="E1" t="s">
        <v>129</v>
      </c>
      <c r="F1" t="s">
        <v>130</v>
      </c>
      <c r="G1" t="s">
        <v>131</v>
      </c>
      <c r="H1" t="s">
        <v>132</v>
      </c>
      <c r="I1" t="s">
        <v>3</v>
      </c>
      <c r="J1" t="s">
        <v>4</v>
      </c>
      <c r="K1" t="s">
        <v>135</v>
      </c>
      <c r="L1" t="s">
        <v>133</v>
      </c>
      <c r="M1" t="s">
        <v>134</v>
      </c>
      <c r="N1" t="s">
        <v>136</v>
      </c>
    </row>
    <row r="2" spans="1:14" x14ac:dyDescent="0.25">
      <c r="A2" t="s">
        <v>121</v>
      </c>
      <c r="B2">
        <v>2014</v>
      </c>
      <c r="C2" t="s">
        <v>122</v>
      </c>
      <c r="D2" t="s">
        <v>123</v>
      </c>
      <c r="E2">
        <f xml:space="preserve"> ( 2*K2^2 + 4 + (H2^2)/2 + SQRT( MAX( (2*K2^2 + 4 + (H2^2)/2)^2 - 32*K2^2, 0) ) ) / (2*K2^2)</f>
        <v>51.200951843601203</v>
      </c>
      <c r="F2">
        <f>E2/2</f>
        <v>25.600475921800601</v>
      </c>
      <c r="G2">
        <f>E2/2</f>
        <v>25.600475921800601</v>
      </c>
      <c r="H2">
        <v>0.45</v>
      </c>
      <c r="I2">
        <v>-0.11</v>
      </c>
      <c r="J2">
        <v>1</v>
      </c>
      <c r="K2">
        <v>0.283163265</v>
      </c>
      <c r="L2">
        <f>1-3/(4*(F2+G2-2)-1)</f>
        <v>0.98467854103437547</v>
      </c>
      <c r="M2">
        <f>L2*H2</f>
        <v>0.44310534346546898</v>
      </c>
      <c r="N2">
        <f>L2*K2</f>
        <v>0.27882479065473026</v>
      </c>
    </row>
    <row r="3" spans="1:14" x14ac:dyDescent="0.25">
      <c r="A3" t="s">
        <v>6</v>
      </c>
      <c r="B3">
        <v>2019</v>
      </c>
      <c r="C3" t="s">
        <v>7</v>
      </c>
      <c r="D3" t="s">
        <v>8</v>
      </c>
      <c r="E3">
        <f xml:space="preserve"> ( 2*K3^2 + 4 + (H3^2)/2 + SQRT( MAX( (2*K3^2 + 4 + (H3^2)/2)^2 - 32*K3^2, 0) ) ) / (2*K3^2)</f>
        <v>29.611147682940882</v>
      </c>
      <c r="F3">
        <f>E3/2</f>
        <v>14.805573841470441</v>
      </c>
      <c r="G3">
        <f>E3/2</f>
        <v>14.805573841470441</v>
      </c>
      <c r="H3">
        <v>0.31</v>
      </c>
      <c r="I3">
        <v>-0.41</v>
      </c>
      <c r="J3">
        <v>1.04</v>
      </c>
      <c r="K3">
        <v>0.369897959</v>
      </c>
      <c r="L3">
        <f>1-3/(4*(F3+G3-2)-1)</f>
        <v>0.97258886912599762</v>
      </c>
      <c r="M3">
        <f>L3*H3</f>
        <v>0.30150254942905924</v>
      </c>
      <c r="N3">
        <f>L3*K3</f>
        <v>0.35975863763582461</v>
      </c>
    </row>
    <row r="4" spans="1:14" x14ac:dyDescent="0.25">
      <c r="A4" t="s">
        <v>9</v>
      </c>
      <c r="B4">
        <v>2014</v>
      </c>
      <c r="C4" t="s">
        <v>10</v>
      </c>
      <c r="D4" t="s">
        <v>8</v>
      </c>
      <c r="E4">
        <f xml:space="preserve"> ( 2*K4^2 + 4 + (H4^2)/2 + SQRT( MAX( (2*K4^2 + 4 + (H4^2)/2)^2 - 32*K4^2, 0) ) ) / (2*K4^2)</f>
        <v>27.937945355541032</v>
      </c>
      <c r="F4">
        <f>E4/2</f>
        <v>13.968972677770516</v>
      </c>
      <c r="G4">
        <f>E4/2</f>
        <v>13.968972677770516</v>
      </c>
      <c r="H4">
        <v>0.26</v>
      </c>
      <c r="I4">
        <v>-0.49</v>
      </c>
      <c r="J4">
        <v>1</v>
      </c>
      <c r="K4">
        <v>0.380102041</v>
      </c>
      <c r="L4">
        <f>1-3/(4*(F4+G4-2)-1)</f>
        <v>0.9708034259019388</v>
      </c>
      <c r="M4">
        <f>L4*H4</f>
        <v>0.25240889073450412</v>
      </c>
      <c r="N4">
        <f>L4*K4</f>
        <v>0.36900436359511918</v>
      </c>
    </row>
    <row r="5" spans="1:14" x14ac:dyDescent="0.25">
      <c r="A5" t="s">
        <v>9</v>
      </c>
      <c r="B5">
        <v>2015</v>
      </c>
      <c r="C5" t="s">
        <v>11</v>
      </c>
      <c r="D5" t="s">
        <v>8</v>
      </c>
      <c r="E5">
        <f xml:space="preserve"> ( 2*K5^2 + 4 + (H5^2)/2 + SQRT( MAX( (2*K5^2 + 4 + (H5^2)/2)^2 - 32*K5^2, 0) ) ) / (2*K5^2)</f>
        <v>44.9014536482821</v>
      </c>
      <c r="F5">
        <f>E5/2</f>
        <v>22.45072682414105</v>
      </c>
      <c r="G5">
        <f>E5/2</f>
        <v>22.45072682414105</v>
      </c>
      <c r="H5">
        <v>0</v>
      </c>
      <c r="I5">
        <v>-0.59</v>
      </c>
      <c r="J5">
        <v>0.57999999999999996</v>
      </c>
      <c r="K5">
        <v>0.298469388</v>
      </c>
      <c r="L5">
        <f>1-3/(4*(F5+G5-2)-1)</f>
        <v>0.98241560519402815</v>
      </c>
      <c r="M5">
        <f>L5*H5</f>
        <v>0</v>
      </c>
      <c r="N5">
        <f>L5*K5</f>
        <v>0.2932209844439112</v>
      </c>
    </row>
    <row r="6" spans="1:14" x14ac:dyDescent="0.25">
      <c r="A6" t="s">
        <v>12</v>
      </c>
      <c r="B6">
        <v>2015</v>
      </c>
      <c r="C6" t="s">
        <v>13</v>
      </c>
      <c r="D6" t="s">
        <v>8</v>
      </c>
      <c r="E6">
        <f xml:space="preserve"> ( 2*K6^2 + 4 + (H6^2)/2 + SQRT( MAX( (2*K6^2 + 4 + (H6^2)/2)^2 - 32*K6^2, 0) ) ) / (2*K6^2)</f>
        <v>44.663533429996825</v>
      </c>
      <c r="F6">
        <f>E6/2</f>
        <v>22.331766714998412</v>
      </c>
      <c r="G6">
        <f>E6/2</f>
        <v>22.331766714998412</v>
      </c>
      <c r="H6">
        <v>-0.3</v>
      </c>
      <c r="I6">
        <v>-0.89</v>
      </c>
      <c r="J6">
        <v>0.28999999999999998</v>
      </c>
      <c r="K6">
        <v>0.30102040800000002</v>
      </c>
      <c r="L6">
        <f>1-3/(4*(F6+G6-2)-1)</f>
        <v>0.98231696490843268</v>
      </c>
      <c r="M6">
        <f>L6*H6</f>
        <v>-0.29469508947252981</v>
      </c>
      <c r="N6">
        <f>L6*K6</f>
        <v>0.29569745356205812</v>
      </c>
    </row>
    <row r="7" spans="1:14" x14ac:dyDescent="0.25">
      <c r="A7" t="s">
        <v>12</v>
      </c>
      <c r="B7">
        <v>2015</v>
      </c>
      <c r="C7" t="s">
        <v>14</v>
      </c>
      <c r="D7" t="s">
        <v>8</v>
      </c>
      <c r="E7">
        <f xml:space="preserve"> ( 2*K7^2 + 4 + (H7^2)/2 + SQRT( MAX( (2*K7^2 + 4 + (H7^2)/2)^2 - 32*K7^2, 0) ) ) / (2*K7^2)</f>
        <v>41.260899630227762</v>
      </c>
      <c r="F7">
        <f>E7/2</f>
        <v>20.630449815113881</v>
      </c>
      <c r="G7">
        <f>E7/2</f>
        <v>20.630449815113881</v>
      </c>
      <c r="H7">
        <v>0.61</v>
      </c>
      <c r="I7">
        <v>-0.02</v>
      </c>
      <c r="J7">
        <v>1.23</v>
      </c>
      <c r="K7">
        <v>0.31887755099999998</v>
      </c>
      <c r="L7">
        <f>1-3/(4*(F7+G7-2)-1)</f>
        <v>0.98077460383869586</v>
      </c>
      <c r="M7">
        <f>L7*H7</f>
        <v>0.5982725083416045</v>
      </c>
      <c r="N7">
        <f>L7*K7</f>
        <v>0.31274700375507852</v>
      </c>
    </row>
    <row r="8" spans="1:14" x14ac:dyDescent="0.25">
      <c r="A8" t="s">
        <v>15</v>
      </c>
      <c r="B8">
        <v>2013</v>
      </c>
      <c r="C8" t="s">
        <v>16</v>
      </c>
      <c r="D8" t="s">
        <v>8</v>
      </c>
      <c r="E8">
        <f xml:space="preserve"> ( 2*K8^2 + 4 + (H8^2)/2 + SQRT( MAX( (2*K8^2 + 4 + (H8^2)/2)^2 - 32*K8^2, 0) ) ) / (2*K8^2)</f>
        <v>145.89556069505815</v>
      </c>
      <c r="F8">
        <f>E8/2</f>
        <v>72.947780347529076</v>
      </c>
      <c r="G8">
        <f>E8/2</f>
        <v>72.947780347529076</v>
      </c>
      <c r="H8">
        <v>-0.15</v>
      </c>
      <c r="I8">
        <v>-0.48</v>
      </c>
      <c r="J8">
        <v>0.17</v>
      </c>
      <c r="K8">
        <v>0.16581632700000001</v>
      </c>
      <c r="L8">
        <f>1-3/(4*(F8+G8-2)-1)</f>
        <v>0.9947788153259246</v>
      </c>
      <c r="M8">
        <f>L8*H8</f>
        <v>-0.14921682229888869</v>
      </c>
      <c r="N8">
        <f>L8*K8</f>
        <v>0.16495056933475613</v>
      </c>
    </row>
    <row r="9" spans="1:14" x14ac:dyDescent="0.25">
      <c r="A9" t="s">
        <v>124</v>
      </c>
      <c r="B9">
        <v>2019</v>
      </c>
      <c r="C9" t="s">
        <v>37</v>
      </c>
      <c r="D9" t="s">
        <v>123</v>
      </c>
      <c r="E9">
        <f xml:space="preserve"> ( 2*K9^2 + 4 + (H9^2)/2 + SQRT( MAX( (2*K9^2 + 4 + (H9^2)/2)^2 - 32*K9^2, 0) ) ) / (2*K9^2)</f>
        <v>26.461760714587328</v>
      </c>
      <c r="F9">
        <f>E9/2</f>
        <v>13.230880357293664</v>
      </c>
      <c r="G9">
        <f>E9/2</f>
        <v>13.230880357293664</v>
      </c>
      <c r="H9">
        <v>0.24</v>
      </c>
      <c r="I9">
        <v>-0.52</v>
      </c>
      <c r="J9">
        <v>1.01</v>
      </c>
      <c r="K9">
        <v>0.39030612199999998</v>
      </c>
      <c r="L9">
        <f>1-3/(4*(F9+G9-2)-1)</f>
        <v>0.96902331850867285</v>
      </c>
      <c r="M9">
        <f>L9*H9</f>
        <v>0.23256559644208147</v>
      </c>
      <c r="N9">
        <f>L9*K9</f>
        <v>0.3782157335746909</v>
      </c>
    </row>
    <row r="10" spans="1:14" x14ac:dyDescent="0.25">
      <c r="A10" t="s">
        <v>17</v>
      </c>
      <c r="B10">
        <v>2019</v>
      </c>
      <c r="C10" t="s">
        <v>18</v>
      </c>
      <c r="D10" t="s">
        <v>8</v>
      </c>
      <c r="E10">
        <f xml:space="preserve"> ( 2*K10^2 + 4 + (H10^2)/2 + SQRT( MAX( (2*K10^2 + 4 + (H10^2)/2)^2 - 32*K10^2, 0) ) ) / (2*K10^2)</f>
        <v>30.566737276621083</v>
      </c>
      <c r="F10">
        <f>E10/2</f>
        <v>15.283368638310542</v>
      </c>
      <c r="G10">
        <f>E10/2</f>
        <v>15.283368638310542</v>
      </c>
      <c r="H10">
        <v>0.67</v>
      </c>
      <c r="I10">
        <v>-0.06</v>
      </c>
      <c r="J10">
        <v>1.4</v>
      </c>
      <c r="K10">
        <v>0.37244897999999999</v>
      </c>
      <c r="L10">
        <f>1-3/(4*(F10+G10-2)-1)</f>
        <v>0.97351389771097618</v>
      </c>
      <c r="M10">
        <f>L10*H10</f>
        <v>0.65225431146635404</v>
      </c>
      <c r="N10">
        <f>L10*K10</f>
        <v>0.36258425821827739</v>
      </c>
    </row>
    <row r="11" spans="1:14" x14ac:dyDescent="0.25">
      <c r="A11" t="s">
        <v>19</v>
      </c>
      <c r="B11">
        <v>2004</v>
      </c>
      <c r="C11" t="s">
        <v>13</v>
      </c>
      <c r="D11" t="s">
        <v>8</v>
      </c>
      <c r="E11">
        <f xml:space="preserve"> ( 2*K11^2 + 4 + (H11^2)/2 + SQRT( MAX( (2*K11^2 + 4 + (H11^2)/2)^2 - 32*K11^2, 0) ) ) / (2*K11^2)</f>
        <v>19.875758970079993</v>
      </c>
      <c r="F11">
        <f>E11/2</f>
        <v>9.9378794850399963</v>
      </c>
      <c r="G11">
        <f>E11/2</f>
        <v>9.9378794850399963</v>
      </c>
      <c r="H11">
        <v>0.97</v>
      </c>
      <c r="I11">
        <v>0.03</v>
      </c>
      <c r="J11">
        <v>1.9</v>
      </c>
      <c r="K11">
        <v>0.47704081599999998</v>
      </c>
      <c r="L11">
        <f>1-3/(4*(F11+G11-2)-1)</f>
        <v>0.95744864086289072</v>
      </c>
      <c r="M11">
        <f>L11*H11</f>
        <v>0.92872518163700402</v>
      </c>
      <c r="N11">
        <f>L11*K11</f>
        <v>0.45674208091532431</v>
      </c>
    </row>
    <row r="12" spans="1:14" x14ac:dyDescent="0.25">
      <c r="A12" t="s">
        <v>19</v>
      </c>
      <c r="B12">
        <v>2004</v>
      </c>
      <c r="C12" t="s">
        <v>14</v>
      </c>
      <c r="D12" t="s">
        <v>8</v>
      </c>
      <c r="E12">
        <f xml:space="preserve"> ( 2*K12^2 + 4 + (H12^2)/2 + SQRT( MAX( (2*K12^2 + 4 + (H12^2)/2)^2 - 32*K12^2, 0) ) ) / (2*K12^2)</f>
        <v>19.893992584075534</v>
      </c>
      <c r="F12">
        <f>E12/2</f>
        <v>9.9469962920377668</v>
      </c>
      <c r="G12">
        <f>E12/2</f>
        <v>9.9469962920377668</v>
      </c>
      <c r="H12">
        <v>1.06</v>
      </c>
      <c r="I12">
        <v>0.12</v>
      </c>
      <c r="J12">
        <v>2.0099999999999998</v>
      </c>
      <c r="K12">
        <v>0.48214285699999998</v>
      </c>
      <c r="L12">
        <f>1-3/(4*(F12+G12-2)-1)</f>
        <v>0.95749261419000442</v>
      </c>
      <c r="M12">
        <f>L12*H12</f>
        <v>1.0149421710414048</v>
      </c>
      <c r="N12">
        <f>L12*K12</f>
        <v>0.46164822456196747</v>
      </c>
    </row>
    <row r="13" spans="1:14" x14ac:dyDescent="0.25">
      <c r="A13" t="s">
        <v>20</v>
      </c>
      <c r="B13">
        <v>2001</v>
      </c>
      <c r="C13" t="s">
        <v>14</v>
      </c>
      <c r="D13" t="s">
        <v>8</v>
      </c>
      <c r="E13">
        <f xml:space="preserve"> ( 2*K13^2 + 4 + (H13^2)/2 + SQRT( MAX( (2*K13^2 + 4 + (H13^2)/2)^2 - 32*K13^2, 0) ) ) / (2*K13^2)</f>
        <v>24.97452029664786</v>
      </c>
      <c r="F13">
        <f>E13/2</f>
        <v>12.48726014832393</v>
      </c>
      <c r="G13">
        <f>E13/2</f>
        <v>12.48726014832393</v>
      </c>
      <c r="H13">
        <v>0.99</v>
      </c>
      <c r="I13">
        <v>0.16</v>
      </c>
      <c r="J13">
        <v>1.83</v>
      </c>
      <c r="K13">
        <v>0.42602040800000002</v>
      </c>
      <c r="L13">
        <f>1-3/(4*(F13+G13-2)-1)</f>
        <v>0.96699600298666666</v>
      </c>
      <c r="M13">
        <f>L13*H13</f>
        <v>0.95732604295680002</v>
      </c>
      <c r="N13">
        <f>L13*K13</f>
        <v>0.41196003172674894</v>
      </c>
    </row>
    <row r="14" spans="1:14" x14ac:dyDescent="0.25">
      <c r="A14" t="s">
        <v>21</v>
      </c>
      <c r="B14">
        <v>2006</v>
      </c>
      <c r="C14" t="s">
        <v>22</v>
      </c>
      <c r="D14" t="s">
        <v>8</v>
      </c>
      <c r="E14">
        <f xml:space="preserve"> ( 2*K14^2 + 4 + (H14^2)/2 + SQRT( MAX( (2*K14^2 + 4 + (H14^2)/2)^2 - 32*K14^2, 0) ) ) / (2*K14^2)</f>
        <v>19.905017384375508</v>
      </c>
      <c r="F14">
        <f>E14/2</f>
        <v>9.9525086921877541</v>
      </c>
      <c r="G14">
        <f>E14/2</f>
        <v>9.9525086921877541</v>
      </c>
      <c r="H14">
        <v>0.15</v>
      </c>
      <c r="I14">
        <v>-0.73</v>
      </c>
      <c r="J14">
        <v>1.03</v>
      </c>
      <c r="K14">
        <v>0.44897959199999998</v>
      </c>
      <c r="L14">
        <f>1-3/(4*(F14+G14-2)-1)</f>
        <v>0.95751915822729572</v>
      </c>
      <c r="M14">
        <f>L14*H14</f>
        <v>0.14362787373409436</v>
      </c>
      <c r="N14">
        <f>L14*K14</f>
        <v>0.42990656099307467</v>
      </c>
    </row>
    <row r="15" spans="1:14" x14ac:dyDescent="0.25">
      <c r="A15" t="s">
        <v>21</v>
      </c>
      <c r="B15">
        <v>2006</v>
      </c>
      <c r="C15" t="s">
        <v>23</v>
      </c>
      <c r="D15" t="s">
        <v>8</v>
      </c>
      <c r="E15">
        <f xml:space="preserve"> ( 2*K15^2 + 4 + (H15^2)/2 + SQRT( MAX( (2*K15^2 + 4 + (H15^2)/2)^2 - 32*K15^2, 0) ) ) / (2*K15^2)</f>
        <v>19.863615049680803</v>
      </c>
      <c r="F15">
        <f>E15/2</f>
        <v>9.9318075248404014</v>
      </c>
      <c r="G15">
        <f>E15/2</f>
        <v>9.9318075248404014</v>
      </c>
      <c r="H15">
        <v>0.65</v>
      </c>
      <c r="I15">
        <v>-0.26</v>
      </c>
      <c r="J15">
        <v>1.55</v>
      </c>
      <c r="K15">
        <v>0.461734694</v>
      </c>
      <c r="L15">
        <f>1-3/(4*(F15+G15-2)-1)</f>
        <v>0.95741930331254788</v>
      </c>
      <c r="M15">
        <f>L15*H15</f>
        <v>0.62232254715315616</v>
      </c>
      <c r="N15">
        <f>L15*K15</f>
        <v>0.44207370904471249</v>
      </c>
    </row>
    <row r="16" spans="1:14" x14ac:dyDescent="0.25">
      <c r="A16" t="s">
        <v>24</v>
      </c>
      <c r="B16">
        <v>2006</v>
      </c>
      <c r="C16" t="s">
        <v>25</v>
      </c>
      <c r="D16" t="s">
        <v>8</v>
      </c>
      <c r="E16">
        <f xml:space="preserve"> ( 2*K16^2 + 4 + (H16^2)/2 + SQRT( MAX( (2*K16^2 + 4 + (H16^2)/2)^2 - 32*K16^2, 0) ) ) / (2*K16^2)</f>
        <v>21.802054775786242</v>
      </c>
      <c r="F16">
        <f>E16/2</f>
        <v>10.901027387893121</v>
      </c>
      <c r="G16">
        <f>E16/2</f>
        <v>10.901027387893121</v>
      </c>
      <c r="H16">
        <v>0.09</v>
      </c>
      <c r="I16">
        <v>-0.75</v>
      </c>
      <c r="J16">
        <v>0.93</v>
      </c>
      <c r="K16">
        <v>0.428571429</v>
      </c>
      <c r="L16">
        <f>1-3/(4*(F16+G16-2)-1)</f>
        <v>0.96164086032897067</v>
      </c>
      <c r="M16">
        <f>L16*H16</f>
        <v>8.6547677429607353E-2</v>
      </c>
      <c r="N16">
        <f>L16*K16</f>
        <v>0.41213179769597635</v>
      </c>
    </row>
    <row r="17" spans="1:14" x14ac:dyDescent="0.25">
      <c r="A17" t="s">
        <v>24</v>
      </c>
      <c r="B17">
        <v>2006</v>
      </c>
      <c r="C17" t="s">
        <v>26</v>
      </c>
      <c r="D17" t="s">
        <v>8</v>
      </c>
      <c r="E17">
        <f xml:space="preserve"> ( 2*K17^2 + 4 + (H17^2)/2 + SQRT( MAX( (2*K17^2 + 4 + (H17^2)/2)^2 - 32*K17^2, 0) ) ) / (2*K17^2)</f>
        <v>20.783820045157618</v>
      </c>
      <c r="F17">
        <f>E17/2</f>
        <v>10.391910022578809</v>
      </c>
      <c r="G17">
        <f>E17/2</f>
        <v>10.391910022578809</v>
      </c>
      <c r="H17">
        <v>0.05</v>
      </c>
      <c r="I17">
        <v>-0.81</v>
      </c>
      <c r="J17">
        <v>0.91</v>
      </c>
      <c r="K17">
        <v>0.43877550999999998</v>
      </c>
      <c r="L17">
        <f>1-3/(4*(F17+G17-2)-1)</f>
        <v>0.9595334368105104</v>
      </c>
      <c r="M17">
        <f>L17*H17</f>
        <v>4.7976671840525523E-2</v>
      </c>
      <c r="N17">
        <f>L17*K17</f>
        <v>0.42101977309858446</v>
      </c>
    </row>
    <row r="18" spans="1:14" x14ac:dyDescent="0.25">
      <c r="A18" t="s">
        <v>27</v>
      </c>
      <c r="B18">
        <v>2013</v>
      </c>
      <c r="C18" t="s">
        <v>14</v>
      </c>
      <c r="D18" t="s">
        <v>8</v>
      </c>
      <c r="E18">
        <f xml:space="preserve"> ( 2*K18^2 + 4 + (H18^2)/2 + SQRT( MAX( (2*K18^2 + 4 + (H18^2)/2)^2 - 32*K18^2, 0) ) ) / (2*K18^2)</f>
        <v>81.244493762889462</v>
      </c>
      <c r="F18">
        <f>E18/2</f>
        <v>40.622246881444731</v>
      </c>
      <c r="G18">
        <f>E18/2</f>
        <v>40.622246881444731</v>
      </c>
      <c r="H18">
        <v>0.06</v>
      </c>
      <c r="I18">
        <v>-0.38</v>
      </c>
      <c r="J18">
        <v>0.49</v>
      </c>
      <c r="K18">
        <v>0.221938776</v>
      </c>
      <c r="L18">
        <f>1-3/(4*(F18+G18-2)-1)</f>
        <v>0.99050566736649759</v>
      </c>
      <c r="M18">
        <f>L18*H18</f>
        <v>5.9430340041989854E-2</v>
      </c>
      <c r="N18">
        <f>L18*K18</f>
        <v>0.21983161543638363</v>
      </c>
    </row>
    <row r="19" spans="1:14" x14ac:dyDescent="0.25">
      <c r="A19" t="s">
        <v>28</v>
      </c>
      <c r="B19">
        <v>2006</v>
      </c>
      <c r="C19" t="s">
        <v>29</v>
      </c>
      <c r="D19" t="s">
        <v>8</v>
      </c>
      <c r="E19">
        <f xml:space="preserve"> ( 2*K19^2 + 4 + (H19^2)/2 + SQRT( MAX( (2*K19^2 + 4 + (H19^2)/2)^2 - 32*K19^2, 0) ) ) / (2*K19^2)</f>
        <v>24.742571399174018</v>
      </c>
      <c r="F19">
        <f>E19/2</f>
        <v>12.371285699587009</v>
      </c>
      <c r="G19">
        <f>E19/2</f>
        <v>12.371285699587009</v>
      </c>
      <c r="H19">
        <v>0.19</v>
      </c>
      <c r="I19">
        <v>-0.6</v>
      </c>
      <c r="J19">
        <v>0.98</v>
      </c>
      <c r="K19">
        <v>0.403061224</v>
      </c>
      <c r="L19">
        <f>1-3/(4*(F19+G19-2)-1)</f>
        <v>0.96665565769738793</v>
      </c>
      <c r="M19">
        <f>L19*H19</f>
        <v>0.18366457496250371</v>
      </c>
      <c r="N19">
        <f>L19*K19</f>
        <v>0.38962141257803418</v>
      </c>
    </row>
    <row r="20" spans="1:14" x14ac:dyDescent="0.25">
      <c r="A20" t="s">
        <v>30</v>
      </c>
      <c r="B20">
        <v>2011</v>
      </c>
      <c r="C20" t="s">
        <v>31</v>
      </c>
      <c r="D20" t="s">
        <v>8</v>
      </c>
      <c r="E20">
        <f xml:space="preserve"> ( 2*K20^2 + 4 + (H20^2)/2 + SQRT( MAX( (2*K20^2 + 4 + (H20^2)/2)^2 - 32*K20^2, 0) ) ) / (2*K20^2)</f>
        <v>27.480455293171335</v>
      </c>
      <c r="F20">
        <f>E20/2</f>
        <v>13.740227646585668</v>
      </c>
      <c r="G20">
        <f>E20/2</f>
        <v>13.740227646585668</v>
      </c>
      <c r="H20">
        <v>0.21</v>
      </c>
      <c r="I20">
        <v>-0.54</v>
      </c>
      <c r="J20">
        <v>0.96</v>
      </c>
      <c r="K20">
        <v>0.38265306100000002</v>
      </c>
      <c r="L20">
        <f>1-3/(4*(F20+G20-2)-1)</f>
        <v>0.97027402037398081</v>
      </c>
      <c r="M20">
        <f>L20*H20</f>
        <v>0.20375754427853596</v>
      </c>
      <c r="N20">
        <f>L20*K20</f>
        <v>0.37127832390488014</v>
      </c>
    </row>
    <row r="21" spans="1:14" x14ac:dyDescent="0.25">
      <c r="A21" t="s">
        <v>32</v>
      </c>
      <c r="B21">
        <v>2020</v>
      </c>
      <c r="C21" t="s">
        <v>33</v>
      </c>
      <c r="D21" t="s">
        <v>8</v>
      </c>
      <c r="E21">
        <f xml:space="preserve"> ( 2*K21^2 + 4 + (H21^2)/2 + SQRT( MAX( (2*K21^2 + 4 + (H21^2)/2)^2 - 32*K21^2, 0) ) ) / (2*K21^2)</f>
        <v>40.093358530614061</v>
      </c>
      <c r="F21">
        <f>E21/2</f>
        <v>20.046679265307031</v>
      </c>
      <c r="G21">
        <f>E21/2</f>
        <v>20.046679265307031</v>
      </c>
      <c r="H21">
        <v>0.15</v>
      </c>
      <c r="I21">
        <v>-0.47</v>
      </c>
      <c r="J21">
        <v>0.77</v>
      </c>
      <c r="K21">
        <v>0.31632653100000002</v>
      </c>
      <c r="L21">
        <f>1-3/(4*(F21+G21-2)-1)</f>
        <v>0.98018146303285225</v>
      </c>
      <c r="M21">
        <f>L21*H21</f>
        <v>0.14702721945492783</v>
      </c>
      <c r="N21">
        <f>L21*K21</f>
        <v>0.31005740195168691</v>
      </c>
    </row>
    <row r="22" spans="1:14" x14ac:dyDescent="0.25">
      <c r="A22" t="s">
        <v>32</v>
      </c>
      <c r="B22">
        <v>2020</v>
      </c>
      <c r="C22" t="s">
        <v>34</v>
      </c>
      <c r="D22" t="s">
        <v>8</v>
      </c>
      <c r="E22">
        <f xml:space="preserve"> ( 2*K22^2 + 4 + (H22^2)/2 + SQRT( MAX( (2*K22^2 + 4 + (H22^2)/2)^2 - 32*K22^2, 0) ) ) / (2*K22^2)</f>
        <v>41.305105188246685</v>
      </c>
      <c r="F22">
        <f>E22/2</f>
        <v>20.652552594123343</v>
      </c>
      <c r="G22">
        <f>E22/2</f>
        <v>20.652552594123343</v>
      </c>
      <c r="H22">
        <v>0.04</v>
      </c>
      <c r="I22">
        <v>-0.56999999999999995</v>
      </c>
      <c r="J22">
        <v>0.65</v>
      </c>
      <c r="K22">
        <v>0.31122449000000002</v>
      </c>
      <c r="L22">
        <f>1-3/(4*(F22+G22-2)-1)</f>
        <v>0.98079636461392228</v>
      </c>
      <c r="M22">
        <f>L22*H22</f>
        <v>3.9231854584556893E-2</v>
      </c>
      <c r="N22">
        <f>L22*K22</f>
        <v>0.30524784837082203</v>
      </c>
    </row>
    <row r="23" spans="1:14" x14ac:dyDescent="0.25">
      <c r="A23" t="s">
        <v>35</v>
      </c>
      <c r="B23">
        <v>2008</v>
      </c>
      <c r="C23" t="s">
        <v>16</v>
      </c>
      <c r="D23" t="s">
        <v>8</v>
      </c>
      <c r="E23">
        <f xml:space="preserve"> ( 2*K23^2 + 4 + (H23^2)/2 + SQRT( MAX( (2*K23^2 + 4 + (H23^2)/2)^2 - 32*K23^2, 0) ) ) / (2*K23^2)</f>
        <v>22.677176891169196</v>
      </c>
      <c r="F23">
        <f>E23/2</f>
        <v>11.338588445584598</v>
      </c>
      <c r="G23">
        <f>E23/2</f>
        <v>11.338588445584598</v>
      </c>
      <c r="H23">
        <v>0.18</v>
      </c>
      <c r="I23">
        <v>-0.65</v>
      </c>
      <c r="J23">
        <v>1</v>
      </c>
      <c r="K23">
        <v>0.42091836700000002</v>
      </c>
      <c r="L23">
        <f>1-3/(4*(F23+G23-2)-1)</f>
        <v>0.96328420691729411</v>
      </c>
      <c r="M23">
        <f>L23*H23</f>
        <v>0.17339115724511292</v>
      </c>
      <c r="N23">
        <f>L23*K23</f>
        <v>0.40546401533251758</v>
      </c>
    </row>
    <row r="24" spans="1:14" x14ac:dyDescent="0.25">
      <c r="A24" t="s">
        <v>36</v>
      </c>
      <c r="B24">
        <v>2012</v>
      </c>
      <c r="C24" t="s">
        <v>37</v>
      </c>
      <c r="D24" t="s">
        <v>8</v>
      </c>
      <c r="E24">
        <f xml:space="preserve"> ( 2*K24^2 + 4 + (H24^2)/2 + SQRT( MAX( (2*K24^2 + 4 + (H24^2)/2)^2 - 32*K24^2, 0) ) ) / (2*K24^2)</f>
        <v>34.759444159095899</v>
      </c>
      <c r="F24">
        <f>E24/2</f>
        <v>17.37972207954795</v>
      </c>
      <c r="G24">
        <f>E24/2</f>
        <v>17.37972207954795</v>
      </c>
      <c r="H24">
        <v>0.05</v>
      </c>
      <c r="I24">
        <v>-0.61</v>
      </c>
      <c r="J24">
        <v>0.72</v>
      </c>
      <c r="K24">
        <v>0.33928571400000002</v>
      </c>
      <c r="L24">
        <f>1-3/(4*(F24+G24-2)-1)</f>
        <v>0.97692978088675941</v>
      </c>
      <c r="M24">
        <f>L24*H24</f>
        <v>4.8846489044337971E-2</v>
      </c>
      <c r="N24">
        <f>L24*K24</f>
        <v>0.33145831823602773</v>
      </c>
    </row>
    <row r="25" spans="1:14" x14ac:dyDescent="0.25">
      <c r="A25" t="s">
        <v>38</v>
      </c>
      <c r="B25">
        <v>2014</v>
      </c>
      <c r="C25" t="s">
        <v>39</v>
      </c>
      <c r="D25" t="s">
        <v>8</v>
      </c>
      <c r="E25">
        <f xml:space="preserve"> ( 2*K25^2 + 4 + (H25^2)/2 + SQRT( MAX( (2*K25^2 + 4 + (H25^2)/2)^2 - 32*K25^2, 0) ) ) / (2*K25^2)</f>
        <v>20.827937190212431</v>
      </c>
      <c r="F25">
        <f>E25/2</f>
        <v>10.413968595106216</v>
      </c>
      <c r="G25">
        <f>E25/2</f>
        <v>10.413968595106216</v>
      </c>
      <c r="H25">
        <v>0.32</v>
      </c>
      <c r="I25">
        <v>-0.54</v>
      </c>
      <c r="J25">
        <v>1.19</v>
      </c>
      <c r="K25">
        <v>0.44132653100000002</v>
      </c>
      <c r="L25">
        <f>1-3/(4*(F25+G25-2)-1)</f>
        <v>0.95962953301429355</v>
      </c>
      <c r="M25">
        <f>L25*H25</f>
        <v>0.30708145056457392</v>
      </c>
      <c r="N25">
        <f>L25*K25</f>
        <v>0.42350997285034814</v>
      </c>
    </row>
    <row r="26" spans="1:14" x14ac:dyDescent="0.25">
      <c r="A26" t="s">
        <v>38</v>
      </c>
      <c r="B26">
        <v>2014</v>
      </c>
      <c r="C26" t="s">
        <v>39</v>
      </c>
      <c r="D26" t="s">
        <v>8</v>
      </c>
      <c r="E26">
        <f xml:space="preserve"> ( 2*K26^2 + 4 + (H26^2)/2 + SQRT( MAX( (2*K26^2 + 4 + (H26^2)/2)^2 - 32*K26^2, 0) ) ) / (2*K26^2)</f>
        <v>18.759764816173675</v>
      </c>
      <c r="F26">
        <f>E26/2</f>
        <v>9.3798824080868375</v>
      </c>
      <c r="G26">
        <f>E26/2</f>
        <v>9.3798824080868375</v>
      </c>
      <c r="H26">
        <v>0.28000000000000003</v>
      </c>
      <c r="I26">
        <v>-0.63</v>
      </c>
      <c r="J26">
        <v>1.19</v>
      </c>
      <c r="K26">
        <v>0.46428571400000002</v>
      </c>
      <c r="L26">
        <f>1-3/(4*(F26+G26-2)-1)</f>
        <v>0.95457233895510929</v>
      </c>
      <c r="M26">
        <f>L26*H26</f>
        <v>0.26728025490743063</v>
      </c>
      <c r="N26">
        <f>L26*K26</f>
        <v>0.44319429995642295</v>
      </c>
    </row>
    <row r="27" spans="1:14" x14ac:dyDescent="0.25">
      <c r="A27" t="s">
        <v>38</v>
      </c>
      <c r="B27">
        <v>2014</v>
      </c>
      <c r="C27" t="s">
        <v>40</v>
      </c>
      <c r="D27" t="s">
        <v>8</v>
      </c>
      <c r="E27">
        <f xml:space="preserve"> ( 2*K27^2 + 4 + (H27^2)/2 + SQRT( MAX( (2*K27^2 + 4 + (H27^2)/2)^2 - 32*K27^2, 0) ) ) / (2*K27^2)</f>
        <v>19.730135249631775</v>
      </c>
      <c r="F27">
        <f>E27/2</f>
        <v>9.8650676248158877</v>
      </c>
      <c r="G27">
        <f>E27/2</f>
        <v>9.8650676248158877</v>
      </c>
      <c r="H27">
        <v>0.35</v>
      </c>
      <c r="I27">
        <v>-0.54</v>
      </c>
      <c r="J27">
        <v>1.24</v>
      </c>
      <c r="K27">
        <v>0.45408163299999998</v>
      </c>
      <c r="L27">
        <f>1-3/(4*(F27+G27-2)-1)</f>
        <v>0.95709415348969917</v>
      </c>
      <c r="M27">
        <f>L27*H27</f>
        <v>0.33498295372139469</v>
      </c>
      <c r="N27">
        <f>L27*K27</f>
        <v>0.43459887615135523</v>
      </c>
    </row>
    <row r="28" spans="1:14" x14ac:dyDescent="0.25">
      <c r="A28" t="s">
        <v>41</v>
      </c>
      <c r="B28">
        <v>2007</v>
      </c>
      <c r="C28" t="s">
        <v>42</v>
      </c>
      <c r="D28" t="s">
        <v>8</v>
      </c>
      <c r="E28">
        <f xml:space="preserve"> ( 2*K28^2 + 4 + (H28^2)/2 + SQRT( MAX( (2*K28^2 + 4 + (H28^2)/2)^2 - 32*K28^2, 0) ) ) / (2*K28^2)</f>
        <v>38.502676286616072</v>
      </c>
      <c r="F28">
        <f>E28/2</f>
        <v>19.251338143308036</v>
      </c>
      <c r="G28">
        <f>E28/2</f>
        <v>19.251338143308036</v>
      </c>
      <c r="H28">
        <v>0.28000000000000003</v>
      </c>
      <c r="I28">
        <v>-0.36</v>
      </c>
      <c r="J28">
        <v>0.91</v>
      </c>
      <c r="K28">
        <v>0.32397959199999998</v>
      </c>
      <c r="L28">
        <f>1-3/(4*(F28+G28-2)-1)</f>
        <v>0.97931187220302163</v>
      </c>
      <c r="M28">
        <f>L28*H28</f>
        <v>0.27420732421684607</v>
      </c>
      <c r="N28">
        <f>L28*K28</f>
        <v>0.31727706079709106</v>
      </c>
    </row>
    <row r="29" spans="1:14" x14ac:dyDescent="0.25">
      <c r="A29" t="s">
        <v>41</v>
      </c>
      <c r="B29">
        <v>2007</v>
      </c>
      <c r="C29" t="s">
        <v>13</v>
      </c>
      <c r="D29" t="s">
        <v>8</v>
      </c>
      <c r="E29">
        <f xml:space="preserve"> ( 2*K29^2 + 4 + (H29^2)/2 + SQRT( MAX( (2*K29^2 + 4 + (H29^2)/2)^2 - 32*K29^2, 0) ) ) / (2*K29^2)</f>
        <v>39.99396160562852</v>
      </c>
      <c r="F29">
        <f>E29/2</f>
        <v>19.99698080281426</v>
      </c>
      <c r="G29">
        <f>E29/2</f>
        <v>19.99698080281426</v>
      </c>
      <c r="H29">
        <v>0.06</v>
      </c>
      <c r="I29">
        <v>-0.56000000000000005</v>
      </c>
      <c r="J29">
        <v>0.68</v>
      </c>
      <c r="K29">
        <v>0.31632653100000002</v>
      </c>
      <c r="L29">
        <f>1-3/(4*(F29+G29-2)-1)</f>
        <v>0.98012927185978915</v>
      </c>
      <c r="M29">
        <f>L29*H29</f>
        <v>5.8807756311587349E-2</v>
      </c>
      <c r="N29">
        <f>L29*K29</f>
        <v>0.31004089249896305</v>
      </c>
    </row>
    <row r="30" spans="1:14" x14ac:dyDescent="0.25">
      <c r="A30" t="s">
        <v>43</v>
      </c>
      <c r="B30">
        <v>2018</v>
      </c>
      <c r="C30" t="s">
        <v>13</v>
      </c>
      <c r="D30" t="s">
        <v>8</v>
      </c>
      <c r="E30">
        <f xml:space="preserve"> ( 2*K30^2 + 4 + (H30^2)/2 + SQRT( MAX( (2*K30^2 + 4 + (H30^2)/2)^2 - 32*K30^2, 0) ) ) / (2*K30^2)</f>
        <v>31.81327041569773</v>
      </c>
      <c r="F30">
        <f>E30/2</f>
        <v>15.906635207848865</v>
      </c>
      <c r="G30">
        <f>E30/2</f>
        <v>15.906635207848865</v>
      </c>
      <c r="H30">
        <v>-0.01</v>
      </c>
      <c r="I30">
        <v>-0.7</v>
      </c>
      <c r="J30">
        <v>0.69</v>
      </c>
      <c r="K30">
        <v>0.35459183700000002</v>
      </c>
      <c r="L30">
        <f>1-3/(4*(F30+G30-2)-1)</f>
        <v>0.97463068228061267</v>
      </c>
      <c r="M30">
        <f>L30*H30</f>
        <v>-9.7463068228061268E-3</v>
      </c>
      <c r="N30">
        <f>L30*K30</f>
        <v>0.34559608402644582</v>
      </c>
    </row>
    <row r="31" spans="1:14" x14ac:dyDescent="0.25">
      <c r="A31" t="s">
        <v>43</v>
      </c>
      <c r="B31">
        <v>2018</v>
      </c>
      <c r="C31" t="s">
        <v>14</v>
      </c>
      <c r="D31" t="s">
        <v>8</v>
      </c>
      <c r="E31">
        <f xml:space="preserve"> ( 2*K31^2 + 4 + (H31^2)/2 + SQRT( MAX( (2*K31^2 + 4 + (H31^2)/2)^2 - 32*K31^2, 0) ) ) / (2*K31^2)</f>
        <v>33.726428965976382</v>
      </c>
      <c r="F31">
        <f>E31/2</f>
        <v>16.863214482988191</v>
      </c>
      <c r="G31">
        <f>E31/2</f>
        <v>16.863214482988191</v>
      </c>
      <c r="H31">
        <v>-0.01</v>
      </c>
      <c r="I31">
        <v>-0.69</v>
      </c>
      <c r="J31">
        <v>0.66</v>
      </c>
      <c r="K31">
        <v>0.34438775500000002</v>
      </c>
      <c r="L31">
        <f>1-3/(4*(F31+G31-2)-1)</f>
        <v>0.97617264649650404</v>
      </c>
      <c r="M31">
        <f>L31*H31</f>
        <v>-9.7617264649650405E-3</v>
      </c>
      <c r="N31">
        <f>L31*K31</f>
        <v>0.33618190621933963</v>
      </c>
    </row>
    <row r="32" spans="1:14" x14ac:dyDescent="0.25">
      <c r="A32" t="s">
        <v>44</v>
      </c>
      <c r="B32">
        <v>2013</v>
      </c>
      <c r="C32" t="s">
        <v>45</v>
      </c>
      <c r="D32" t="s">
        <v>8</v>
      </c>
      <c r="E32">
        <f xml:space="preserve"> ( 2*K32^2 + 4 + (H32^2)/2 + SQRT( MAX( (2*K32^2 + 4 + (H32^2)/2)^2 - 32*K32^2, 0) ) ) / (2*K32^2)</f>
        <v>42.684444438753175</v>
      </c>
      <c r="F32">
        <f>E32/2</f>
        <v>21.342222219376588</v>
      </c>
      <c r="G32">
        <f>E32/2</f>
        <v>21.342222219376588</v>
      </c>
      <c r="H32">
        <v>0</v>
      </c>
      <c r="I32">
        <v>-0.6</v>
      </c>
      <c r="J32">
        <v>0.6</v>
      </c>
      <c r="K32">
        <v>0.30612244900000002</v>
      </c>
      <c r="L32">
        <f>1-3/(4*(F32+G32-2)-1)</f>
        <v>0.98145145777541132</v>
      </c>
      <c r="M32">
        <f>L32*H32</f>
        <v>0</v>
      </c>
      <c r="N32">
        <f>L32*K32</f>
        <v>0.30044432382882902</v>
      </c>
    </row>
    <row r="33" spans="1:14" x14ac:dyDescent="0.25">
      <c r="A33" t="s">
        <v>44</v>
      </c>
      <c r="B33">
        <v>2013</v>
      </c>
      <c r="C33" t="s">
        <v>46</v>
      </c>
      <c r="D33" t="s">
        <v>8</v>
      </c>
      <c r="E33">
        <f xml:space="preserve"> ( 2*K33^2 + 4 + (H33^2)/2 + SQRT( MAX( (2*K33^2 + 4 + (H33^2)/2)^2 - 32*K33^2, 0) ) ) / (2*K33^2)</f>
        <v>44.145948855612687</v>
      </c>
      <c r="F33">
        <f>E33/2</f>
        <v>22.072974427806344</v>
      </c>
      <c r="G33">
        <f>E33/2</f>
        <v>22.072974427806344</v>
      </c>
      <c r="H33">
        <v>-0.02</v>
      </c>
      <c r="I33">
        <v>-0.61</v>
      </c>
      <c r="J33">
        <v>0.56999999999999995</v>
      </c>
      <c r="K33">
        <v>0.30102040800000002</v>
      </c>
      <c r="L33">
        <f>1-3/(4*(F33+G33-2)-1)</f>
        <v>0.98209850783939168</v>
      </c>
      <c r="M33">
        <f>L33*H33</f>
        <v>-1.9641970156787834E-2</v>
      </c>
      <c r="N33">
        <f>L33*K33</f>
        <v>0.29563169352600488</v>
      </c>
    </row>
    <row r="34" spans="1:14" x14ac:dyDescent="0.25">
      <c r="A34" t="s">
        <v>47</v>
      </c>
      <c r="B34">
        <v>2012</v>
      </c>
      <c r="C34" t="s">
        <v>48</v>
      </c>
      <c r="D34" t="s">
        <v>8</v>
      </c>
      <c r="E34">
        <f xml:space="preserve"> ( 2*K34^2 + 4 + (H34^2)/2 + SQRT( MAX( (2*K34^2 + 4 + (H34^2)/2)^2 - 32*K34^2, 0) ) ) / (2*K34^2)</f>
        <v>31.816665086968307</v>
      </c>
      <c r="F34">
        <f>E34/2</f>
        <v>15.908332543484153</v>
      </c>
      <c r="G34">
        <f>E34/2</f>
        <v>15.908332543484153</v>
      </c>
      <c r="H34">
        <v>-0.03</v>
      </c>
      <c r="I34">
        <v>-0.73</v>
      </c>
      <c r="J34">
        <v>0.66</v>
      </c>
      <c r="K34">
        <v>0.35459183700000002</v>
      </c>
      <c r="L34">
        <f>1-3/(4*(F34+G34-2)-1)</f>
        <v>0.97463359503704838</v>
      </c>
      <c r="M34">
        <f>L34*H34</f>
        <v>-2.923900785111145E-2</v>
      </c>
      <c r="N34">
        <f>L34*K34</f>
        <v>0.34559711686610112</v>
      </c>
    </row>
    <row r="35" spans="1:14" x14ac:dyDescent="0.25">
      <c r="A35" t="s">
        <v>49</v>
      </c>
      <c r="B35">
        <v>2007</v>
      </c>
      <c r="C35" t="s">
        <v>50</v>
      </c>
      <c r="D35" t="s">
        <v>8</v>
      </c>
      <c r="E35">
        <f xml:space="preserve"> ( 2*K35^2 + 4 + (H35^2)/2 + SQRT( MAX( (2*K35^2 + 4 + (H35^2)/2)^2 - 32*K35^2, 0) ) ) / (2*K35^2)</f>
        <v>22.906862885163211</v>
      </c>
      <c r="F35">
        <f>E35/2</f>
        <v>11.453431442581605</v>
      </c>
      <c r="G35">
        <f>E35/2</f>
        <v>11.453431442581605</v>
      </c>
      <c r="H35">
        <v>0.75</v>
      </c>
      <c r="I35">
        <v>-0.11</v>
      </c>
      <c r="J35">
        <v>1.59</v>
      </c>
      <c r="K35">
        <v>0.43367346899999998</v>
      </c>
      <c r="L35">
        <f>1-3/(4*(F35+G35-2)-1)</f>
        <v>0.96369245397186198</v>
      </c>
      <c r="M35">
        <f>L35*H35</f>
        <v>0.72276934047889652</v>
      </c>
      <c r="N35">
        <f>L35*K35</f>
        <v>0.4179278495631002</v>
      </c>
    </row>
    <row r="36" spans="1:14" x14ac:dyDescent="0.25">
      <c r="A36" t="s">
        <v>49</v>
      </c>
      <c r="B36">
        <v>2009</v>
      </c>
      <c r="C36" t="s">
        <v>51</v>
      </c>
      <c r="D36" t="s">
        <v>8</v>
      </c>
      <c r="E36">
        <f xml:space="preserve"> ( 2*K36^2 + 4 + (H36^2)/2 + SQRT( MAX( (2*K36^2 + 4 + (H36^2)/2)^2 - 32*K36^2, 0) ) ) / (2*K36^2)</f>
        <v>19.818243190273623</v>
      </c>
      <c r="F36">
        <f>E36/2</f>
        <v>9.9091215951368117</v>
      </c>
      <c r="G36">
        <f>E36/2</f>
        <v>9.9091215951368117</v>
      </c>
      <c r="H36">
        <v>0.27</v>
      </c>
      <c r="I36">
        <v>-0.61</v>
      </c>
      <c r="J36">
        <v>1.1599999999999999</v>
      </c>
      <c r="K36">
        <v>0.451530612</v>
      </c>
      <c r="L36">
        <f>1-3/(4*(F36+G36-2)-1)</f>
        <v>0.95730933412765906</v>
      </c>
      <c r="M36">
        <f>L36*H36</f>
        <v>0.25847352021446796</v>
      </c>
      <c r="N36">
        <f>L36*K36</f>
        <v>0.43225446951197438</v>
      </c>
    </row>
    <row r="37" spans="1:14" x14ac:dyDescent="0.25">
      <c r="A37" t="s">
        <v>49</v>
      </c>
      <c r="B37">
        <v>2009</v>
      </c>
      <c r="C37" t="s">
        <v>52</v>
      </c>
      <c r="D37" t="s">
        <v>8</v>
      </c>
      <c r="E37">
        <f xml:space="preserve"> ( 2*K37^2 + 4 + (H37^2)/2 + SQRT( MAX( (2*K37^2 + 4 + (H37^2)/2)^2 - 32*K37^2, 0) ) ) / (2*K37^2)</f>
        <v>19.87634548136764</v>
      </c>
      <c r="F37">
        <f>E37/2</f>
        <v>9.9381727406838198</v>
      </c>
      <c r="G37">
        <f>E37/2</f>
        <v>9.9381727406838198</v>
      </c>
      <c r="H37">
        <v>0.11</v>
      </c>
      <c r="I37">
        <v>-0.77</v>
      </c>
      <c r="J37">
        <v>0.99</v>
      </c>
      <c r="K37">
        <v>0.44897959199999998</v>
      </c>
      <c r="L37">
        <f>1-3/(4*(F37+G37-2)-1)</f>
        <v>0.95745005674643069</v>
      </c>
      <c r="M37">
        <f>L37*H37</f>
        <v>0.10531950624210738</v>
      </c>
      <c r="N37">
        <f>L37*K37</f>
        <v>0.42987553583838928</v>
      </c>
    </row>
    <row r="38" spans="1:14" x14ac:dyDescent="0.25">
      <c r="A38" t="s">
        <v>53</v>
      </c>
      <c r="B38">
        <v>2009</v>
      </c>
      <c r="C38" t="s">
        <v>11</v>
      </c>
      <c r="D38" t="s">
        <v>8</v>
      </c>
      <c r="E38">
        <f xml:space="preserve"> ( 2*K38^2 + 4 + (H38^2)/2 + SQRT( MAX( (2*K38^2 + 4 + (H38^2)/2)^2 - 32*K38^2, 0) ) ) / (2*K38^2)</f>
        <v>37.676080993124273</v>
      </c>
      <c r="F38">
        <f>E38/2</f>
        <v>18.838040496562137</v>
      </c>
      <c r="G38">
        <f>E38/2</f>
        <v>18.838040496562137</v>
      </c>
      <c r="H38">
        <v>0.18</v>
      </c>
      <c r="I38">
        <v>-0.46</v>
      </c>
      <c r="J38">
        <v>0.82</v>
      </c>
      <c r="K38">
        <v>0.326530612</v>
      </c>
      <c r="L38">
        <f>1-3/(4*(F38+G38-2)-1)</f>
        <v>0.97882915696642925</v>
      </c>
      <c r="M38">
        <f>L38*H38</f>
        <v>0.17618924825395726</v>
      </c>
      <c r="N38">
        <f>L38*K38</f>
        <v>0.31961768366769222</v>
      </c>
    </row>
    <row r="39" spans="1:14" x14ac:dyDescent="0.25">
      <c r="A39" t="s">
        <v>54</v>
      </c>
      <c r="B39">
        <v>2006</v>
      </c>
      <c r="C39" t="s">
        <v>55</v>
      </c>
      <c r="D39" t="s">
        <v>8</v>
      </c>
      <c r="E39">
        <f xml:space="preserve"> ( 2*K39^2 + 4 + (H39^2)/2 + SQRT( MAX( (2*K39^2 + 4 + (H39^2)/2)^2 - 32*K39^2, 0) ) ) / (2*K39^2)</f>
        <v>22.701967096878494</v>
      </c>
      <c r="F39">
        <f>E39/2</f>
        <v>11.350983548439247</v>
      </c>
      <c r="G39">
        <f>E39/2</f>
        <v>11.350983548439247</v>
      </c>
      <c r="H39">
        <v>0.36</v>
      </c>
      <c r="I39">
        <v>-0.47</v>
      </c>
      <c r="J39">
        <v>1.19</v>
      </c>
      <c r="K39">
        <v>0.423469388</v>
      </c>
      <c r="L39">
        <f>1-3/(4*(F39+G39-2)-1)</f>
        <v>0.96332871080579485</v>
      </c>
      <c r="M39">
        <f>L39*H39</f>
        <v>0.34679833589008613</v>
      </c>
      <c r="N39">
        <f>L39*K39</f>
        <v>0.40794021960775895</v>
      </c>
    </row>
    <row r="40" spans="1:14" x14ac:dyDescent="0.25">
      <c r="A40" t="s">
        <v>56</v>
      </c>
      <c r="B40">
        <v>2014</v>
      </c>
      <c r="C40" t="s">
        <v>57</v>
      </c>
      <c r="D40" t="s">
        <v>8</v>
      </c>
      <c r="E40">
        <f xml:space="preserve"> ( 2*K40^2 + 4 + (H40^2)/2 + SQRT( MAX( (2*K40^2 + 4 + (H40^2)/2)^2 - 32*K40^2, 0) ) ) / (2*K40^2)</f>
        <v>19.889641991780636</v>
      </c>
      <c r="F40">
        <f>E40/2</f>
        <v>9.9448209958903178</v>
      </c>
      <c r="G40">
        <f>E40/2</f>
        <v>9.9448209958903178</v>
      </c>
      <c r="H40">
        <v>1.1000000000000001</v>
      </c>
      <c r="I40">
        <v>0.15</v>
      </c>
      <c r="J40">
        <v>2.0499999999999998</v>
      </c>
      <c r="K40">
        <v>0.48469387800000002</v>
      </c>
      <c r="L40">
        <f>1-3/(4*(F40+G40-2)-1)</f>
        <v>0.95748213028646101</v>
      </c>
      <c r="M40">
        <f>L40*H40</f>
        <v>1.0532303433151071</v>
      </c>
      <c r="N40">
        <f>L40*K40</f>
        <v>0.46408572684424604</v>
      </c>
    </row>
    <row r="41" spans="1:14" x14ac:dyDescent="0.25">
      <c r="A41" t="s">
        <v>58</v>
      </c>
      <c r="B41">
        <v>2019</v>
      </c>
      <c r="C41" t="s">
        <v>59</v>
      </c>
      <c r="D41" t="s">
        <v>8</v>
      </c>
      <c r="E41">
        <f xml:space="preserve"> ( 2*K41^2 + 4 + (H41^2)/2 + SQRT( MAX( (2*K41^2 + 4 + (H41^2)/2)^2 - 32*K41^2, 0) ) ) / (2*K41^2)</f>
        <v>58.704975896240171</v>
      </c>
      <c r="F41">
        <f>E41/2</f>
        <v>29.352487948120086</v>
      </c>
      <c r="G41">
        <f>E41/2</f>
        <v>29.352487948120086</v>
      </c>
      <c r="H41">
        <v>0.32</v>
      </c>
      <c r="I41">
        <v>-0.2</v>
      </c>
      <c r="J41">
        <v>0.83</v>
      </c>
      <c r="K41">
        <v>0.26275510200000002</v>
      </c>
      <c r="L41">
        <f>1-3/(4*(F41+G41-2)-1)</f>
        <v>0.98671507713724926</v>
      </c>
      <c r="M41">
        <f>L41*H41</f>
        <v>0.31574882468391979</v>
      </c>
      <c r="N41">
        <f>L41*K41</f>
        <v>0.25926442073813583</v>
      </c>
    </row>
    <row r="42" spans="1:14" x14ac:dyDescent="0.25">
      <c r="A42" t="s">
        <v>60</v>
      </c>
      <c r="B42">
        <v>2013</v>
      </c>
      <c r="C42" t="s">
        <v>61</v>
      </c>
      <c r="D42" t="s">
        <v>8</v>
      </c>
      <c r="E42">
        <f xml:space="preserve"> ( 2*K42^2 + 4 + (H42^2)/2 + SQRT( MAX( (2*K42^2 + 4 + (H42^2)/2)^2 - 32*K42^2, 0) ) ) / (2*K42^2)</f>
        <v>30.532177806442782</v>
      </c>
      <c r="F42">
        <f>E42/2</f>
        <v>15.266088903221391</v>
      </c>
      <c r="G42">
        <f>E42/2</f>
        <v>15.266088903221391</v>
      </c>
      <c r="H42">
        <v>0.11</v>
      </c>
      <c r="I42">
        <v>-0.6</v>
      </c>
      <c r="J42">
        <v>0.82</v>
      </c>
      <c r="K42">
        <v>0.36224489799999998</v>
      </c>
      <c r="L42">
        <f>1-3/(4*(F42+G42-2)-1)</f>
        <v>0.97348153295927775</v>
      </c>
      <c r="M42">
        <f>L42*H42</f>
        <v>0.10708296862552055</v>
      </c>
      <c r="N42">
        <f>L42*K42</f>
        <v>0.35263871861171719</v>
      </c>
    </row>
    <row r="43" spans="1:14" x14ac:dyDescent="0.25">
      <c r="A43" t="s">
        <v>60</v>
      </c>
      <c r="B43">
        <v>2013</v>
      </c>
      <c r="C43" t="s">
        <v>62</v>
      </c>
      <c r="D43" t="s">
        <v>8</v>
      </c>
      <c r="E43">
        <f xml:space="preserve"> ( 2*K43^2 + 4 + (H43^2)/2 + SQRT( MAX( (2*K43^2 + 4 + (H43^2)/2)^2 - 32*K43^2, 0) ) ) / (2*K43^2)</f>
        <v>25.596505297314536</v>
      </c>
      <c r="F43">
        <f>E43/2</f>
        <v>12.798252648657268</v>
      </c>
      <c r="G43">
        <f>E43/2</f>
        <v>12.798252648657268</v>
      </c>
      <c r="H43">
        <v>0.06</v>
      </c>
      <c r="I43">
        <v>-0.71</v>
      </c>
      <c r="J43">
        <v>0.84</v>
      </c>
      <c r="K43">
        <v>0.39540816299999998</v>
      </c>
      <c r="L43">
        <f>1-3/(4*(F43+G43-2)-1)</f>
        <v>0.96787527767223169</v>
      </c>
      <c r="M43">
        <f>L43*H43</f>
        <v>5.8072516660333896E-2</v>
      </c>
      <c r="N43">
        <f>L43*K43</f>
        <v>0.38270578555749202</v>
      </c>
    </row>
    <row r="44" spans="1:14" x14ac:dyDescent="0.25">
      <c r="A44" t="s">
        <v>63</v>
      </c>
      <c r="B44">
        <v>2017</v>
      </c>
      <c r="C44" t="s">
        <v>64</v>
      </c>
      <c r="D44" t="s">
        <v>8</v>
      </c>
      <c r="E44">
        <f xml:space="preserve"> ( 2*K44^2 + 4 + (H44^2)/2 + SQRT( MAX( (2*K44^2 + 4 + (H44^2)/2)^2 - 32*K44^2, 0) ) ) / (2*K44^2)</f>
        <v>29.731355875960247</v>
      </c>
      <c r="F44">
        <f>E44/2</f>
        <v>14.865677937980124</v>
      </c>
      <c r="G44">
        <f>E44/2</f>
        <v>14.865677937980124</v>
      </c>
      <c r="H44">
        <v>0.15</v>
      </c>
      <c r="I44">
        <v>-0.56999999999999995</v>
      </c>
      <c r="J44">
        <v>0.87</v>
      </c>
      <c r="K44">
        <v>0.36734693899999998</v>
      </c>
      <c r="L44">
        <f>1-3/(4*(F44+G44-2)-1)</f>
        <v>0.97270877014273982</v>
      </c>
      <c r="M44">
        <f>L44*H44</f>
        <v>0.14590631552141098</v>
      </c>
      <c r="N44">
        <f>L44*K44</f>
        <v>0.35732158925039004</v>
      </c>
    </row>
    <row r="45" spans="1:14" x14ac:dyDescent="0.25">
      <c r="A45" t="s">
        <v>63</v>
      </c>
      <c r="B45">
        <v>2017</v>
      </c>
      <c r="C45" t="s">
        <v>65</v>
      </c>
      <c r="D45" t="s">
        <v>8</v>
      </c>
      <c r="E45">
        <f xml:space="preserve"> ( 2*K45^2 + 4 + (H45^2)/2 + SQRT( MAX( (2*K45^2 + 4 + (H45^2)/2)^2 - 32*K45^2, 0) ) ) / (2*K45^2)</f>
        <v>31.864185391603794</v>
      </c>
      <c r="F45">
        <f>E45/2</f>
        <v>15.932092695801897</v>
      </c>
      <c r="G45">
        <f>E45/2</f>
        <v>15.932092695801897</v>
      </c>
      <c r="H45">
        <v>0.11</v>
      </c>
      <c r="I45">
        <v>-0.57999999999999996</v>
      </c>
      <c r="J45">
        <v>0.81</v>
      </c>
      <c r="K45">
        <v>0.35459183700000002</v>
      </c>
      <c r="L45">
        <f>1-3/(4*(F45+G45-2)-1)</f>
        <v>0.97467429915486925</v>
      </c>
      <c r="M45">
        <f>L45*H45</f>
        <v>0.10721417290703562</v>
      </c>
      <c r="N45">
        <f>L45*K45</f>
        <v>0.34561155021401263</v>
      </c>
    </row>
    <row r="46" spans="1:14" x14ac:dyDescent="0.25">
      <c r="A46" t="s">
        <v>63</v>
      </c>
      <c r="B46">
        <v>2017</v>
      </c>
      <c r="C46" t="s">
        <v>66</v>
      </c>
      <c r="D46" t="s">
        <v>8</v>
      </c>
      <c r="E46">
        <f xml:space="preserve"> ( 2*K46^2 + 4 + (H46^2)/2 + SQRT( MAX( (2*K46^2 + 4 + (H46^2)/2)^2 - 32*K46^2, 0) ) ) / (2*K46^2)</f>
        <v>29.29100887769043</v>
      </c>
      <c r="F46">
        <f>E46/2</f>
        <v>14.645504438845215</v>
      </c>
      <c r="G46">
        <f>E46/2</f>
        <v>14.645504438845215</v>
      </c>
      <c r="H46">
        <v>0.12</v>
      </c>
      <c r="I46">
        <v>-0.61</v>
      </c>
      <c r="J46">
        <v>0.84</v>
      </c>
      <c r="K46">
        <v>0.369897959</v>
      </c>
      <c r="L46">
        <f>1-3/(4*(F46+G46-2)-1)</f>
        <v>0.97226434844231091</v>
      </c>
      <c r="M46">
        <f>L46*H46</f>
        <v>0.11667172181307731</v>
      </c>
      <c r="N46">
        <f>L46*K46</f>
        <v>0.35963859809727561</v>
      </c>
    </row>
    <row r="47" spans="1:14" x14ac:dyDescent="0.25">
      <c r="A47" t="s">
        <v>67</v>
      </c>
      <c r="B47">
        <v>2007</v>
      </c>
      <c r="C47" t="s">
        <v>68</v>
      </c>
      <c r="D47" t="s">
        <v>8</v>
      </c>
      <c r="E47">
        <f xml:space="preserve"> ( 2*K47^2 + 4 + (H47^2)/2 + SQRT( MAX( (2*K47^2 + 4 + (H47^2)/2)^2 - 32*K47^2, 0) ) ) / (2*K47^2)</f>
        <v>26.603878121944305</v>
      </c>
      <c r="F47">
        <f>E47/2</f>
        <v>13.301939060972153</v>
      </c>
      <c r="G47">
        <f>E47/2</f>
        <v>13.301939060972153</v>
      </c>
      <c r="H47">
        <v>0</v>
      </c>
      <c r="I47">
        <v>-0.76</v>
      </c>
      <c r="J47">
        <v>0.76</v>
      </c>
      <c r="K47">
        <v>0.38775510200000002</v>
      </c>
      <c r="L47">
        <f>1-3/(4*(F47+G47-2)-1)</f>
        <v>0.96920408338069963</v>
      </c>
      <c r="M47">
        <f>L47*H47</f>
        <v>0</v>
      </c>
      <c r="N47">
        <f>L47*K47</f>
        <v>0.37581382821009973</v>
      </c>
    </row>
    <row r="48" spans="1:14" x14ac:dyDescent="0.25">
      <c r="A48" t="s">
        <v>67</v>
      </c>
      <c r="B48">
        <v>2007</v>
      </c>
      <c r="C48" t="s">
        <v>125</v>
      </c>
      <c r="D48" t="s">
        <v>123</v>
      </c>
      <c r="E48">
        <f xml:space="preserve"> ( 2*K48^2 + 4 + (H48^2)/2 + SQRT( MAX( (2*K48^2 + 4 + (H48^2)/2)^2 - 32*K48^2, 0) ) ) / (2*K48^2)</f>
        <v>22.666348241799056</v>
      </c>
      <c r="F48">
        <f>E48/2</f>
        <v>11.333174120899528</v>
      </c>
      <c r="G48">
        <f>E48/2</f>
        <v>11.333174120899528</v>
      </c>
      <c r="H48">
        <v>-0.17</v>
      </c>
      <c r="I48">
        <v>-1</v>
      </c>
      <c r="J48">
        <v>0.65</v>
      </c>
      <c r="K48">
        <v>0.42091836700000002</v>
      </c>
      <c r="L48">
        <f>1-3/(4*(F48+G48-2)-1)</f>
        <v>0.96326473318747075</v>
      </c>
      <c r="M48">
        <f>L48*H48</f>
        <v>-0.16375500464187004</v>
      </c>
      <c r="N48">
        <f>L48*K48</f>
        <v>0.40545581848196088</v>
      </c>
    </row>
    <row r="49" spans="1:14" x14ac:dyDescent="0.25">
      <c r="A49" t="s">
        <v>69</v>
      </c>
      <c r="B49">
        <v>2017</v>
      </c>
      <c r="C49" t="s">
        <v>70</v>
      </c>
      <c r="D49" t="s">
        <v>8</v>
      </c>
      <c r="E49">
        <f xml:space="preserve"> ( 2*K49^2 + 4 + (H49^2)/2 + SQRT( MAX( (2*K49^2 + 4 + (H49^2)/2)^2 - 32*K49^2, 0) ) ) / (2*K49^2)</f>
        <v>31.544574478430661</v>
      </c>
      <c r="F49">
        <f>E49/2</f>
        <v>15.772287239215331</v>
      </c>
      <c r="G49">
        <f>E49/2</f>
        <v>15.772287239215331</v>
      </c>
      <c r="H49">
        <v>0.21</v>
      </c>
      <c r="I49">
        <v>-0.49</v>
      </c>
      <c r="J49">
        <v>0.91</v>
      </c>
      <c r="K49">
        <v>0.35714285699999998</v>
      </c>
      <c r="L49">
        <f>1-3/(4*(F49+G49-2)-1)</f>
        <v>0.97439798961571478</v>
      </c>
      <c r="M49">
        <f>L49*H49</f>
        <v>0.2046235778193001</v>
      </c>
      <c r="N49">
        <f>L49*K49</f>
        <v>0.34799928186641271</v>
      </c>
    </row>
    <row r="50" spans="1:14" x14ac:dyDescent="0.25">
      <c r="A50" t="s">
        <v>69</v>
      </c>
      <c r="B50">
        <v>2017</v>
      </c>
      <c r="C50" t="s">
        <v>64</v>
      </c>
      <c r="D50" t="s">
        <v>8</v>
      </c>
      <c r="E50">
        <f xml:space="preserve"> ( 2*K50^2 + 4 + (H50^2)/2 + SQRT( MAX( (2*K50^2 + 4 + (H50^2)/2)^2 - 32*K50^2, 0) ) ) / (2*K50^2)</f>
        <v>33.754660927771873</v>
      </c>
      <c r="F50">
        <f>E50/2</f>
        <v>16.877330463885936</v>
      </c>
      <c r="G50">
        <f>E50/2</f>
        <v>16.877330463885936</v>
      </c>
      <c r="H50">
        <v>0.08</v>
      </c>
      <c r="I50">
        <v>-0.6</v>
      </c>
      <c r="J50">
        <v>0.75</v>
      </c>
      <c r="K50">
        <v>0.34438775500000002</v>
      </c>
      <c r="L50">
        <f>1-3/(4*(F50+G50-2)-1)</f>
        <v>0.97619399866834111</v>
      </c>
      <c r="M50">
        <f>L50*H50</f>
        <v>7.8095519893467288E-2</v>
      </c>
      <c r="N50">
        <f>L50*K50</f>
        <v>0.33618925964586299</v>
      </c>
    </row>
    <row r="51" spans="1:14" x14ac:dyDescent="0.25">
      <c r="A51" t="s">
        <v>69</v>
      </c>
      <c r="B51">
        <v>2017</v>
      </c>
      <c r="C51" t="s">
        <v>66</v>
      </c>
      <c r="D51" t="s">
        <v>8</v>
      </c>
      <c r="E51">
        <f xml:space="preserve"> ( 2*K51^2 + 4 + (H51^2)/2 + SQRT( MAX( (2*K51^2 + 4 + (H51^2)/2)^2 - 32*K51^2, 0) ) ) / (2*K51^2)</f>
        <v>32.279443253323286</v>
      </c>
      <c r="F51">
        <f>E51/2</f>
        <v>16.139721626661643</v>
      </c>
      <c r="G51">
        <f>E51/2</f>
        <v>16.139721626661643</v>
      </c>
      <c r="H51">
        <v>0.03</v>
      </c>
      <c r="I51">
        <v>-0.65</v>
      </c>
      <c r="J51">
        <v>0.73</v>
      </c>
      <c r="K51">
        <v>0.35204081599999998</v>
      </c>
      <c r="L51">
        <f>1-3/(4*(F51+G51-2)-1)</f>
        <v>0.97502451198734763</v>
      </c>
      <c r="M51">
        <f>L51*H51</f>
        <v>2.9250735359620427E-2</v>
      </c>
      <c r="N51">
        <f>L51*K51</f>
        <v>0.3432484248200276</v>
      </c>
    </row>
    <row r="52" spans="1:14" x14ac:dyDescent="0.25">
      <c r="A52" t="s">
        <v>71</v>
      </c>
      <c r="B52">
        <v>2018</v>
      </c>
      <c r="C52" t="s">
        <v>72</v>
      </c>
      <c r="D52" t="s">
        <v>8</v>
      </c>
      <c r="E52">
        <f xml:space="preserve"> ( 2*K52^2 + 4 + (H52^2)/2 + SQRT( MAX( (2*K52^2 + 4 + (H52^2)/2)^2 - 32*K52^2, 0) ) ) / (2*K52^2)</f>
        <v>45.994737097797817</v>
      </c>
      <c r="F52">
        <f>E52/2</f>
        <v>22.997368548898908</v>
      </c>
      <c r="G52">
        <f>E52/2</f>
        <v>22.997368548898908</v>
      </c>
      <c r="H52">
        <v>0.23</v>
      </c>
      <c r="I52">
        <v>-0.35</v>
      </c>
      <c r="J52">
        <v>0.81</v>
      </c>
      <c r="K52">
        <v>0.29591836700000002</v>
      </c>
      <c r="L52">
        <f>1-3/(4*(F52+G52-2)-1)</f>
        <v>0.98285508041062708</v>
      </c>
      <c r="M52">
        <f>L52*H52</f>
        <v>0.22605666849444425</v>
      </c>
      <c r="N52">
        <f>L52*K52</f>
        <v>0.29084487039276646</v>
      </c>
    </row>
    <row r="53" spans="1:14" x14ac:dyDescent="0.25">
      <c r="A53" t="s">
        <v>71</v>
      </c>
      <c r="B53">
        <v>2018</v>
      </c>
      <c r="C53" t="s">
        <v>73</v>
      </c>
      <c r="D53" t="s">
        <v>8</v>
      </c>
      <c r="E53">
        <f xml:space="preserve"> ( 2*K53^2 + 4 + (H53^2)/2 + SQRT( MAX( (2*K53^2 + 4 + (H53^2)/2)^2 - 32*K53^2, 0) ) ) / (2*K53^2)</f>
        <v>47.542647024935654</v>
      </c>
      <c r="F53">
        <f>E53/2</f>
        <v>23.771323512467827</v>
      </c>
      <c r="G53">
        <f>E53/2</f>
        <v>23.771323512467827</v>
      </c>
      <c r="H53">
        <v>0.2</v>
      </c>
      <c r="I53">
        <v>-0.37</v>
      </c>
      <c r="J53">
        <v>0.77</v>
      </c>
      <c r="K53">
        <v>0.29081632699999999</v>
      </c>
      <c r="L53">
        <f>1-3/(4*(F53+G53-2)-1)</f>
        <v>0.98344102079997464</v>
      </c>
      <c r="M53">
        <f>L53*H53</f>
        <v>0.19668820415999494</v>
      </c>
      <c r="N53">
        <f>L53*K53</f>
        <v>0.2860007054901792</v>
      </c>
    </row>
    <row r="54" spans="1:14" x14ac:dyDescent="0.25">
      <c r="A54" t="s">
        <v>74</v>
      </c>
      <c r="B54">
        <v>2019</v>
      </c>
      <c r="C54" t="s">
        <v>37</v>
      </c>
      <c r="D54" t="s">
        <v>8</v>
      </c>
      <c r="E54">
        <f xml:space="preserve"> ( 2*K54^2 + 4 + (H54^2)/2 + SQRT( MAX( (2*K54^2 + 4 + (H54^2)/2)^2 - 32*K54^2, 0) ) ) / (2*K54^2)</f>
        <v>31.642870995272524</v>
      </c>
      <c r="F54">
        <f>E54/2</f>
        <v>15.821435497636262</v>
      </c>
      <c r="G54">
        <f>E54/2</f>
        <v>15.821435497636262</v>
      </c>
      <c r="H54">
        <v>0.26</v>
      </c>
      <c r="I54">
        <v>-0.42</v>
      </c>
      <c r="J54">
        <v>0.98</v>
      </c>
      <c r="K54">
        <v>0.35714285699999998</v>
      </c>
      <c r="L54">
        <f>1-3/(4*(F54+G54-2)-1)</f>
        <v>0.97448360862330774</v>
      </c>
      <c r="M54">
        <f>L54*H54</f>
        <v>0.25336573824206005</v>
      </c>
      <c r="N54">
        <f>L54*K54</f>
        <v>0.34802986008339792</v>
      </c>
    </row>
    <row r="55" spans="1:14" x14ac:dyDescent="0.25">
      <c r="A55" t="s">
        <v>75</v>
      </c>
      <c r="B55">
        <v>2017</v>
      </c>
      <c r="C55" t="s">
        <v>14</v>
      </c>
      <c r="D55" t="s">
        <v>8</v>
      </c>
      <c r="E55">
        <f xml:space="preserve"> ( 2*K55^2 + 4 + (H55^2)/2 + SQRT( MAX( (2*K55^2 + 4 + (H55^2)/2)^2 - 32*K55^2, 0) ) ) / (2*K55^2)</f>
        <v>18.032240787597363</v>
      </c>
      <c r="F55">
        <f>E55/2</f>
        <v>9.0161203937986816</v>
      </c>
      <c r="G55">
        <f>E55/2</f>
        <v>9.0161203937986816</v>
      </c>
      <c r="H55">
        <v>0.17</v>
      </c>
      <c r="I55">
        <v>-0.75</v>
      </c>
      <c r="J55">
        <v>1.1000000000000001</v>
      </c>
      <c r="K55">
        <v>0.471938776</v>
      </c>
      <c r="L55">
        <f>1-3/(4*(F55+G55-2)-1)</f>
        <v>0.95247823106403273</v>
      </c>
      <c r="M55">
        <f>L55*H55</f>
        <v>0.16192129928088558</v>
      </c>
      <c r="N55">
        <f>L55*K55</f>
        <v>0.44951141053500476</v>
      </c>
    </row>
    <row r="56" spans="1:14" x14ac:dyDescent="0.25">
      <c r="A56" t="s">
        <v>76</v>
      </c>
      <c r="B56">
        <v>2017</v>
      </c>
      <c r="C56" t="s">
        <v>14</v>
      </c>
      <c r="D56" t="s">
        <v>8</v>
      </c>
      <c r="E56">
        <f xml:space="preserve"> ( 2*K56^2 + 4 + (H56^2)/2 + SQRT( MAX( (2*K56^2 + 4 + (H56^2)/2)^2 - 32*K56^2, 0) ) ) / (2*K56^2)</f>
        <v>17.847714080212171</v>
      </c>
      <c r="F56">
        <f>E56/2</f>
        <v>8.9238570401060855</v>
      </c>
      <c r="G56">
        <f>E56/2</f>
        <v>8.9238570401060855</v>
      </c>
      <c r="H56">
        <v>0.18</v>
      </c>
      <c r="I56">
        <v>-0.75</v>
      </c>
      <c r="J56">
        <v>1.1100000000000001</v>
      </c>
      <c r="K56">
        <v>0.47448979600000002</v>
      </c>
      <c r="L56">
        <f>1-3/(4*(F56+G56-2)-1)</f>
        <v>0.95191603101947631</v>
      </c>
      <c r="M56">
        <f>L56*H56</f>
        <v>0.17134488558350572</v>
      </c>
      <c r="N56">
        <f>L56*K56</f>
        <v>0.45167444336756102</v>
      </c>
    </row>
    <row r="57" spans="1:14" x14ac:dyDescent="0.25">
      <c r="A57" t="s">
        <v>76</v>
      </c>
      <c r="B57">
        <v>2017</v>
      </c>
      <c r="C57" t="s">
        <v>77</v>
      </c>
      <c r="D57" t="s">
        <v>8</v>
      </c>
      <c r="E57">
        <f xml:space="preserve"> ( 2*K57^2 + 4 + (H57^2)/2 + SQRT( MAX( (2*K57^2 + 4 + (H57^2)/2)^2 - 32*K57^2, 0) ) ) / (2*K57^2)</f>
        <v>19.852870088086924</v>
      </c>
      <c r="F57">
        <f>E57/2</f>
        <v>9.9264350440434619</v>
      </c>
      <c r="G57">
        <f>E57/2</f>
        <v>9.9264350440434619</v>
      </c>
      <c r="H57">
        <v>0.41</v>
      </c>
      <c r="I57">
        <v>-0.48</v>
      </c>
      <c r="J57">
        <v>1.3</v>
      </c>
      <c r="K57">
        <v>0.45408163299999998</v>
      </c>
      <c r="L57">
        <f>1-3/(4*(F57+G57-2)-1)</f>
        <v>0.9573933116448109</v>
      </c>
      <c r="M57">
        <f>L57*H57</f>
        <v>0.39253125777437242</v>
      </c>
      <c r="N57">
        <f>L57*K57</f>
        <v>0.43473471837495364</v>
      </c>
    </row>
    <row r="58" spans="1:14" x14ac:dyDescent="0.25">
      <c r="A58" t="s">
        <v>76</v>
      </c>
      <c r="B58">
        <v>2017</v>
      </c>
      <c r="C58" t="s">
        <v>14</v>
      </c>
      <c r="D58" t="s">
        <v>8</v>
      </c>
      <c r="E58">
        <f xml:space="preserve"> ( 2*K58^2 + 4 + (H58^2)/2 + SQRT( MAX( (2*K58^2 + 4 + (H58^2)/2)^2 - 32*K58^2, 0) ) ) / (2*K58^2)</f>
        <v>19.93230229042674</v>
      </c>
      <c r="F58">
        <f>E58/2</f>
        <v>9.9661511452133702</v>
      </c>
      <c r="G58">
        <f>E58/2</f>
        <v>9.9661511452133702</v>
      </c>
      <c r="H58">
        <v>0.18</v>
      </c>
      <c r="I58">
        <v>-0.7</v>
      </c>
      <c r="J58">
        <v>1.06</v>
      </c>
      <c r="K58">
        <v>0.44897959199999998</v>
      </c>
      <c r="L58">
        <f>1-3/(4*(F58+G58-2)-1)</f>
        <v>0.95758470884156</v>
      </c>
      <c r="M58">
        <f>L58*H58</f>
        <v>0.17236524759148078</v>
      </c>
      <c r="N58">
        <f>L58*K58</f>
        <v>0.42993599188112236</v>
      </c>
    </row>
    <row r="59" spans="1:14" x14ac:dyDescent="0.25">
      <c r="A59" t="s">
        <v>78</v>
      </c>
      <c r="B59">
        <v>2019</v>
      </c>
      <c r="C59" t="s">
        <v>11</v>
      </c>
      <c r="D59" t="s">
        <v>8</v>
      </c>
      <c r="E59">
        <f xml:space="preserve"> ( 2*K59^2 + 4 + (H59^2)/2 + SQRT( MAX( (2*K59^2 + 4 + (H59^2)/2)^2 - 32*K59^2, 0) ) ) / (2*K59^2)</f>
        <v>48.435987842410171</v>
      </c>
      <c r="F59">
        <f>E59/2</f>
        <v>24.217993921205085</v>
      </c>
      <c r="G59">
        <f>E59/2</f>
        <v>24.217993921205085</v>
      </c>
      <c r="H59">
        <v>-0.43</v>
      </c>
      <c r="I59">
        <v>-1</v>
      </c>
      <c r="J59">
        <v>0.14000000000000001</v>
      </c>
      <c r="K59">
        <v>0.29081632699999999</v>
      </c>
      <c r="L59">
        <f>1-3/(4*(F59+G59-2)-1)</f>
        <v>0.98376130867744882</v>
      </c>
      <c r="M59">
        <f>L59*H59</f>
        <v>-0.42301736273130297</v>
      </c>
      <c r="N59">
        <f>L59*K59</f>
        <v>0.28609385043428887</v>
      </c>
    </row>
    <row r="60" spans="1:14" x14ac:dyDescent="0.25">
      <c r="A60" t="s">
        <v>79</v>
      </c>
      <c r="B60">
        <v>2020</v>
      </c>
      <c r="C60" t="s">
        <v>80</v>
      </c>
      <c r="D60" t="s">
        <v>8</v>
      </c>
      <c r="E60">
        <f xml:space="preserve"> ( 2*K60^2 + 4 + (H60^2)/2 + SQRT( MAX( (2*K60^2 + 4 + (H60^2)/2)^2 - 32*K60^2, 0) ) ) / (2*K60^2)</f>
        <v>119.30673247924709</v>
      </c>
      <c r="F60">
        <f>E60/2</f>
        <v>59.653366239623544</v>
      </c>
      <c r="G60">
        <f>E60/2</f>
        <v>59.653366239623544</v>
      </c>
      <c r="H60">
        <v>0.52</v>
      </c>
      <c r="I60">
        <v>0.16</v>
      </c>
      <c r="J60">
        <v>0.89</v>
      </c>
      <c r="K60">
        <v>0.18622448999999999</v>
      </c>
      <c r="L60">
        <f>1-3/(4*(F60+G60-2)-1)</f>
        <v>0.99359285037165235</v>
      </c>
      <c r="M60">
        <f>L60*H60</f>
        <v>0.51666828219325922</v>
      </c>
      <c r="N60">
        <f>L60*K60</f>
        <v>0.18503132182810725</v>
      </c>
    </row>
    <row r="61" spans="1:14" x14ac:dyDescent="0.25">
      <c r="A61" t="s">
        <v>81</v>
      </c>
      <c r="B61">
        <v>2013</v>
      </c>
      <c r="C61" t="s">
        <v>82</v>
      </c>
      <c r="D61" t="s">
        <v>8</v>
      </c>
      <c r="E61">
        <f xml:space="preserve"> ( 2*K61^2 + 4 + (H61^2)/2 + SQRT( MAX( (2*K61^2 + 4 + (H61^2)/2)^2 - 32*K61^2, 0) ) ) / (2*K61^2)</f>
        <v>27.777721843541602</v>
      </c>
      <c r="F61">
        <f>E61/2</f>
        <v>13.888860921770801</v>
      </c>
      <c r="G61">
        <f>E61/2</f>
        <v>13.888860921770801</v>
      </c>
      <c r="H61">
        <v>0.73</v>
      </c>
      <c r="I61">
        <v>-0.04</v>
      </c>
      <c r="J61">
        <v>1.5</v>
      </c>
      <c r="K61">
        <v>0.39285714300000002</v>
      </c>
      <c r="L61">
        <f>1-3/(4*(F61+G61-2)-1)</f>
        <v>0.97062017501613651</v>
      </c>
      <c r="M61">
        <f>L61*H61</f>
        <v>0.70855272776177969</v>
      </c>
      <c r="N61">
        <f>L61*K61</f>
        <v>0.38131506889499939</v>
      </c>
    </row>
    <row r="62" spans="1:14" x14ac:dyDescent="0.25">
      <c r="A62" t="s">
        <v>126</v>
      </c>
      <c r="B62">
        <v>2016</v>
      </c>
      <c r="C62" t="s">
        <v>112</v>
      </c>
      <c r="D62" t="s">
        <v>123</v>
      </c>
      <c r="E62">
        <f xml:space="preserve"> ( 2*K62^2 + 4 + (H62^2)/2 + SQRT( MAX( (2*K62^2 + 4 + (H62^2)/2)^2 - 32*K62^2, 0) ) ) / (2*K62^2)</f>
        <v>62.107390449393513</v>
      </c>
      <c r="F62">
        <f>E62/2</f>
        <v>31.053695224696757</v>
      </c>
      <c r="G62">
        <f>E62/2</f>
        <v>31.053695224696757</v>
      </c>
      <c r="H62">
        <v>0.63</v>
      </c>
      <c r="I62">
        <v>0.12</v>
      </c>
      <c r="J62">
        <v>1.1399999999999999</v>
      </c>
      <c r="K62">
        <v>0.260204082</v>
      </c>
      <c r="L62">
        <f>1-3/(4*(F62+G62-2)-1)</f>
        <v>0.9874702188924509</v>
      </c>
      <c r="M62">
        <f>L62*H62</f>
        <v>0.62210623790224406</v>
      </c>
      <c r="N62">
        <f>L62*K62</f>
        <v>0.25694378180924926</v>
      </c>
    </row>
    <row r="63" spans="1:14" x14ac:dyDescent="0.25">
      <c r="A63" t="s">
        <v>83</v>
      </c>
      <c r="B63">
        <v>2020</v>
      </c>
      <c r="C63" t="s">
        <v>84</v>
      </c>
      <c r="D63" t="s">
        <v>8</v>
      </c>
      <c r="E63">
        <f xml:space="preserve"> ( 2*K63^2 + 4 + (H63^2)/2 + SQRT( MAX( (2*K63^2 + 4 + (H63^2)/2)^2 - 32*K63^2, 0) ) ) / (2*K63^2)</f>
        <v>21.802054775786242</v>
      </c>
      <c r="F63">
        <f>E63/2</f>
        <v>10.901027387893121</v>
      </c>
      <c r="G63">
        <f>E63/2</f>
        <v>10.901027387893121</v>
      </c>
      <c r="H63">
        <v>0.09</v>
      </c>
      <c r="I63">
        <v>-0.75</v>
      </c>
      <c r="J63">
        <v>0.93</v>
      </c>
      <c r="K63">
        <v>0.428571429</v>
      </c>
      <c r="L63">
        <f>1-3/(4*(F63+G63-2)-1)</f>
        <v>0.96164086032897067</v>
      </c>
      <c r="M63">
        <f>L63*H63</f>
        <v>8.6547677429607353E-2</v>
      </c>
      <c r="N63">
        <f>L63*K63</f>
        <v>0.41213179769597635</v>
      </c>
    </row>
    <row r="64" spans="1:14" x14ac:dyDescent="0.25">
      <c r="A64" t="s">
        <v>85</v>
      </c>
      <c r="B64">
        <v>2019</v>
      </c>
      <c r="C64" t="s">
        <v>59</v>
      </c>
      <c r="D64" t="s">
        <v>8</v>
      </c>
      <c r="E64">
        <f xml:space="preserve"> ( 2*K64^2 + 4 + (H64^2)/2 + SQRT( MAX( (2*K64^2 + 4 + (H64^2)/2)^2 - 32*K64^2, 0) ) ) / (2*K64^2)</f>
        <v>26.777417077370252</v>
      </c>
      <c r="F64">
        <f>E64/2</f>
        <v>13.388708538685126</v>
      </c>
      <c r="G64">
        <f>E64/2</f>
        <v>13.388708538685126</v>
      </c>
      <c r="H64">
        <v>1.03</v>
      </c>
      <c r="I64">
        <v>0.22</v>
      </c>
      <c r="J64">
        <v>1.84</v>
      </c>
      <c r="K64">
        <v>0.413265306</v>
      </c>
      <c r="L64">
        <f>1-3/(4*(F64+G64-2)-1)</f>
        <v>0.96942197388195539</v>
      </c>
      <c r="M64">
        <f>L64*H64</f>
        <v>0.99850463309841408</v>
      </c>
      <c r="N64">
        <f>L64*K64</f>
        <v>0.40062846867945029</v>
      </c>
    </row>
    <row r="65" spans="1:14" x14ac:dyDescent="0.25">
      <c r="A65" t="s">
        <v>86</v>
      </c>
      <c r="B65">
        <v>2018</v>
      </c>
      <c r="C65" t="s">
        <v>37</v>
      </c>
      <c r="D65" t="s">
        <v>8</v>
      </c>
      <c r="E65">
        <f xml:space="preserve"> ( 2*K65^2 + 4 + (H65^2)/2 + SQRT( MAX( (2*K65^2 + 4 + (H65^2)/2)^2 - 32*K65^2, 0) ) ) / (2*K65^2)</f>
        <v>52.466508999827738</v>
      </c>
      <c r="F65">
        <f>E65/2</f>
        <v>26.233254499913869</v>
      </c>
      <c r="G65">
        <f>E65/2</f>
        <v>26.233254499913869</v>
      </c>
      <c r="H65">
        <v>0.33</v>
      </c>
      <c r="I65">
        <v>-0.22</v>
      </c>
      <c r="J65">
        <v>0.87</v>
      </c>
      <c r="K65">
        <v>0.278061224</v>
      </c>
      <c r="L65">
        <f>1-3/(4*(F65+G65-2)-1)</f>
        <v>0.9850646726557083</v>
      </c>
      <c r="M65">
        <f>L65*H65</f>
        <v>0.32507134197638377</v>
      </c>
      <c r="N65">
        <f>L65*K65</f>
        <v>0.27390828859780558</v>
      </c>
    </row>
    <row r="66" spans="1:14" x14ac:dyDescent="0.25">
      <c r="A66" t="s">
        <v>87</v>
      </c>
      <c r="B66">
        <v>2018</v>
      </c>
      <c r="C66" t="s">
        <v>88</v>
      </c>
      <c r="D66" t="s">
        <v>8</v>
      </c>
      <c r="E66">
        <f xml:space="preserve"> ( 2*K66^2 + 4 + (H66^2)/2 + SQRT( MAX( (2*K66^2 + 4 + (H66^2)/2)^2 - 32*K66^2, 0) ) ) / (2*K66^2)</f>
        <v>34.213578921532211</v>
      </c>
      <c r="F66">
        <f>E66/2</f>
        <v>17.106789460766105</v>
      </c>
      <c r="G66">
        <f>E66/2</f>
        <v>17.106789460766105</v>
      </c>
      <c r="H66">
        <v>-0.33</v>
      </c>
      <c r="I66">
        <v>-1</v>
      </c>
      <c r="J66">
        <v>0.35</v>
      </c>
      <c r="K66">
        <v>0.34438775500000002</v>
      </c>
      <c r="L66">
        <f>1-3/(4*(F66+G66-2)-1)</f>
        <v>0.97653579400976387</v>
      </c>
      <c r="M66">
        <f>L66*H66</f>
        <v>-0.32225681202322209</v>
      </c>
      <c r="N66">
        <f>L66*K66</f>
        <v>0.33630696977616503</v>
      </c>
    </row>
    <row r="67" spans="1:14" x14ac:dyDescent="0.25">
      <c r="A67" t="s">
        <v>127</v>
      </c>
      <c r="B67">
        <v>2017</v>
      </c>
      <c r="C67" t="s">
        <v>114</v>
      </c>
      <c r="D67" t="s">
        <v>123</v>
      </c>
      <c r="E67">
        <f xml:space="preserve"> ( 2*K67^2 + 4 + (H67^2)/2 + SQRT( MAX( (2*K67^2 + 4 + (H67^2)/2)^2 - 32*K67^2, 0) ) ) / (2*K67^2)</f>
        <v>37.151437558289437</v>
      </c>
      <c r="F67">
        <f>E67/2</f>
        <v>18.575718779144719</v>
      </c>
      <c r="G67">
        <f>E67/2</f>
        <v>18.575718779144719</v>
      </c>
      <c r="H67">
        <v>-0.21</v>
      </c>
      <c r="I67">
        <v>-0.86</v>
      </c>
      <c r="J67">
        <v>0.43</v>
      </c>
      <c r="K67">
        <v>0.32908163299999998</v>
      </c>
      <c r="L67">
        <f>1-3/(4*(F67+G67-2)-1)</f>
        <v>0.97851091380555844</v>
      </c>
      <c r="M67">
        <f>L67*H67</f>
        <v>-0.20548729189916726</v>
      </c>
      <c r="N67">
        <f>L67*K67</f>
        <v>0.32200996942345539</v>
      </c>
    </row>
    <row r="68" spans="1:14" x14ac:dyDescent="0.25">
      <c r="A68" t="s">
        <v>89</v>
      </c>
      <c r="B68">
        <v>2020</v>
      </c>
      <c r="C68" t="s">
        <v>50</v>
      </c>
      <c r="D68" t="s">
        <v>8</v>
      </c>
      <c r="E68">
        <f xml:space="preserve"> ( 2*K68^2 + 4 + (H68^2)/2 + SQRT( MAX( (2*K68^2 + 4 + (H68^2)/2)^2 - 32*K68^2, 0) ) ) / (2*K68^2)</f>
        <v>21.874026276811126</v>
      </c>
      <c r="F68">
        <f>E68/2</f>
        <v>10.937013138405563</v>
      </c>
      <c r="G68">
        <f>E68/2</f>
        <v>10.937013138405563</v>
      </c>
      <c r="H68">
        <v>1.1399999999999999</v>
      </c>
      <c r="I68">
        <v>0.23</v>
      </c>
      <c r="J68">
        <v>2.0499999999999998</v>
      </c>
      <c r="K68">
        <v>0.46428571400000002</v>
      </c>
      <c r="L68">
        <f>1-3/(4*(F68+G68-2)-1)</f>
        <v>0.96178154322559983</v>
      </c>
      <c r="M68">
        <f>L68*H68</f>
        <v>1.0964309592771837</v>
      </c>
      <c r="N68">
        <f>L68*K68</f>
        <v>0.44654143050851952</v>
      </c>
    </row>
    <row r="69" spans="1:14" x14ac:dyDescent="0.25">
      <c r="A69" t="s">
        <v>90</v>
      </c>
      <c r="B69">
        <v>2015</v>
      </c>
      <c r="C69" t="s">
        <v>11</v>
      </c>
      <c r="D69" t="s">
        <v>8</v>
      </c>
      <c r="E69">
        <f xml:space="preserve"> ( 2*K69^2 + 4 + (H69^2)/2 + SQRT( MAX( (2*K69^2 + 4 + (H69^2)/2)^2 - 32*K69^2, 0) ) ) / (2*K69^2)</f>
        <v>19.818243190273623</v>
      </c>
      <c r="F69">
        <f>E69/2</f>
        <v>9.9091215951368117</v>
      </c>
      <c r="G69">
        <f>E69/2</f>
        <v>9.9091215951368117</v>
      </c>
      <c r="H69">
        <v>0.27</v>
      </c>
      <c r="I69">
        <v>-0.62</v>
      </c>
      <c r="J69">
        <v>1.1499999999999999</v>
      </c>
      <c r="K69">
        <v>0.451530612</v>
      </c>
      <c r="L69">
        <f>1-3/(4*(F69+G69-2)-1)</f>
        <v>0.95730933412765906</v>
      </c>
      <c r="M69">
        <f>L69*H69</f>
        <v>0.25847352021446796</v>
      </c>
      <c r="N69">
        <f>L69*K69</f>
        <v>0.43225446951197438</v>
      </c>
    </row>
    <row r="70" spans="1:14" x14ac:dyDescent="0.25">
      <c r="A70" t="s">
        <v>91</v>
      </c>
      <c r="B70">
        <v>2019</v>
      </c>
      <c r="C70" t="s">
        <v>92</v>
      </c>
      <c r="D70" t="s">
        <v>8</v>
      </c>
      <c r="E70">
        <f xml:space="preserve"> ( 2*K70^2 + 4 + (H70^2)/2 + SQRT( MAX( (2*K70^2 + 4 + (H70^2)/2)^2 - 32*K70^2, 0) ) ) / (2*K70^2)</f>
        <v>25.105816033945313</v>
      </c>
      <c r="F70">
        <f>E70/2</f>
        <v>12.552908016972657</v>
      </c>
      <c r="G70">
        <f>E70/2</f>
        <v>12.552908016972657</v>
      </c>
      <c r="H70">
        <v>0.49</v>
      </c>
      <c r="I70">
        <v>-0.31</v>
      </c>
      <c r="J70">
        <v>1.28</v>
      </c>
      <c r="K70">
        <v>0.40561224499999998</v>
      </c>
      <c r="L70">
        <f>1-3/(4*(F70+G70-2)-1)</f>
        <v>0.96718559517253266</v>
      </c>
      <c r="M70">
        <f>L70*H70</f>
        <v>0.47392094163454102</v>
      </c>
      <c r="N70">
        <f>L70*K70</f>
        <v>0.39230232058959214</v>
      </c>
    </row>
    <row r="71" spans="1:14" x14ac:dyDescent="0.25">
      <c r="A71" t="s">
        <v>91</v>
      </c>
      <c r="B71">
        <v>2019</v>
      </c>
      <c r="C71" t="s">
        <v>93</v>
      </c>
      <c r="D71" t="s">
        <v>8</v>
      </c>
      <c r="E71">
        <f xml:space="preserve"> ( 2*K71^2 + 4 + (H71^2)/2 + SQRT( MAX( (2*K71^2 + 4 + (H71^2)/2)^2 - 32*K71^2, 0) ) ) / (2*K71^2)</f>
        <v>25.069642032180575</v>
      </c>
      <c r="F71">
        <f>E71/2</f>
        <v>12.534821016090287</v>
      </c>
      <c r="G71">
        <f>E71/2</f>
        <v>12.534821016090287</v>
      </c>
      <c r="H71">
        <v>0.56999999999999995</v>
      </c>
      <c r="I71">
        <v>-0.23</v>
      </c>
      <c r="J71">
        <v>1.37</v>
      </c>
      <c r="K71">
        <v>0.408163265</v>
      </c>
      <c r="L71">
        <f>1-3/(4*(F71+G71-2)-1)</f>
        <v>0.96713357733910377</v>
      </c>
      <c r="M71">
        <f>L71*H71</f>
        <v>0.55126613908328914</v>
      </c>
      <c r="N71">
        <f>L71*K71</f>
        <v>0.3947483986178586</v>
      </c>
    </row>
    <row r="72" spans="1:14" x14ac:dyDescent="0.25">
      <c r="A72" t="s">
        <v>94</v>
      </c>
      <c r="B72">
        <v>2019</v>
      </c>
      <c r="C72" t="s">
        <v>95</v>
      </c>
      <c r="D72" t="s">
        <v>8</v>
      </c>
      <c r="E72">
        <f xml:space="preserve"> ( 2*K72^2 + 4 + (H72^2)/2 + SQRT( MAX( (2*K72^2 + 4 + (H72^2)/2)^2 - 32*K72^2, 0) ) ) / (2*K72^2)</f>
        <v>23.513293344708607</v>
      </c>
      <c r="F72">
        <f>E72/2</f>
        <v>11.756646672354304</v>
      </c>
      <c r="G72">
        <f>E72/2</f>
        <v>11.756646672354304</v>
      </c>
      <c r="H72">
        <v>0.17</v>
      </c>
      <c r="I72">
        <v>-0.64</v>
      </c>
      <c r="J72">
        <v>0.98</v>
      </c>
      <c r="K72">
        <v>0.413265306</v>
      </c>
      <c r="L72">
        <f>1-3/(4*(F72+G72-2)-1)</f>
        <v>0.96472794746131652</v>
      </c>
      <c r="M72">
        <f>L72*H72</f>
        <v>0.16400375106842383</v>
      </c>
      <c r="N72">
        <f>L72*K72</f>
        <v>0.39868859041435289</v>
      </c>
    </row>
    <row r="73" spans="1:14" x14ac:dyDescent="0.25">
      <c r="A73" t="s">
        <v>96</v>
      </c>
      <c r="B73">
        <v>2004</v>
      </c>
      <c r="C73" t="s">
        <v>80</v>
      </c>
      <c r="D73" t="s">
        <v>8</v>
      </c>
      <c r="E73">
        <f xml:space="preserve"> ( 2*K73^2 + 4 + (H73^2)/2 + SQRT( MAX( (2*K73^2 + 4 + (H73^2)/2)^2 - 32*K73^2, 0) ) ) / (2*K73^2)</f>
        <v>21.627823183511367</v>
      </c>
      <c r="F73">
        <f>E73/2</f>
        <v>10.813911591755684</v>
      </c>
      <c r="G73">
        <f>E73/2</f>
        <v>10.813911591755684</v>
      </c>
      <c r="H73">
        <v>0.19</v>
      </c>
      <c r="I73">
        <v>-0.65</v>
      </c>
      <c r="J73">
        <v>1.04</v>
      </c>
      <c r="K73">
        <v>0.43112244900000002</v>
      </c>
      <c r="L73">
        <f>1-3/(4*(F73+G73-2)-1)</f>
        <v>0.96129596225038438</v>
      </c>
      <c r="M73">
        <f>L73*H73</f>
        <v>0.18264623282757303</v>
      </c>
      <c r="N73">
        <f>L73*K73</f>
        <v>0.41443626945919726</v>
      </c>
    </row>
    <row r="74" spans="1:14" x14ac:dyDescent="0.25">
      <c r="A74" t="s">
        <v>97</v>
      </c>
      <c r="B74">
        <v>2016</v>
      </c>
      <c r="C74" t="s">
        <v>98</v>
      </c>
      <c r="D74" t="s">
        <v>8</v>
      </c>
      <c r="E74">
        <f xml:space="preserve"> ( 2*K74^2 + 4 + (H74^2)/2 + SQRT( MAX( (2*K74^2 + 4 + (H74^2)/2)^2 - 32*K74^2, 0) ) ) / (2*K74^2)</f>
        <v>7.069269170228802</v>
      </c>
      <c r="F74">
        <f>E74/2</f>
        <v>3.534634585114401</v>
      </c>
      <c r="G74">
        <f>E74/2</f>
        <v>3.534634585114401</v>
      </c>
      <c r="H74">
        <v>0.21</v>
      </c>
      <c r="I74">
        <v>-1.27</v>
      </c>
      <c r="J74">
        <v>1.69</v>
      </c>
      <c r="K74">
        <v>0.755102041</v>
      </c>
      <c r="L74">
        <f>1-3/(4*(F74+G74-2)-1)</f>
        <v>0.8443747436575757</v>
      </c>
      <c r="M74">
        <f>L74*H74</f>
        <v>0.1773186961680909</v>
      </c>
      <c r="N74">
        <f>L74*K74</f>
        <v>0.63758909230468719</v>
      </c>
    </row>
    <row r="75" spans="1:14" x14ac:dyDescent="0.25">
      <c r="A75" t="s">
        <v>97</v>
      </c>
      <c r="B75">
        <v>2016</v>
      </c>
      <c r="C75" t="s">
        <v>84</v>
      </c>
      <c r="D75" t="s">
        <v>8</v>
      </c>
      <c r="E75">
        <f xml:space="preserve"> ( 2*K75^2 + 4 + (H75^2)/2 + SQRT( MAX( (2*K75^2 + 4 + (H75^2)/2)^2 - 32*K75^2, 0) ) ) / (2*K75^2)</f>
        <v>7.0197543551885495</v>
      </c>
      <c r="F75">
        <f>E75/2</f>
        <v>3.5098771775942748</v>
      </c>
      <c r="G75">
        <f>E75/2</f>
        <v>3.5098771775942748</v>
      </c>
      <c r="H75">
        <v>0.06</v>
      </c>
      <c r="I75">
        <v>-1.42</v>
      </c>
      <c r="J75">
        <v>1.54</v>
      </c>
      <c r="K75">
        <v>0.755102041</v>
      </c>
      <c r="L75">
        <f>1-3/(4*(F75+G75-2)-1)</f>
        <v>0.84275919803204369</v>
      </c>
      <c r="M75">
        <f>L75*H75</f>
        <v>5.0565551881922619E-2</v>
      </c>
      <c r="N75">
        <f>L75*K75</f>
        <v>0.63636919050551932</v>
      </c>
    </row>
    <row r="76" spans="1:14" x14ac:dyDescent="0.25">
      <c r="A76" t="s">
        <v>99</v>
      </c>
      <c r="B76">
        <v>2017</v>
      </c>
      <c r="C76" t="s">
        <v>84</v>
      </c>
      <c r="D76" t="s">
        <v>8</v>
      </c>
      <c r="E76">
        <f xml:space="preserve"> ( 2*K76^2 + 4 + (H76^2)/2 + SQRT( MAX( (2*K76^2 + 4 + (H76^2)/2)^2 - 32*K76^2, 0) ) ) / (2*K76^2)</f>
        <v>24.648826158961612</v>
      </c>
      <c r="F76">
        <f>E76/2</f>
        <v>12.324413079480806</v>
      </c>
      <c r="G76">
        <f>E76/2</f>
        <v>12.324413079480806</v>
      </c>
      <c r="H76">
        <v>0.09</v>
      </c>
      <c r="I76">
        <v>-0.7</v>
      </c>
      <c r="J76">
        <v>0.88</v>
      </c>
      <c r="K76">
        <v>0.403061224</v>
      </c>
      <c r="L76">
        <f>1-3/(4*(F76+G76-2)-1)</f>
        <v>0.9665161024654888</v>
      </c>
      <c r="M76">
        <f>L76*H76</f>
        <v>8.6986449221893983E-2</v>
      </c>
      <c r="N76">
        <f>L76*K76</f>
        <v>0.38956516327544932</v>
      </c>
    </row>
    <row r="77" spans="1:14" x14ac:dyDescent="0.25">
      <c r="A77" t="s">
        <v>100</v>
      </c>
      <c r="B77">
        <v>2002</v>
      </c>
      <c r="C77" t="s">
        <v>101</v>
      </c>
      <c r="D77" t="s">
        <v>8</v>
      </c>
      <c r="E77">
        <f xml:space="preserve"> ( 2*K77^2 + 4 + (H77^2)/2 + SQRT( MAX( (2*K77^2 + 4 + (H77^2)/2)^2 - 32*K77^2, 0) ) ) / (2*K77^2)</f>
        <v>46.423860782944502</v>
      </c>
      <c r="F77">
        <f>E77/2</f>
        <v>23.211930391472251</v>
      </c>
      <c r="G77">
        <f>E77/2</f>
        <v>23.211930391472251</v>
      </c>
      <c r="H77">
        <v>0.9</v>
      </c>
      <c r="I77">
        <v>0.3</v>
      </c>
      <c r="J77">
        <v>1.51</v>
      </c>
      <c r="K77">
        <v>0.30867346899999998</v>
      </c>
      <c r="L77">
        <f>1-3/(4*(F77+G77-2)-1)</f>
        <v>0.98302163345682536</v>
      </c>
      <c r="M77">
        <f>L77*H77</f>
        <v>0.88471947011114282</v>
      </c>
      <c r="N77">
        <f>L77*K77</f>
        <v>0.30343269770116471</v>
      </c>
    </row>
    <row r="78" spans="1:14" x14ac:dyDescent="0.25">
      <c r="A78" t="s">
        <v>100</v>
      </c>
      <c r="B78">
        <v>2002</v>
      </c>
      <c r="C78" t="s">
        <v>102</v>
      </c>
      <c r="D78" t="s">
        <v>8</v>
      </c>
      <c r="E78">
        <f xml:space="preserve"> ( 2*K78^2 + 4 + (H78^2)/2 + SQRT( MAX( (2*K78^2 + 4 + (H78^2)/2)^2 - 32*K78^2, 0) ) ) / (2*K78^2)</f>
        <v>52.87210449118146</v>
      </c>
      <c r="F78">
        <f>E78/2</f>
        <v>26.43605224559073</v>
      </c>
      <c r="G78">
        <f>E78/2</f>
        <v>26.43605224559073</v>
      </c>
      <c r="H78">
        <v>-0.16</v>
      </c>
      <c r="I78">
        <v>-0.7</v>
      </c>
      <c r="J78">
        <v>0.38</v>
      </c>
      <c r="K78">
        <v>0.27551020399999998</v>
      </c>
      <c r="L78">
        <f>1-3/(4*(F78+G78-2)-1)</f>
        <v>0.98518433779989034</v>
      </c>
      <c r="M78">
        <f>L78*H78</f>
        <v>-0.15762949404798246</v>
      </c>
      <c r="N78">
        <f>L78*K78</f>
        <v>0.27142833788485266</v>
      </c>
    </row>
    <row r="79" spans="1:14" x14ac:dyDescent="0.25">
      <c r="A79" t="s">
        <v>103</v>
      </c>
      <c r="B79">
        <v>2018</v>
      </c>
      <c r="C79" t="s">
        <v>77</v>
      </c>
      <c r="D79" t="s">
        <v>8</v>
      </c>
      <c r="E79">
        <f xml:space="preserve"> ( 2*K79^2 + 4 + (H79^2)/2 + SQRT( MAX( (2*K79^2 + 4 + (H79^2)/2)^2 - 32*K79^2, 0) ) ) / (2*K79^2)</f>
        <v>21.785271231360959</v>
      </c>
      <c r="F79">
        <f>E79/2</f>
        <v>10.892635615680479</v>
      </c>
      <c r="G79">
        <f>E79/2</f>
        <v>10.892635615680479</v>
      </c>
      <c r="H79">
        <v>0.05</v>
      </c>
      <c r="I79">
        <v>-0.79</v>
      </c>
      <c r="J79">
        <v>0.89</v>
      </c>
      <c r="K79">
        <v>0.428571429</v>
      </c>
      <c r="L79">
        <f>1-3/(4*(F79+G79-2)-1)</f>
        <v>0.96160790443513333</v>
      </c>
      <c r="M79">
        <f>L79*H79</f>
        <v>4.8080395221756667E-2</v>
      </c>
      <c r="N79">
        <f>L79*K79</f>
        <v>0.41211767374146052</v>
      </c>
    </row>
    <row r="80" spans="1:14" x14ac:dyDescent="0.25">
      <c r="A80" t="s">
        <v>103</v>
      </c>
      <c r="B80">
        <v>2018</v>
      </c>
      <c r="C80" t="s">
        <v>104</v>
      </c>
      <c r="D80" t="s">
        <v>8</v>
      </c>
      <c r="E80">
        <f xml:space="preserve"> ( 2*K80^2 + 4 + (H80^2)/2 + SQRT( MAX( (2*K80^2 + 4 + (H80^2)/2)^2 - 32*K80^2, 0) ) ) / (2*K80^2)</f>
        <v>22.577205912996074</v>
      </c>
      <c r="F80">
        <f>E80/2</f>
        <v>11.288602956498037</v>
      </c>
      <c r="G80">
        <f>E80/2</f>
        <v>11.288602956498037</v>
      </c>
      <c r="H80">
        <v>0.01</v>
      </c>
      <c r="I80">
        <v>-0.81</v>
      </c>
      <c r="J80">
        <v>0.84</v>
      </c>
      <c r="K80">
        <v>0.42091836700000002</v>
      </c>
      <c r="L80">
        <f>1-3/(4*(F80+G80-2)-1)</f>
        <v>0.96310363543272359</v>
      </c>
      <c r="M80">
        <f>L80*H80</f>
        <v>9.6310363543272368E-3</v>
      </c>
      <c r="N80">
        <f>L80*K80</f>
        <v>0.40538800947810538</v>
      </c>
    </row>
    <row r="81" spans="1:14" x14ac:dyDescent="0.25">
      <c r="A81" t="s">
        <v>103</v>
      </c>
      <c r="B81">
        <v>2018</v>
      </c>
      <c r="C81" t="s">
        <v>64</v>
      </c>
      <c r="D81" t="s">
        <v>8</v>
      </c>
      <c r="E81">
        <f xml:space="preserve"> ( 2*K81^2 + 4 + (H81^2)/2 + SQRT( MAX( (2*K81^2 + 4 + (H81^2)/2)^2 - 32*K81^2, 0) ) ) / (2*K81^2)</f>
        <v>21.802054775786242</v>
      </c>
      <c r="F81">
        <f>E81/2</f>
        <v>10.901027387893121</v>
      </c>
      <c r="G81">
        <f>E81/2</f>
        <v>10.901027387893121</v>
      </c>
      <c r="H81">
        <v>0.09</v>
      </c>
      <c r="I81">
        <v>-0.75</v>
      </c>
      <c r="J81">
        <v>0.93</v>
      </c>
      <c r="K81">
        <v>0.428571429</v>
      </c>
      <c r="L81">
        <f>1-3/(4*(F81+G81-2)-1)</f>
        <v>0.96164086032897067</v>
      </c>
      <c r="M81">
        <f>L81*H81</f>
        <v>8.6547677429607353E-2</v>
      </c>
      <c r="N81">
        <f>L81*K81</f>
        <v>0.41213179769597635</v>
      </c>
    </row>
    <row r="82" spans="1:14" x14ac:dyDescent="0.25">
      <c r="A82" t="s">
        <v>105</v>
      </c>
      <c r="B82">
        <v>2015</v>
      </c>
      <c r="C82" t="s">
        <v>37</v>
      </c>
      <c r="D82" t="s">
        <v>8</v>
      </c>
      <c r="E82">
        <f xml:space="preserve"> ( 2*K82^2 + 4 + (H82^2)/2 + SQRT( MAX( (2*K82^2 + 4 + (H82^2)/2)^2 - 32*K82^2, 0) ) ) / (2*K82^2)</f>
        <v>40.841267036053843</v>
      </c>
      <c r="F82">
        <f>E82/2</f>
        <v>20.420633518026921</v>
      </c>
      <c r="G82">
        <f>E82/2</f>
        <v>20.420633518026921</v>
      </c>
      <c r="H82">
        <v>0.2</v>
      </c>
      <c r="I82">
        <v>-0.41</v>
      </c>
      <c r="J82">
        <v>0.82</v>
      </c>
      <c r="K82">
        <v>0.31377550999999998</v>
      </c>
      <c r="L82">
        <f>1-3/(4*(F82+G82-2)-1)</f>
        <v>0.98056555128653033</v>
      </c>
      <c r="M82">
        <f>L82*H82</f>
        <v>0.19611311025730607</v>
      </c>
      <c r="N82">
        <f>L82*K82</f>
        <v>0.30767745594336221</v>
      </c>
    </row>
    <row r="83" spans="1:14" x14ac:dyDescent="0.25">
      <c r="A83" t="s">
        <v>106</v>
      </c>
      <c r="B83">
        <v>2016</v>
      </c>
      <c r="C83" t="s">
        <v>107</v>
      </c>
      <c r="D83" t="s">
        <v>8</v>
      </c>
      <c r="E83">
        <f xml:space="preserve"> ( 2*K83^2 + 4 + (H83^2)/2 + SQRT( MAX( (2*K83^2 + 4 + (H83^2)/2)^2 - 32*K83^2, 0) ) ) / (2*K83^2)</f>
        <v>22.680886022582612</v>
      </c>
      <c r="F83">
        <f>E83/2</f>
        <v>11.340443011291306</v>
      </c>
      <c r="G83">
        <f>E83/2</f>
        <v>11.340443011291306</v>
      </c>
      <c r="H83">
        <v>0.55000000000000004</v>
      </c>
      <c r="I83">
        <v>-0.28999999999999998</v>
      </c>
      <c r="J83">
        <v>1.39</v>
      </c>
      <c r="K83">
        <v>0.428571429</v>
      </c>
      <c r="L83">
        <f>1-3/(4*(F83+G83-2)-1)</f>
        <v>0.96329087249710987</v>
      </c>
      <c r="M83">
        <f>L83*H83</f>
        <v>0.5298099798734105</v>
      </c>
      <c r="N83">
        <f>L83*K83</f>
        <v>0.41283894576874319</v>
      </c>
    </row>
    <row r="84" spans="1:14" x14ac:dyDescent="0.25">
      <c r="A84" t="s">
        <v>108</v>
      </c>
      <c r="B84">
        <v>2016</v>
      </c>
      <c r="C84" t="s">
        <v>84</v>
      </c>
      <c r="D84" t="s">
        <v>8</v>
      </c>
      <c r="E84">
        <f xml:space="preserve"> ( 2*K84^2 + 4 + (H84^2)/2 + SQRT( MAX( (2*K84^2 + 4 + (H84^2)/2)^2 - 32*K84^2, 0) ) ) / (2*K84^2)</f>
        <v>15.772902431830179</v>
      </c>
      <c r="F84">
        <f>E84/2</f>
        <v>7.8864512159150895</v>
      </c>
      <c r="G84">
        <f>E84/2</f>
        <v>7.8864512159150895</v>
      </c>
      <c r="H84">
        <v>1.78</v>
      </c>
      <c r="I84">
        <v>0.59</v>
      </c>
      <c r="J84">
        <v>2.97</v>
      </c>
      <c r="K84">
        <v>0.60714285700000004</v>
      </c>
      <c r="L84">
        <f>1-3/(4*(F84+G84-2)-1)</f>
        <v>0.94453853351521255</v>
      </c>
      <c r="M84">
        <f>L84*H84</f>
        <v>1.6812785896570783</v>
      </c>
      <c r="N84">
        <f>L84*K84</f>
        <v>0.57346982378501643</v>
      </c>
    </row>
    <row r="85" spans="1:14" x14ac:dyDescent="0.25">
      <c r="A85" t="s">
        <v>109</v>
      </c>
      <c r="B85">
        <v>2020</v>
      </c>
      <c r="C85" t="s">
        <v>110</v>
      </c>
      <c r="D85" t="s">
        <v>8</v>
      </c>
      <c r="E85">
        <f xml:space="preserve"> ( 2*K85^2 + 4 + (H85^2)/2 + SQRT( MAX( (2*K85^2 + 4 + (H85^2)/2)^2 - 32*K85^2, 0) ) ) / (2*K85^2)</f>
        <v>170.95372749260824</v>
      </c>
      <c r="F85">
        <f>E85/2</f>
        <v>85.476863746304119</v>
      </c>
      <c r="G85">
        <f>E85/2</f>
        <v>85.476863746304119</v>
      </c>
      <c r="H85">
        <v>0.1</v>
      </c>
      <c r="I85">
        <v>-0.2</v>
      </c>
      <c r="J85">
        <v>0.4</v>
      </c>
      <c r="K85">
        <v>0.153061224</v>
      </c>
      <c r="L85">
        <f>1-3/(4*(F85+G85-2)-1)</f>
        <v>0.99555433652150416</v>
      </c>
      <c r="M85">
        <f>L85*H85</f>
        <v>9.9555433652150416E-2</v>
      </c>
      <c r="N85">
        <f>L85*K85</f>
        <v>0.15238076530648934</v>
      </c>
    </row>
    <row r="86" spans="1:14" x14ac:dyDescent="0.25">
      <c r="A86" t="s">
        <v>113</v>
      </c>
      <c r="B86">
        <v>2009</v>
      </c>
      <c r="C86" t="s">
        <v>114</v>
      </c>
      <c r="D86" t="s">
        <v>8</v>
      </c>
      <c r="E86">
        <f xml:space="preserve"> ( 2*K86^2 + 4 + (H86^2)/2 + SQRT( MAX( (2*K86^2 + 4 + (H86^2)/2)^2 - 32*K86^2, 0) ) ) / (2*K86^2)</f>
        <v>28.099123374912068</v>
      </c>
      <c r="F86">
        <f>E86/2</f>
        <v>14.049561687456034</v>
      </c>
      <c r="G86">
        <f>E86/2</f>
        <v>14.049561687456034</v>
      </c>
      <c r="H86">
        <v>0.1</v>
      </c>
      <c r="I86">
        <v>-0.64</v>
      </c>
      <c r="J86">
        <v>0.84</v>
      </c>
      <c r="K86">
        <v>0.37755102000000001</v>
      </c>
      <c r="L86">
        <f>1-3/(4*(F86+G86-2)-1)</f>
        <v>0.97098547640776423</v>
      </c>
      <c r="M86">
        <f>L86*H86</f>
        <v>9.7098547640776425E-2</v>
      </c>
      <c r="N86">
        <f>L86*K86</f>
        <v>0.36659655702293731</v>
      </c>
    </row>
    <row r="87" spans="1:14" x14ac:dyDescent="0.25">
      <c r="A87" t="s">
        <v>111</v>
      </c>
      <c r="B87">
        <v>2018</v>
      </c>
      <c r="C87" t="s">
        <v>112</v>
      </c>
      <c r="D87" t="s">
        <v>8</v>
      </c>
      <c r="E87">
        <f xml:space="preserve"> ( 2*K87^2 + 4 + (H87^2)/2 + SQRT( MAX( (2*K87^2 + 4 + (H87^2)/2)^2 - 32*K87^2, 0) ) ) / (2*K87^2)</f>
        <v>19.897023260753627</v>
      </c>
      <c r="F87">
        <f>E87/2</f>
        <v>9.9485116303768137</v>
      </c>
      <c r="G87">
        <f>E87/2</f>
        <v>9.9485116303768137</v>
      </c>
      <c r="H87">
        <v>0.14000000000000001</v>
      </c>
      <c r="I87">
        <v>-0.74</v>
      </c>
      <c r="J87">
        <v>1.02</v>
      </c>
      <c r="K87">
        <v>0.44897959199999998</v>
      </c>
      <c r="L87">
        <f>1-3/(4*(F87+G87-2)-1)</f>
        <v>0.95749991435280901</v>
      </c>
      <c r="M87">
        <f>L87*H87</f>
        <v>0.13404998800939327</v>
      </c>
      <c r="N87">
        <f>L87*K87</f>
        <v>0.42989792088615914</v>
      </c>
    </row>
    <row r="88" spans="1:14" x14ac:dyDescent="0.25">
      <c r="A88" t="s">
        <v>115</v>
      </c>
      <c r="B88">
        <v>2013</v>
      </c>
      <c r="C88" t="s">
        <v>13</v>
      </c>
      <c r="D88" t="s">
        <v>8</v>
      </c>
      <c r="E88">
        <f xml:space="preserve"> ( 2*K88^2 + 4 + (H88^2)/2 + SQRT( MAX( (2*K88^2 + 4 + (H88^2)/2)^2 - 32*K88^2, 0) ) ) / (2*K88^2)</f>
        <v>45.429857401647197</v>
      </c>
      <c r="F88">
        <f>E88/2</f>
        <v>22.714928700823599</v>
      </c>
      <c r="G88">
        <f>E88/2</f>
        <v>22.714928700823599</v>
      </c>
      <c r="H88">
        <v>-0.3</v>
      </c>
      <c r="I88">
        <v>-0.88</v>
      </c>
      <c r="J88">
        <v>0.28999999999999998</v>
      </c>
      <c r="K88">
        <v>0.298469388</v>
      </c>
      <c r="L88">
        <f>1-3/(4*(F88+G88-2)-1)</f>
        <v>0.98263079025426825</v>
      </c>
      <c r="M88">
        <f>L88*H88</f>
        <v>-0.29478923707628046</v>
      </c>
      <c r="N88">
        <f>L88*K88</f>
        <v>0.29328521059714779</v>
      </c>
    </row>
    <row r="89" spans="1:14" x14ac:dyDescent="0.25">
      <c r="A89" t="s">
        <v>115</v>
      </c>
      <c r="B89">
        <v>2013</v>
      </c>
      <c r="C89" t="s">
        <v>14</v>
      </c>
      <c r="D89" t="s">
        <v>8</v>
      </c>
      <c r="E89">
        <f xml:space="preserve"> ( 2*K89^2 + 4 + (H89^2)/2 + SQRT( MAX( (2*K89^2 + 4 + (H89^2)/2)^2 - 32*K89^2, 0) ) ) / (2*K89^2)</f>
        <v>41.927500037575918</v>
      </c>
      <c r="F89">
        <f>E89/2</f>
        <v>20.963750018787959</v>
      </c>
      <c r="G89">
        <f>E89/2</f>
        <v>20.963750018787959</v>
      </c>
      <c r="H89">
        <v>-0.61</v>
      </c>
      <c r="I89">
        <v>-0.01</v>
      </c>
      <c r="J89">
        <v>1.23</v>
      </c>
      <c r="K89">
        <v>0.31632653100000002</v>
      </c>
      <c r="L89">
        <f>1-3/(4*(F89+G89-2)-1)</f>
        <v>0.98109759941302443</v>
      </c>
      <c r="M89">
        <f>L89*H89</f>
        <v>-0.59846953564194494</v>
      </c>
      <c r="N89">
        <f>L89*K89</f>
        <v>0.31034720019474965</v>
      </c>
    </row>
    <row r="90" spans="1:14" x14ac:dyDescent="0.25">
      <c r="A90" t="s">
        <v>116</v>
      </c>
      <c r="B90">
        <v>2010</v>
      </c>
      <c r="C90" t="s">
        <v>117</v>
      </c>
      <c r="D90" t="s">
        <v>8</v>
      </c>
      <c r="E90">
        <f xml:space="preserve"> ( 2*K90^2 + 4 + (H90^2)/2 + SQRT( MAX( (2*K90^2 + 4 + (H90^2)/2)^2 - 32*K90^2, 0) ) ) / (2*K90^2)</f>
        <v>30.595567410302966</v>
      </c>
      <c r="F90">
        <f>E90/2</f>
        <v>15.297783705151483</v>
      </c>
      <c r="G90">
        <f>E90/2</f>
        <v>15.297783705151483</v>
      </c>
      <c r="H90">
        <v>0.59</v>
      </c>
      <c r="I90">
        <v>-0.14000000000000001</v>
      </c>
      <c r="J90">
        <v>1.31</v>
      </c>
      <c r="K90">
        <v>0.369897959</v>
      </c>
      <c r="L90">
        <f>1-3/(4*(F90+G90-2)-1)</f>
        <v>0.97354083659205948</v>
      </c>
      <c r="M90">
        <f>L90*H90</f>
        <v>0.57438909358931511</v>
      </c>
      <c r="N90">
        <f>L90*K90</f>
        <v>0.36011076845855533</v>
      </c>
    </row>
    <row r="91" spans="1:14" x14ac:dyDescent="0.25">
      <c r="A91" t="s">
        <v>118</v>
      </c>
      <c r="B91">
        <v>2019</v>
      </c>
      <c r="C91" t="s">
        <v>119</v>
      </c>
      <c r="D91" t="s">
        <v>8</v>
      </c>
      <c r="E91">
        <f xml:space="preserve"> ( 2*K91^2 + 4 + (H91^2)/2 + SQRT( MAX( (2*K91^2 + 4 + (H91^2)/2)^2 - 32*K91^2, 0) ) ) / (2*K91^2)</f>
        <v>26.26044900473368</v>
      </c>
      <c r="F91">
        <f>E91/2</f>
        <v>13.13022450236684</v>
      </c>
      <c r="G91">
        <f>E91/2</f>
        <v>13.13022450236684</v>
      </c>
      <c r="H91">
        <v>-0.03</v>
      </c>
      <c r="I91">
        <v>-0.79</v>
      </c>
      <c r="J91">
        <v>0.74</v>
      </c>
      <c r="K91">
        <v>0.39030612199999998</v>
      </c>
      <c r="L91">
        <f>1-3/(4*(F91+G91-2)-1)</f>
        <v>0.96876359955400515</v>
      </c>
      <c r="M91">
        <f>L91*H91</f>
        <v>-2.9062907986620153E-2</v>
      </c>
      <c r="N91">
        <f>L91*K91</f>
        <v>0.37811436367668466</v>
      </c>
    </row>
    <row r="92" spans="1:14" x14ac:dyDescent="0.25">
      <c r="A92" t="s">
        <v>118</v>
      </c>
      <c r="B92">
        <v>2018</v>
      </c>
      <c r="C92" t="s">
        <v>128</v>
      </c>
      <c r="D92" t="s">
        <v>123</v>
      </c>
      <c r="E92">
        <f xml:space="preserve"> ( 2*K92^2 + 4 + (H92^2)/2 + SQRT( MAX( (2*K92^2 + 4 + (H92^2)/2)^2 - 32*K92^2, 0) ) ) / (2*K92^2)</f>
        <v>26.621496627258196</v>
      </c>
      <c r="F92">
        <f>E92/2</f>
        <v>13.310748313629098</v>
      </c>
      <c r="G92">
        <f>E92/2</f>
        <v>13.310748313629098</v>
      </c>
      <c r="H92">
        <v>7.0000000000000007E-2</v>
      </c>
      <c r="I92">
        <v>-0.69</v>
      </c>
      <c r="J92">
        <v>0.83</v>
      </c>
      <c r="K92">
        <v>0.38775510200000002</v>
      </c>
      <c r="L92">
        <f>1-3/(4*(F92+G92-2)-1)</f>
        <v>0.96922634619159309</v>
      </c>
      <c r="M92">
        <f>L92*H92</f>
        <v>6.7845844233411529E-2</v>
      </c>
      <c r="N92">
        <f>L92*K92</f>
        <v>0.37582246072860853</v>
      </c>
    </row>
    <row r="93" spans="1:14" x14ac:dyDescent="0.25">
      <c r="A93" t="s">
        <v>120</v>
      </c>
      <c r="B93">
        <v>2012</v>
      </c>
      <c r="C93" t="s">
        <v>37</v>
      </c>
      <c r="D93" t="s">
        <v>8</v>
      </c>
      <c r="E93">
        <f xml:space="preserve"> ( 2*K93^2 + 4 + (H93^2)/2 + SQRT( MAX( (2*K93^2 + 4 + (H93^2)/2)^2 - 32*K93^2, 0) ) ) / (2*K93^2)</f>
        <v>18.764182963334395</v>
      </c>
      <c r="F93">
        <f>E93/2</f>
        <v>9.3820914816671976</v>
      </c>
      <c r="G93">
        <f>E93/2</f>
        <v>9.3820914816671976</v>
      </c>
      <c r="H93">
        <v>0.03</v>
      </c>
      <c r="I93">
        <v>-0.87</v>
      </c>
      <c r="J93">
        <v>0.94</v>
      </c>
      <c r="K93">
        <v>0.461734694</v>
      </c>
      <c r="L93">
        <f>1-3/(4*(F93+G93-2)-1)</f>
        <v>0.9545844925137873</v>
      </c>
      <c r="M93">
        <f>L93*H93</f>
        <v>2.8637534775413618E-2</v>
      </c>
      <c r="N93">
        <f>L93*K93</f>
        <v>0.44076477854799889</v>
      </c>
    </row>
  </sheetData>
  <sortState xmlns:xlrd2="http://schemas.microsoft.com/office/spreadsheetml/2017/richdata2" ref="A2:N93">
    <sortCondition ref="A2:A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nunes_protein_ffm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2025-10-11T18:59:14Z</dcterms:created>
  <dcterms:modified xsi:type="dcterms:W3CDTF">2026-02-21T02:40:27Z</dcterms:modified>
</cp:coreProperties>
</file>