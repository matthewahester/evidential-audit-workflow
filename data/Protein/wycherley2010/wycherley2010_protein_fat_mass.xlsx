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wycherley2010\"/>
    </mc:Choice>
  </mc:AlternateContent>
  <xr:revisionPtr revIDLastSave="0" documentId="13_ncr:1_{853E9029-3BA1-40D2-A3CF-1FCE7EA16AA7}" xr6:coauthVersionLast="47" xr6:coauthVersionMax="47" xr10:uidLastSave="{00000000-0000-0000-0000-000000000000}"/>
  <bookViews>
    <workbookView xWindow="38280" yWindow="2820" windowWidth="29040" windowHeight="16440" xr2:uid="{C155EB46-2915-442F-8F8F-E4A6821919E5}"/>
  </bookViews>
  <sheets>
    <sheet name="wycherley_protein_rf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" i="1"/>
  <c r="O3" i="1"/>
  <c r="O4" i="1"/>
  <c r="O5" i="1"/>
  <c r="O6" i="1"/>
  <c r="O7" i="1"/>
  <c r="O8" i="1"/>
  <c r="O9" i="1"/>
  <c r="O10" i="1"/>
  <c r="O11" i="1"/>
  <c r="O12" i="1"/>
  <c r="O13" i="1"/>
  <c r="P13" i="1" s="1"/>
  <c r="O14" i="1"/>
  <c r="P14" i="1" s="1"/>
  <c r="O15" i="1"/>
  <c r="O16" i="1"/>
  <c r="O17" i="1"/>
  <c r="O18" i="1"/>
  <c r="O19" i="1"/>
  <c r="O2" i="1"/>
  <c r="P2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" i="1"/>
  <c r="P3" i="1"/>
  <c r="R3" i="1" s="1"/>
  <c r="P4" i="1"/>
  <c r="R4" i="1" s="1"/>
  <c r="P5" i="1"/>
  <c r="P6" i="1"/>
  <c r="R6" i="1" s="1"/>
  <c r="P7" i="1"/>
  <c r="P8" i="1"/>
  <c r="R8" i="1" s="1"/>
  <c r="P9" i="1"/>
  <c r="P10" i="1"/>
  <c r="P11" i="1"/>
  <c r="P15" i="1"/>
  <c r="R15" i="1" s="1"/>
  <c r="P16" i="1"/>
  <c r="R16" i="1" s="1"/>
  <c r="P18" i="1"/>
  <c r="R18" i="1"/>
  <c r="P19" i="1"/>
  <c r="R19" i="1" s="1"/>
  <c r="P17" i="1" l="1"/>
  <c r="R17" i="1" s="1"/>
  <c r="P12" i="1"/>
  <c r="R5" i="1"/>
  <c r="R12" i="1"/>
  <c r="R14" i="1"/>
  <c r="R10" i="1"/>
  <c r="R7" i="1"/>
  <c r="R9" i="1"/>
  <c r="R11" i="1"/>
  <c r="R13" i="1"/>
  <c r="R2" i="1"/>
</calcChain>
</file>

<file path=xl/sharedStrings.xml><?xml version="1.0" encoding="utf-8"?>
<sst xmlns="http://schemas.openxmlformats.org/spreadsheetml/2006/main" count="55" uniqueCount="38">
  <si>
    <t>Subgroup</t>
  </si>
  <si>
    <t>Author</t>
  </si>
  <si>
    <t>Year</t>
  </si>
  <si>
    <t>HP_Mean</t>
  </si>
  <si>
    <t>HP_SD</t>
  </si>
  <si>
    <t>HP_N</t>
  </si>
  <si>
    <t>SP_Mean</t>
  </si>
  <si>
    <t>SP_SD</t>
  </si>
  <si>
    <t>SP_N</t>
  </si>
  <si>
    <t>Weight_%</t>
  </si>
  <si>
    <t>ES</t>
  </si>
  <si>
    <t>CI_Lower</t>
  </si>
  <si>
    <t>CI_Upper</t>
  </si>
  <si>
    <t>SE</t>
  </si>
  <si>
    <t>&gt;=12 Weeks</t>
  </si>
  <si>
    <t>Belobrajdic</t>
  </si>
  <si>
    <t>Campbell</t>
  </si>
  <si>
    <t>Farnsworth F</t>
  </si>
  <si>
    <t>Farnsworth M</t>
  </si>
  <si>
    <t>Lasker</t>
  </si>
  <si>
    <t>Layman</t>
  </si>
  <si>
    <t>Leidy</t>
  </si>
  <si>
    <t>Luscombe</t>
  </si>
  <si>
    <t>Noakes</t>
  </si>
  <si>
    <t>Treyzon</t>
  </si>
  <si>
    <t>Wycherley</t>
  </si>
  <si>
    <t>&lt;12 Weeks</t>
  </si>
  <si>
    <t>Baba</t>
  </si>
  <si>
    <t>Johnston</t>
  </si>
  <si>
    <t>Kasim-Karakas</t>
  </si>
  <si>
    <t>Labayen</t>
  </si>
  <si>
    <t>Parker</t>
  </si>
  <si>
    <t>Torbay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</si>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</sst>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E38F-D08F-410B-8A2B-F4420347EAA4}">
  <dimension ref="A1:S19"/>
  <sheetViews>
    <sheetView tabSelected="1" topLeftCell="D1" workbookViewId="0">
      <selection activeCell="N10" sqref="N10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</row>
    <row r="2" spans="1:19" x14ac:dyDescent="0.25">
      <c r="A2" t="s">
        <v>14</v>
      </c>
      <c r="B2" t="s">
        <v>15</v>
      </c>
      <c r="C2">
        <v>2010</v>
      </c>
      <c r="D2">
        <v>-6.5</v>
      </c>
      <c r="E2">
        <v>3.7</v>
      </c>
      <c r="F2">
        <v>34</v>
      </c>
      <c r="G2">
        <v>-5.0999999999999996</v>
      </c>
      <c r="H2">
        <v>3.3</v>
      </c>
      <c r="I2">
        <v>42</v>
      </c>
      <c r="J2">
        <v>6.1</v>
      </c>
      <c r="K2">
        <v>1.4</v>
      </c>
      <c r="L2">
        <v>-0.19</v>
      </c>
      <c r="M2">
        <v>2.99</v>
      </c>
      <c r="N2">
        <v>0.81122448999999996</v>
      </c>
      <c r="O2">
        <f>SQRT(((F2-1)*E2*E2+(I2-1)*H2*H2)/(F2+I2-2))</f>
        <v>3.4840563498096078</v>
      </c>
      <c r="P2">
        <f>K2/O2</f>
        <v>0.40183046984200049</v>
      </c>
      <c r="Q2">
        <f t="shared" ref="Q2:Q19" si="0">1-3/(4*(F2+I2-2)-1)</f>
        <v>0.98983050847457632</v>
      </c>
      <c r="R2">
        <f t="shared" ref="R2:R19" si="1">Q2*P2</f>
        <v>0.39774405828428527</v>
      </c>
      <c r="S2">
        <f>Q2*N2/O2</f>
        <v>0.23047122916585686</v>
      </c>
    </row>
    <row r="3" spans="1:19" x14ac:dyDescent="0.25">
      <c r="A3" t="s">
        <v>14</v>
      </c>
      <c r="B3" t="s">
        <v>16</v>
      </c>
      <c r="C3">
        <v>2010</v>
      </c>
      <c r="D3">
        <v>-6.6</v>
      </c>
      <c r="E3">
        <v>1.8</v>
      </c>
      <c r="F3">
        <v>13</v>
      </c>
      <c r="G3">
        <v>-6.9</v>
      </c>
      <c r="H3">
        <v>2.2999999999999998</v>
      </c>
      <c r="I3">
        <v>15</v>
      </c>
      <c r="J3">
        <v>6.7</v>
      </c>
      <c r="K3">
        <v>-0.3</v>
      </c>
      <c r="L3">
        <v>-1.82</v>
      </c>
      <c r="M3">
        <v>1.22</v>
      </c>
      <c r="N3">
        <v>0.77551020400000004</v>
      </c>
      <c r="O3">
        <f t="shared" ref="O3:O19" si="2">SQRT(((F3-1)*E3*E3+(I3-1)*H3*H3)/(F3+I3-2))</f>
        <v>2.0841895676368196</v>
      </c>
      <c r="P3">
        <f t="shared" ref="P3:P19" si="3">K3/O3</f>
        <v>-0.14394084139868243</v>
      </c>
      <c r="Q3">
        <f t="shared" si="0"/>
        <v>0.970873786407767</v>
      </c>
      <c r="R3">
        <f t="shared" si="1"/>
        <v>-0.13974838970745868</v>
      </c>
      <c r="S3">
        <f>Q3*N3/O3</f>
        <v>0.36125434070234269</v>
      </c>
    </row>
    <row r="4" spans="1:19" x14ac:dyDescent="0.25">
      <c r="A4" t="s">
        <v>14</v>
      </c>
      <c r="B4" t="s">
        <v>17</v>
      </c>
      <c r="C4">
        <v>2003</v>
      </c>
      <c r="D4">
        <v>-6.6</v>
      </c>
      <c r="E4">
        <v>8.4</v>
      </c>
      <c r="F4">
        <v>21</v>
      </c>
      <c r="G4">
        <v>-7.1</v>
      </c>
      <c r="H4">
        <v>8.1999999999999993</v>
      </c>
      <c r="I4">
        <v>22</v>
      </c>
      <c r="J4">
        <v>0.7</v>
      </c>
      <c r="K4">
        <v>-0.5</v>
      </c>
      <c r="L4">
        <v>-5.22</v>
      </c>
      <c r="M4">
        <v>4.22</v>
      </c>
      <c r="N4">
        <v>2.4081632650000002</v>
      </c>
      <c r="O4">
        <f t="shared" si="2"/>
        <v>8.2981631820013</v>
      </c>
      <c r="P4">
        <f t="shared" si="3"/>
        <v>-6.0254298334901278E-2</v>
      </c>
      <c r="Q4">
        <f t="shared" si="0"/>
        <v>0.98159509202453987</v>
      </c>
      <c r="R4">
        <f t="shared" si="1"/>
        <v>-5.9145323518921503E-2</v>
      </c>
      <c r="S4">
        <f>Q4*N4/O4</f>
        <v>0.28486319078961458</v>
      </c>
    </row>
    <row r="5" spans="1:19" x14ac:dyDescent="0.25">
      <c r="A5" t="s">
        <v>14</v>
      </c>
      <c r="B5" t="s">
        <v>18</v>
      </c>
      <c r="C5">
        <v>2003</v>
      </c>
      <c r="D5">
        <v>-9</v>
      </c>
      <c r="E5">
        <v>7.1</v>
      </c>
      <c r="F5">
        <v>7</v>
      </c>
      <c r="G5">
        <v>-7.6</v>
      </c>
      <c r="H5">
        <v>6.2</v>
      </c>
      <c r="I5">
        <v>7</v>
      </c>
      <c r="J5">
        <v>0.2</v>
      </c>
      <c r="K5">
        <v>1.4</v>
      </c>
      <c r="L5">
        <v>-5.64</v>
      </c>
      <c r="M5">
        <v>8.44</v>
      </c>
      <c r="N5">
        <v>3.5918367349999998</v>
      </c>
      <c r="O5">
        <f t="shared" si="2"/>
        <v>6.6652081737932232</v>
      </c>
      <c r="P5">
        <f t="shared" si="3"/>
        <v>0.21004595257873976</v>
      </c>
      <c r="Q5">
        <f t="shared" si="0"/>
        <v>0.93617021276595747</v>
      </c>
      <c r="R5">
        <f t="shared" si="1"/>
        <v>0.19663876411626702</v>
      </c>
      <c r="S5">
        <f>Q5*N5/O5</f>
        <v>0.50449595462700547</v>
      </c>
    </row>
    <row r="6" spans="1:19" x14ac:dyDescent="0.25">
      <c r="A6" t="s">
        <v>14</v>
      </c>
      <c r="B6" t="s">
        <v>19</v>
      </c>
      <c r="C6">
        <v>2008</v>
      </c>
      <c r="D6">
        <v>-6</v>
      </c>
      <c r="E6">
        <v>3</v>
      </c>
      <c r="F6">
        <v>25</v>
      </c>
      <c r="G6">
        <v>-4.4000000000000004</v>
      </c>
      <c r="H6">
        <v>2.5</v>
      </c>
      <c r="I6">
        <v>25</v>
      </c>
      <c r="J6">
        <v>6.6</v>
      </c>
      <c r="K6">
        <v>1.6</v>
      </c>
      <c r="L6">
        <v>7.0000000000000007E-2</v>
      </c>
      <c r="M6">
        <v>3.13</v>
      </c>
      <c r="N6">
        <v>0.78061224500000004</v>
      </c>
      <c r="O6">
        <f t="shared" si="2"/>
        <v>2.7613402542968153</v>
      </c>
      <c r="P6">
        <f t="shared" si="3"/>
        <v>0.57942877467211862</v>
      </c>
      <c r="Q6">
        <f t="shared" si="0"/>
        <v>0.98429319371727753</v>
      </c>
      <c r="R6">
        <f t="shared" si="1"/>
        <v>0.57032779915370835</v>
      </c>
      <c r="S6">
        <f>Q6*N6/O6</f>
        <v>0.27825303980205335</v>
      </c>
    </row>
    <row r="7" spans="1:19" x14ac:dyDescent="0.25">
      <c r="A7" t="s">
        <v>14</v>
      </c>
      <c r="B7" t="s">
        <v>20</v>
      </c>
      <c r="C7">
        <v>2009</v>
      </c>
      <c r="D7">
        <v>-5.6</v>
      </c>
      <c r="E7">
        <v>2.9</v>
      </c>
      <c r="F7">
        <v>52</v>
      </c>
      <c r="G7">
        <v>-4.5999999999999996</v>
      </c>
      <c r="H7">
        <v>2.1</v>
      </c>
      <c r="I7">
        <v>51</v>
      </c>
      <c r="J7">
        <v>16.2</v>
      </c>
      <c r="K7">
        <v>1</v>
      </c>
      <c r="L7">
        <v>0.02</v>
      </c>
      <c r="M7">
        <v>1.98</v>
      </c>
      <c r="N7">
        <v>0.5</v>
      </c>
      <c r="O7">
        <f t="shared" si="2"/>
        <v>2.5357054206271714</v>
      </c>
      <c r="P7">
        <f t="shared" si="3"/>
        <v>0.39436757592791039</v>
      </c>
      <c r="Q7">
        <f t="shared" si="0"/>
        <v>0.99255583126550873</v>
      </c>
      <c r="R7">
        <f t="shared" si="1"/>
        <v>0.3914318371492907</v>
      </c>
      <c r="S7">
        <f>Q7*N7/O7</f>
        <v>0.19571591857464538</v>
      </c>
    </row>
    <row r="8" spans="1:19" x14ac:dyDescent="0.25">
      <c r="A8" t="s">
        <v>14</v>
      </c>
      <c r="B8" t="s">
        <v>21</v>
      </c>
      <c r="C8">
        <v>2007</v>
      </c>
      <c r="D8">
        <v>-6.6</v>
      </c>
      <c r="E8">
        <v>1.8</v>
      </c>
      <c r="F8">
        <v>21</v>
      </c>
      <c r="G8">
        <v>-6.6</v>
      </c>
      <c r="H8">
        <v>3</v>
      </c>
      <c r="I8">
        <v>25</v>
      </c>
      <c r="J8">
        <v>7.8</v>
      </c>
      <c r="K8">
        <v>0</v>
      </c>
      <c r="L8">
        <v>-1.41</v>
      </c>
      <c r="M8">
        <v>1.41</v>
      </c>
      <c r="N8">
        <v>0.71938775499999996</v>
      </c>
      <c r="O8">
        <f t="shared" si="2"/>
        <v>2.5262260749620533</v>
      </c>
      <c r="P8">
        <f t="shared" si="3"/>
        <v>0</v>
      </c>
      <c r="Q8">
        <f t="shared" si="0"/>
        <v>0.98285714285714287</v>
      </c>
      <c r="R8">
        <f t="shared" si="1"/>
        <v>0</v>
      </c>
      <c r="S8">
        <f>Q8*N8/O8</f>
        <v>0.27988603256592343</v>
      </c>
    </row>
    <row r="9" spans="1:19" x14ac:dyDescent="0.25">
      <c r="A9" t="s">
        <v>14</v>
      </c>
      <c r="B9" t="s">
        <v>22</v>
      </c>
      <c r="C9">
        <v>2003</v>
      </c>
      <c r="D9">
        <v>-7.06</v>
      </c>
      <c r="E9">
        <v>2.69</v>
      </c>
      <c r="F9">
        <v>17</v>
      </c>
      <c r="G9">
        <v>-6.49</v>
      </c>
      <c r="H9">
        <v>3.21</v>
      </c>
      <c r="I9">
        <v>19</v>
      </c>
      <c r="J9">
        <v>4.0999999999999996</v>
      </c>
      <c r="K9">
        <v>0.56999999999999995</v>
      </c>
      <c r="L9">
        <v>-1.36</v>
      </c>
      <c r="M9">
        <v>2.5</v>
      </c>
      <c r="N9">
        <v>0.98469387799999997</v>
      </c>
      <c r="O9">
        <f t="shared" si="2"/>
        <v>2.9766315348255059</v>
      </c>
      <c r="P9">
        <f t="shared" si="3"/>
        <v>0.19149162176480608</v>
      </c>
      <c r="Q9">
        <f t="shared" si="0"/>
        <v>0.97777777777777775</v>
      </c>
      <c r="R9">
        <f t="shared" si="1"/>
        <v>0.18723625239225483</v>
      </c>
      <c r="S9">
        <f>Q9*N9/O9</f>
        <v>0.32345682714090562</v>
      </c>
    </row>
    <row r="10" spans="1:19" x14ac:dyDescent="0.25">
      <c r="A10" t="s">
        <v>14</v>
      </c>
      <c r="B10" t="s">
        <v>23</v>
      </c>
      <c r="C10">
        <v>2005</v>
      </c>
      <c r="D10">
        <v>-5.7</v>
      </c>
      <c r="E10">
        <v>2.2000000000000002</v>
      </c>
      <c r="F10">
        <v>52</v>
      </c>
      <c r="G10">
        <v>-4.5</v>
      </c>
      <c r="H10">
        <v>3.5</v>
      </c>
      <c r="I10">
        <v>48</v>
      </c>
      <c r="J10">
        <v>11.5</v>
      </c>
      <c r="K10">
        <v>1.2</v>
      </c>
      <c r="L10">
        <v>0.04</v>
      </c>
      <c r="M10">
        <v>2.36</v>
      </c>
      <c r="N10">
        <v>0.591836735</v>
      </c>
      <c r="O10">
        <f t="shared" si="2"/>
        <v>2.8972013237267586</v>
      </c>
      <c r="P10">
        <f t="shared" si="3"/>
        <v>0.41419282470035712</v>
      </c>
      <c r="Q10">
        <f t="shared" si="0"/>
        <v>0.99232736572890023</v>
      </c>
      <c r="R10">
        <f t="shared" si="1"/>
        <v>0.41101487463871755</v>
      </c>
      <c r="S10">
        <f>Q10*N10/O10</f>
        <v>0.20271141786884408</v>
      </c>
    </row>
    <row r="11" spans="1:19" x14ac:dyDescent="0.25">
      <c r="A11" t="s">
        <v>14</v>
      </c>
      <c r="B11" t="s">
        <v>24</v>
      </c>
      <c r="C11">
        <v>2008</v>
      </c>
      <c r="D11">
        <v>-1.65</v>
      </c>
      <c r="E11">
        <v>4.18</v>
      </c>
      <c r="F11">
        <v>44</v>
      </c>
      <c r="G11">
        <v>-0.64</v>
      </c>
      <c r="H11">
        <v>5.0599999999999996</v>
      </c>
      <c r="I11">
        <v>41</v>
      </c>
      <c r="J11">
        <v>3.9</v>
      </c>
      <c r="K11">
        <v>1.01</v>
      </c>
      <c r="L11">
        <v>-0.97</v>
      </c>
      <c r="M11">
        <v>2.99</v>
      </c>
      <c r="N11">
        <v>1.010204082</v>
      </c>
      <c r="O11">
        <f t="shared" si="2"/>
        <v>4.6250460108424472</v>
      </c>
      <c r="P11">
        <f t="shared" si="3"/>
        <v>0.21837620590849638</v>
      </c>
      <c r="Q11">
        <f t="shared" si="0"/>
        <v>0.99093655589123864</v>
      </c>
      <c r="R11">
        <f t="shared" si="1"/>
        <v>0.21639696537156136</v>
      </c>
      <c r="S11">
        <f>Q11*N11/O11</f>
        <v>0.21644069084234055</v>
      </c>
    </row>
    <row r="12" spans="1:19" x14ac:dyDescent="0.25">
      <c r="A12" t="s">
        <v>14</v>
      </c>
      <c r="B12" t="s">
        <v>25</v>
      </c>
      <c r="C12">
        <v>2010</v>
      </c>
      <c r="D12">
        <v>-7.1</v>
      </c>
      <c r="E12">
        <v>4</v>
      </c>
      <c r="F12">
        <v>12</v>
      </c>
      <c r="G12">
        <v>-6.5</v>
      </c>
      <c r="H12">
        <v>3.7</v>
      </c>
      <c r="I12">
        <v>16</v>
      </c>
      <c r="J12">
        <v>1.8</v>
      </c>
      <c r="K12">
        <v>0.6</v>
      </c>
      <c r="L12">
        <v>-2.2999999999999998</v>
      </c>
      <c r="M12">
        <v>3.5</v>
      </c>
      <c r="N12">
        <v>1.4795918370000001</v>
      </c>
      <c r="O12">
        <f t="shared" si="2"/>
        <v>3.8297921212916628</v>
      </c>
      <c r="P12">
        <f t="shared" si="3"/>
        <v>0.15666646674223136</v>
      </c>
      <c r="Q12">
        <f t="shared" si="0"/>
        <v>0.970873786407767</v>
      </c>
      <c r="R12">
        <f t="shared" si="1"/>
        <v>0.15210336576915667</v>
      </c>
      <c r="S12">
        <f>Q12*N12/O12</f>
        <v>0.37508483062044906</v>
      </c>
    </row>
    <row r="13" spans="1:19" x14ac:dyDescent="0.25">
      <c r="A13" t="s">
        <v>26</v>
      </c>
      <c r="B13" t="s">
        <v>27</v>
      </c>
      <c r="C13">
        <v>1999</v>
      </c>
      <c r="D13">
        <v>-7.1</v>
      </c>
      <c r="E13">
        <v>2.4</v>
      </c>
      <c r="F13">
        <v>7</v>
      </c>
      <c r="G13">
        <v>-6.3</v>
      </c>
      <c r="H13">
        <v>0.5</v>
      </c>
      <c r="I13">
        <v>6</v>
      </c>
      <c r="J13">
        <v>4.5999999999999996</v>
      </c>
      <c r="K13">
        <v>0.8</v>
      </c>
      <c r="L13">
        <v>-1.02</v>
      </c>
      <c r="M13">
        <v>2.62</v>
      </c>
      <c r="N13">
        <v>0.928571429</v>
      </c>
      <c r="O13">
        <f t="shared" si="2"/>
        <v>1.8042878222319589</v>
      </c>
      <c r="P13">
        <f t="shared" si="3"/>
        <v>0.44338823891765544</v>
      </c>
      <c r="Q13">
        <f t="shared" si="0"/>
        <v>0.93023255813953487</v>
      </c>
      <c r="R13">
        <f t="shared" si="1"/>
        <v>0.41245417573735388</v>
      </c>
      <c r="S13">
        <f>Q13*N13/O13</f>
        <v>0.4787414542018148</v>
      </c>
    </row>
    <row r="14" spans="1:19" x14ac:dyDescent="0.25">
      <c r="A14" t="s">
        <v>26</v>
      </c>
      <c r="B14" t="s">
        <v>28</v>
      </c>
      <c r="C14">
        <v>2004</v>
      </c>
      <c r="D14">
        <v>-2.46</v>
      </c>
      <c r="E14">
        <v>1.79</v>
      </c>
      <c r="F14">
        <v>9</v>
      </c>
      <c r="G14">
        <v>-3.03</v>
      </c>
      <c r="H14">
        <v>1.65</v>
      </c>
      <c r="I14">
        <v>7</v>
      </c>
      <c r="J14">
        <v>5.4</v>
      </c>
      <c r="K14">
        <v>-0.56999999999999995</v>
      </c>
      <c r="L14">
        <v>-2.2599999999999998</v>
      </c>
      <c r="M14">
        <v>1.1200000000000001</v>
      </c>
      <c r="N14">
        <v>0.86224489800000004</v>
      </c>
      <c r="O14">
        <f t="shared" si="2"/>
        <v>1.7313867274528818</v>
      </c>
      <c r="P14">
        <f t="shared" si="3"/>
        <v>-0.32921587705512317</v>
      </c>
      <c r="Q14">
        <f t="shared" si="0"/>
        <v>0.94545454545454544</v>
      </c>
      <c r="R14">
        <f t="shared" si="1"/>
        <v>-0.31125864739757098</v>
      </c>
      <c r="S14">
        <f>Q14*N14/O14</f>
        <v>0.47084417662620454</v>
      </c>
    </row>
    <row r="15" spans="1:19" x14ac:dyDescent="0.25">
      <c r="A15" t="s">
        <v>26</v>
      </c>
      <c r="B15" t="s">
        <v>29</v>
      </c>
      <c r="C15">
        <v>2009</v>
      </c>
      <c r="D15">
        <v>-3.1</v>
      </c>
      <c r="E15">
        <v>3</v>
      </c>
      <c r="F15">
        <v>11</v>
      </c>
      <c r="G15">
        <v>-0.5</v>
      </c>
      <c r="H15">
        <v>2.2000000000000002</v>
      </c>
      <c r="I15">
        <v>13</v>
      </c>
      <c r="J15">
        <v>3.4</v>
      </c>
      <c r="K15">
        <v>2.6</v>
      </c>
      <c r="L15">
        <v>0.46</v>
      </c>
      <c r="M15">
        <v>4.74</v>
      </c>
      <c r="N15">
        <v>1.091836735</v>
      </c>
      <c r="O15">
        <f t="shared" si="2"/>
        <v>2.5943995626944378</v>
      </c>
      <c r="P15">
        <f t="shared" si="3"/>
        <v>1.0021586641418279</v>
      </c>
      <c r="Q15">
        <f t="shared" si="0"/>
        <v>0.96551724137931039</v>
      </c>
      <c r="R15">
        <f t="shared" si="1"/>
        <v>0.96760146882659248</v>
      </c>
      <c r="S15">
        <f>Q15*N15/O15</f>
        <v>0.40633185711724262</v>
      </c>
    </row>
    <row r="16" spans="1:19" x14ac:dyDescent="0.25">
      <c r="A16" t="s">
        <v>26</v>
      </c>
      <c r="B16" t="s">
        <v>30</v>
      </c>
      <c r="C16">
        <v>2003</v>
      </c>
      <c r="D16">
        <v>-7.9</v>
      </c>
      <c r="E16">
        <v>2.7</v>
      </c>
      <c r="F16">
        <v>6</v>
      </c>
      <c r="G16">
        <v>-4.2</v>
      </c>
      <c r="H16">
        <v>1.6</v>
      </c>
      <c r="I16">
        <v>5</v>
      </c>
      <c r="J16">
        <v>2.2999999999999998</v>
      </c>
      <c r="K16">
        <v>3.7</v>
      </c>
      <c r="L16">
        <v>1.1200000000000001</v>
      </c>
      <c r="M16">
        <v>6.28</v>
      </c>
      <c r="N16">
        <v>1.3163265310000001</v>
      </c>
      <c r="O16">
        <f t="shared" si="2"/>
        <v>2.2776693741142018</v>
      </c>
      <c r="P16">
        <f t="shared" si="3"/>
        <v>1.6244675553224008</v>
      </c>
      <c r="Q16">
        <f t="shared" si="0"/>
        <v>0.91428571428571426</v>
      </c>
      <c r="R16">
        <f t="shared" si="1"/>
        <v>1.4852274791519093</v>
      </c>
      <c r="S16">
        <f>Q16*N16/O16</f>
        <v>0.528390360912948</v>
      </c>
    </row>
    <row r="17" spans="1:19" x14ac:dyDescent="0.25">
      <c r="A17" t="s">
        <v>26</v>
      </c>
      <c r="B17" t="s">
        <v>20</v>
      </c>
      <c r="C17">
        <v>2003</v>
      </c>
      <c r="D17">
        <v>-5.6</v>
      </c>
      <c r="E17">
        <v>1.8</v>
      </c>
      <c r="F17">
        <v>12</v>
      </c>
      <c r="G17">
        <v>-4.74</v>
      </c>
      <c r="H17">
        <v>2.25</v>
      </c>
      <c r="I17">
        <v>12</v>
      </c>
      <c r="J17">
        <v>5.8</v>
      </c>
      <c r="K17">
        <v>0.86</v>
      </c>
      <c r="L17">
        <v>-0.77</v>
      </c>
      <c r="M17">
        <v>2.4900000000000002</v>
      </c>
      <c r="N17">
        <v>0.831632653</v>
      </c>
      <c r="O17">
        <f t="shared" si="2"/>
        <v>2.0374616560809189</v>
      </c>
      <c r="P17">
        <f t="shared" si="3"/>
        <v>0.42209383299719122</v>
      </c>
      <c r="Q17">
        <f t="shared" si="0"/>
        <v>0.96551724137931039</v>
      </c>
      <c r="R17">
        <f t="shared" si="1"/>
        <v>0.40753887323866739</v>
      </c>
      <c r="S17">
        <f>Q17*N17/O17</f>
        <v>0.39409608645593452</v>
      </c>
    </row>
    <row r="18" spans="1:19" x14ac:dyDescent="0.25">
      <c r="A18" t="s">
        <v>26</v>
      </c>
      <c r="B18" t="s">
        <v>31</v>
      </c>
      <c r="C18">
        <v>2002</v>
      </c>
      <c r="D18">
        <v>-4.78</v>
      </c>
      <c r="E18">
        <v>2.5499999999999998</v>
      </c>
      <c r="F18">
        <v>26</v>
      </c>
      <c r="G18">
        <v>-3.59</v>
      </c>
      <c r="H18">
        <v>2.59</v>
      </c>
      <c r="I18">
        <v>28</v>
      </c>
      <c r="J18">
        <v>8.1999999999999993</v>
      </c>
      <c r="K18">
        <v>1.19</v>
      </c>
      <c r="L18">
        <v>-0.18</v>
      </c>
      <c r="M18">
        <v>2.56</v>
      </c>
      <c r="N18">
        <v>0.69897959200000004</v>
      </c>
      <c r="O18">
        <f t="shared" si="2"/>
        <v>2.5708469122360911</v>
      </c>
      <c r="P18">
        <f t="shared" si="3"/>
        <v>0.4628824821641957</v>
      </c>
      <c r="Q18">
        <f t="shared" si="0"/>
        <v>0.98550724637681164</v>
      </c>
      <c r="R18">
        <f t="shared" si="1"/>
        <v>0.45617404039370013</v>
      </c>
      <c r="S18">
        <f>Q18*N18/O18</f>
        <v>0.26794650809695802</v>
      </c>
    </row>
    <row r="19" spans="1:19" x14ac:dyDescent="0.25">
      <c r="A19" t="s">
        <v>26</v>
      </c>
      <c r="B19" t="s">
        <v>32</v>
      </c>
      <c r="C19">
        <v>2002</v>
      </c>
      <c r="D19">
        <v>-6.4</v>
      </c>
      <c r="E19">
        <v>1.9</v>
      </c>
      <c r="F19">
        <v>7</v>
      </c>
      <c r="G19">
        <v>-6.5</v>
      </c>
      <c r="H19">
        <v>1.6</v>
      </c>
      <c r="I19">
        <v>7</v>
      </c>
      <c r="J19">
        <v>4.5999999999999996</v>
      </c>
      <c r="K19">
        <v>-0.1</v>
      </c>
      <c r="L19">
        <v>-1.94</v>
      </c>
      <c r="M19">
        <v>1.74</v>
      </c>
      <c r="N19">
        <v>0.93877551000000004</v>
      </c>
      <c r="O19">
        <f t="shared" si="2"/>
        <v>1.7564168070250294</v>
      </c>
      <c r="P19">
        <f t="shared" si="3"/>
        <v>-5.6934094230957209E-2</v>
      </c>
      <c r="Q19">
        <f t="shared" si="0"/>
        <v>0.93617021276595747</v>
      </c>
      <c r="R19">
        <f t="shared" si="1"/>
        <v>-5.3300003109832281E-2</v>
      </c>
      <c r="S19">
        <f>Q19*N19/O19</f>
        <v>0.50036737602434378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wycherley_protein_rfm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2025-10-12T22:46:54Z</dcterms:created>
  <dcterms:modified xsi:type="dcterms:W3CDTF">2025-12-30T13:20:10Z</dcterms:modified>
</cp:coreProperties>
</file>