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Protein\wycherley2010\"/>
    </mc:Choice>
  </mc:AlternateContent>
  <xr:revisionPtr revIDLastSave="0" documentId="13_ncr:1_{A5FAF7E5-39D7-48C2-8FF8-1B55B7C97BFF}" xr6:coauthVersionLast="47" xr6:coauthVersionMax="47" xr10:uidLastSave="{00000000-0000-0000-0000-000000000000}"/>
  <bookViews>
    <workbookView xWindow="38280" yWindow="2820" windowWidth="29040" windowHeight="16440" xr2:uid="{2F24BE24-1F68-48FD-BE2C-272864C7CF57}"/>
  </bookViews>
  <sheets>
    <sheet name="wycherley_protein_ff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2" i="1"/>
  <c r="P15" i="1" l="1"/>
  <c r="R15" i="1" s="1"/>
  <c r="P11" i="1"/>
  <c r="R11" i="1" s="1"/>
  <c r="P2" i="1"/>
  <c r="R2" i="1" s="1"/>
  <c r="P14" i="1"/>
  <c r="R14" i="1" s="1"/>
  <c r="P12" i="1"/>
  <c r="R12" i="1" s="1"/>
  <c r="P9" i="1"/>
  <c r="R9" i="1" s="1"/>
  <c r="P18" i="1"/>
  <c r="R18" i="1" s="1"/>
  <c r="P3" i="1"/>
  <c r="R3" i="1" s="1"/>
  <c r="P13" i="1"/>
  <c r="R13" i="1" s="1"/>
  <c r="P6" i="1"/>
  <c r="R6" i="1" s="1"/>
  <c r="P10" i="1"/>
  <c r="R10" i="1" s="1"/>
  <c r="P8" i="1"/>
  <c r="R8" i="1" s="1"/>
  <c r="P7" i="1"/>
  <c r="R7" i="1" s="1"/>
  <c r="P17" i="1"/>
  <c r="R17" i="1" s="1"/>
  <c r="P5" i="1"/>
  <c r="R5" i="1" s="1"/>
  <c r="P16" i="1"/>
  <c r="R16" i="1" s="1"/>
  <c r="P4" i="1"/>
  <c r="R4" i="1" s="1"/>
</calcChain>
</file>

<file path=xl/sharedStrings.xml><?xml version="1.0" encoding="utf-8"?>
<sst xmlns="http://schemas.openxmlformats.org/spreadsheetml/2006/main" count="53" uniqueCount="37">
  <si>
    <t>Subgroup</t>
  </si>
  <si>
    <t>Author</t>
  </si>
  <si>
    <t>Year</t>
  </si>
  <si>
    <t>HP_Mean</t>
  </si>
  <si>
    <t>HP_SD</t>
  </si>
  <si>
    <t>HP_N</t>
  </si>
  <si>
    <t>SP_Mean</t>
  </si>
  <si>
    <t>SP_SD</t>
  </si>
  <si>
    <t>SP_N</t>
  </si>
  <si>
    <t>Weight_%</t>
  </si>
  <si>
    <t>ES</t>
  </si>
  <si>
    <t>CI_Lower</t>
  </si>
  <si>
    <t>CI_Upper</t>
  </si>
  <si>
    <t>SE</t>
  </si>
  <si>
    <t>&gt;=12 Weeks</t>
  </si>
  <si>
    <t>Belobrajdic</t>
  </si>
  <si>
    <t>Campbell</t>
  </si>
  <si>
    <t>Evangelista</t>
  </si>
  <si>
    <t>Farnsworth F</t>
  </si>
  <si>
    <t>Farnsworth M</t>
  </si>
  <si>
    <t>Layman</t>
  </si>
  <si>
    <t>Leidy</t>
  </si>
  <si>
    <t>Luscombe</t>
  </si>
  <si>
    <t>Noakes</t>
  </si>
  <si>
    <t>Treyzon</t>
  </si>
  <si>
    <t>Wycherley</t>
  </si>
  <si>
    <t>&lt;12 Weeks</t>
  </si>
  <si>
    <t>Baba</t>
  </si>
  <si>
    <t>Johnston</t>
  </si>
  <si>
    <t>Kasim-Karakas</t>
  </si>
  <si>
    <t>Parker</t>
  </si>
  <si>
    <t>Torbay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</si>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</sst>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D395-E6EB-481C-B76B-4621009B78E4}">
  <dimension ref="A1:S18"/>
  <sheetViews>
    <sheetView tabSelected="1" workbookViewId="0">
      <selection activeCell="O13" sqref="O1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</row>
    <row r="2" spans="1:19" x14ac:dyDescent="0.25">
      <c r="A2" t="s">
        <v>14</v>
      </c>
      <c r="B2" t="s">
        <v>15</v>
      </c>
      <c r="C2">
        <v>2010</v>
      </c>
      <c r="D2">
        <v>-1.9</v>
      </c>
      <c r="E2">
        <v>3</v>
      </c>
      <c r="F2">
        <v>34</v>
      </c>
      <c r="G2">
        <v>-3.1</v>
      </c>
      <c r="H2">
        <v>4.3</v>
      </c>
      <c r="I2">
        <v>42</v>
      </c>
      <c r="J2">
        <v>3.6</v>
      </c>
      <c r="K2">
        <v>1.2</v>
      </c>
      <c r="L2">
        <v>0.45</v>
      </c>
      <c r="M2">
        <v>2.85</v>
      </c>
      <c r="N2">
        <v>0.61224489800000004</v>
      </c>
      <c r="O2">
        <f>SQRT(((F2-1)*E2*E2+(I2-1)*H2*H2)/(F2+I2-2))</f>
        <v>3.7759731160288963</v>
      </c>
      <c r="P2">
        <f>K2/O2</f>
        <v>0.31779887280077146</v>
      </c>
      <c r="Q2">
        <f t="shared" ref="Q2:Q18" si="0">1-3/(4*(F2+I2-2)-1)</f>
        <v>0.98983050847457632</v>
      </c>
      <c r="R2">
        <f t="shared" ref="R2:R18" si="1">Q2*P2</f>
        <v>0.31456701985703484</v>
      </c>
      <c r="S2">
        <f>Q2*N2/O2</f>
        <v>0.16049337748877857</v>
      </c>
    </row>
    <row r="3" spans="1:19" x14ac:dyDescent="0.25">
      <c r="A3" t="s">
        <v>14</v>
      </c>
      <c r="B3" t="s">
        <v>16</v>
      </c>
      <c r="C3">
        <v>2010</v>
      </c>
      <c r="D3">
        <v>-1.6</v>
      </c>
      <c r="E3">
        <v>1.1000000000000001</v>
      </c>
      <c r="F3">
        <v>13</v>
      </c>
      <c r="G3">
        <v>-2.2000000000000002</v>
      </c>
      <c r="H3">
        <v>1.6</v>
      </c>
      <c r="I3">
        <v>15</v>
      </c>
      <c r="J3">
        <v>7.4</v>
      </c>
      <c r="K3">
        <v>0.6</v>
      </c>
      <c r="L3">
        <v>-0.41</v>
      </c>
      <c r="M3">
        <v>1.61</v>
      </c>
      <c r="N3">
        <v>0.51530612200000003</v>
      </c>
      <c r="O3">
        <f t="shared" ref="O3:O18" si="2">SQRT(((F3-1)*E3*E3+(I3-1)*H3*H3)/(F3+I3-2))</f>
        <v>1.3917338383911908</v>
      </c>
      <c r="P3">
        <f t="shared" ref="P3:P18" si="3">K3/O3</f>
        <v>0.43111691578440375</v>
      </c>
      <c r="Q3">
        <f t="shared" si="0"/>
        <v>0.970873786407767</v>
      </c>
      <c r="R3">
        <f t="shared" si="1"/>
        <v>0.4185601124120425</v>
      </c>
      <c r="S3">
        <f>Q3*N3/O3</f>
        <v>0.35947764725155612</v>
      </c>
    </row>
    <row r="4" spans="1:19" x14ac:dyDescent="0.25">
      <c r="A4" t="s">
        <v>14</v>
      </c>
      <c r="B4" t="s">
        <v>17</v>
      </c>
      <c r="C4">
        <v>2009</v>
      </c>
      <c r="D4">
        <v>0.6</v>
      </c>
      <c r="E4">
        <v>1</v>
      </c>
      <c r="F4">
        <v>5</v>
      </c>
      <c r="G4">
        <v>-0.3</v>
      </c>
      <c r="H4">
        <v>0.3</v>
      </c>
      <c r="I4">
        <v>5</v>
      </c>
      <c r="J4">
        <v>8.3000000000000007</v>
      </c>
      <c r="K4">
        <v>0.9</v>
      </c>
      <c r="L4">
        <v>0.02</v>
      </c>
      <c r="M4">
        <v>1.82</v>
      </c>
      <c r="N4">
        <v>0.45918367300000001</v>
      </c>
      <c r="O4">
        <f t="shared" si="2"/>
        <v>0.73824115301167004</v>
      </c>
      <c r="P4">
        <f t="shared" si="3"/>
        <v>1.2191138306614735</v>
      </c>
      <c r="Q4">
        <f t="shared" si="0"/>
        <v>0.90322580645161288</v>
      </c>
      <c r="R4">
        <f t="shared" si="1"/>
        <v>1.1011350728555245</v>
      </c>
      <c r="S4">
        <f>Q4*N4/O4</f>
        <v>0.56180360802546925</v>
      </c>
    </row>
    <row r="5" spans="1:19" x14ac:dyDescent="0.25">
      <c r="A5" t="s">
        <v>14</v>
      </c>
      <c r="B5" t="s">
        <v>18</v>
      </c>
      <c r="C5">
        <v>2003</v>
      </c>
      <c r="D5">
        <v>-0.1</v>
      </c>
      <c r="E5">
        <v>1.4</v>
      </c>
      <c r="F5">
        <v>21</v>
      </c>
      <c r="G5">
        <v>-1.5</v>
      </c>
      <c r="H5">
        <v>1.4</v>
      </c>
      <c r="I5">
        <v>22</v>
      </c>
      <c r="J5">
        <v>9.1999999999999993</v>
      </c>
      <c r="K5">
        <v>1.4</v>
      </c>
      <c r="L5">
        <v>0.56000000000000005</v>
      </c>
      <c r="M5">
        <v>2.2400000000000002</v>
      </c>
      <c r="N5">
        <v>0.428571429</v>
      </c>
      <c r="O5">
        <f t="shared" si="2"/>
        <v>1.4</v>
      </c>
      <c r="P5">
        <f t="shared" si="3"/>
        <v>1</v>
      </c>
      <c r="Q5">
        <f t="shared" si="0"/>
        <v>0.98159509202453987</v>
      </c>
      <c r="R5">
        <f t="shared" si="1"/>
        <v>0.98159509202453987</v>
      </c>
      <c r="S5">
        <f>Q5*N5/O5</f>
        <v>0.30048829377738828</v>
      </c>
    </row>
    <row r="6" spans="1:19" x14ac:dyDescent="0.25">
      <c r="A6" t="s">
        <v>14</v>
      </c>
      <c r="B6" t="s">
        <v>19</v>
      </c>
      <c r="C6">
        <v>2003</v>
      </c>
      <c r="D6">
        <v>-2.5</v>
      </c>
      <c r="E6">
        <v>7.4</v>
      </c>
      <c r="F6">
        <v>7</v>
      </c>
      <c r="G6">
        <v>-1.9</v>
      </c>
      <c r="H6">
        <v>5.6</v>
      </c>
      <c r="I6">
        <v>7</v>
      </c>
      <c r="J6">
        <v>0.2</v>
      </c>
      <c r="K6">
        <v>-0.6</v>
      </c>
      <c r="L6">
        <v>-7.47</v>
      </c>
      <c r="M6">
        <v>6.27</v>
      </c>
      <c r="N6">
        <v>3.5051020409999998</v>
      </c>
      <c r="O6">
        <f t="shared" si="2"/>
        <v>6.5620118866091675</v>
      </c>
      <c r="P6">
        <f t="shared" si="3"/>
        <v>-9.1435372316895025E-2</v>
      </c>
      <c r="Q6">
        <f t="shared" si="0"/>
        <v>0.93617021276595747</v>
      </c>
      <c r="R6">
        <f t="shared" si="1"/>
        <v>-8.5599071956242154E-2</v>
      </c>
      <c r="S6">
        <f>Q6*N6/O6</f>
        <v>0.50005580303588371</v>
      </c>
    </row>
    <row r="7" spans="1:19" x14ac:dyDescent="0.25">
      <c r="A7" t="s">
        <v>14</v>
      </c>
      <c r="B7" t="s">
        <v>20</v>
      </c>
      <c r="C7">
        <v>2009</v>
      </c>
      <c r="D7">
        <v>-2.6</v>
      </c>
      <c r="E7">
        <v>1.4</v>
      </c>
      <c r="F7">
        <v>52</v>
      </c>
      <c r="G7">
        <v>-2.4</v>
      </c>
      <c r="H7">
        <v>1.4</v>
      </c>
      <c r="I7">
        <v>51</v>
      </c>
      <c r="J7">
        <v>13.4</v>
      </c>
      <c r="K7">
        <v>-0.2</v>
      </c>
      <c r="L7">
        <v>-0.74</v>
      </c>
      <c r="M7">
        <v>0.34</v>
      </c>
      <c r="N7">
        <v>0.27551020399999998</v>
      </c>
      <c r="O7">
        <f t="shared" si="2"/>
        <v>1.4</v>
      </c>
      <c r="P7">
        <f t="shared" si="3"/>
        <v>-0.14285714285714288</v>
      </c>
      <c r="Q7">
        <f t="shared" si="0"/>
        <v>0.99255583126550873</v>
      </c>
      <c r="R7">
        <f t="shared" si="1"/>
        <v>-0.14179369018078697</v>
      </c>
      <c r="S7">
        <f>Q7*N7/O7</f>
        <v>0.19532804253810707</v>
      </c>
    </row>
    <row r="8" spans="1:19" x14ac:dyDescent="0.25">
      <c r="A8" t="s">
        <v>14</v>
      </c>
      <c r="B8" t="s">
        <v>21</v>
      </c>
      <c r="C8">
        <v>2007</v>
      </c>
      <c r="D8">
        <v>-1.5</v>
      </c>
      <c r="E8">
        <v>1.4</v>
      </c>
      <c r="F8">
        <v>21</v>
      </c>
      <c r="G8">
        <v>-2.8</v>
      </c>
      <c r="H8">
        <v>2.5</v>
      </c>
      <c r="I8">
        <v>25</v>
      </c>
      <c r="J8">
        <v>6.2</v>
      </c>
      <c r="K8">
        <v>1.3</v>
      </c>
      <c r="L8">
        <v>0.15</v>
      </c>
      <c r="M8">
        <v>2.4500000000000002</v>
      </c>
      <c r="N8">
        <v>0.586734694</v>
      </c>
      <c r="O8">
        <f t="shared" si="2"/>
        <v>2.0736441353327719</v>
      </c>
      <c r="P8">
        <f t="shared" si="3"/>
        <v>0.62691566882153582</v>
      </c>
      <c r="Q8">
        <f t="shared" si="0"/>
        <v>0.98285714285714287</v>
      </c>
      <c r="R8">
        <f t="shared" si="1"/>
        <v>0.61616854307030955</v>
      </c>
      <c r="S8">
        <f>Q8*N8/O8</f>
        <v>0.27809804736214144</v>
      </c>
    </row>
    <row r="9" spans="1:19" x14ac:dyDescent="0.25">
      <c r="A9" t="s">
        <v>14</v>
      </c>
      <c r="B9" t="s">
        <v>22</v>
      </c>
      <c r="C9">
        <v>2003</v>
      </c>
      <c r="D9">
        <v>-1.2</v>
      </c>
      <c r="E9">
        <v>2.4500000000000002</v>
      </c>
      <c r="F9">
        <v>17</v>
      </c>
      <c r="G9">
        <v>-1.69</v>
      </c>
      <c r="H9">
        <v>1.49</v>
      </c>
      <c r="I9">
        <v>19</v>
      </c>
      <c r="J9">
        <v>4.9000000000000004</v>
      </c>
      <c r="K9">
        <v>0.49</v>
      </c>
      <c r="L9">
        <v>-0.85</v>
      </c>
      <c r="M9">
        <v>1.83</v>
      </c>
      <c r="N9">
        <v>0.68367346900000003</v>
      </c>
      <c r="O9">
        <f t="shared" si="2"/>
        <v>2.0000132352503246</v>
      </c>
      <c r="P9">
        <f t="shared" si="3"/>
        <v>0.24499837869256444</v>
      </c>
      <c r="Q9">
        <f t="shared" si="0"/>
        <v>0.97777777777777775</v>
      </c>
      <c r="R9">
        <f t="shared" si="1"/>
        <v>0.23955397027717412</v>
      </c>
      <c r="S9">
        <f>Q9*N9/O9</f>
        <v>0.33423815075942559</v>
      </c>
    </row>
    <row r="10" spans="1:19" x14ac:dyDescent="0.25">
      <c r="A10" t="s">
        <v>14</v>
      </c>
      <c r="B10" t="s">
        <v>23</v>
      </c>
      <c r="C10">
        <v>2005</v>
      </c>
      <c r="D10">
        <v>-1.5</v>
      </c>
      <c r="E10">
        <v>2.2000000000000002</v>
      </c>
      <c r="F10">
        <v>52</v>
      </c>
      <c r="G10">
        <v>-1.8</v>
      </c>
      <c r="H10">
        <v>2.1</v>
      </c>
      <c r="I10">
        <v>48</v>
      </c>
      <c r="J10">
        <v>9.1</v>
      </c>
      <c r="K10">
        <v>0.3</v>
      </c>
      <c r="L10">
        <v>-0.54</v>
      </c>
      <c r="M10">
        <v>1.1399999999999999</v>
      </c>
      <c r="N10">
        <v>0.428571429</v>
      </c>
      <c r="O10">
        <f t="shared" si="2"/>
        <v>2.1526206145542881</v>
      </c>
      <c r="P10">
        <f t="shared" si="3"/>
        <v>0.13936501303185589</v>
      </c>
      <c r="Q10">
        <f t="shared" si="0"/>
        <v>0.99232736572890023</v>
      </c>
      <c r="R10">
        <f t="shared" si="1"/>
        <v>0.13829571625667542</v>
      </c>
      <c r="S10">
        <f>Q10*N10/O10</f>
        <v>0.19756530913567302</v>
      </c>
    </row>
    <row r="11" spans="1:19" x14ac:dyDescent="0.25">
      <c r="A11" t="s">
        <v>14</v>
      </c>
      <c r="B11" t="s">
        <v>24</v>
      </c>
      <c r="C11">
        <v>2008</v>
      </c>
      <c r="D11">
        <v>-2.78</v>
      </c>
      <c r="E11">
        <v>4.1100000000000003</v>
      </c>
      <c r="F11">
        <v>44</v>
      </c>
      <c r="G11">
        <v>-4.0599999999999996</v>
      </c>
      <c r="H11">
        <v>11.14</v>
      </c>
      <c r="I11">
        <v>41</v>
      </c>
      <c r="J11">
        <v>0.9</v>
      </c>
      <c r="K11">
        <v>1.28</v>
      </c>
      <c r="L11">
        <v>-2.34</v>
      </c>
      <c r="M11">
        <v>4.9000000000000004</v>
      </c>
      <c r="N11">
        <v>1.846938776</v>
      </c>
      <c r="O11">
        <f t="shared" si="2"/>
        <v>8.2799978901109004</v>
      </c>
      <c r="P11">
        <f t="shared" si="3"/>
        <v>0.15458941137276738</v>
      </c>
      <c r="Q11">
        <f t="shared" si="0"/>
        <v>0.99093655589123864</v>
      </c>
      <c r="R11">
        <f t="shared" si="1"/>
        <v>0.15318829888298399</v>
      </c>
      <c r="S11">
        <f>Q11*N11/O11</f>
        <v>0.22103860096598485</v>
      </c>
    </row>
    <row r="12" spans="1:19" x14ac:dyDescent="0.25">
      <c r="A12" t="s">
        <v>14</v>
      </c>
      <c r="B12" t="s">
        <v>25</v>
      </c>
      <c r="C12">
        <v>2010</v>
      </c>
      <c r="D12">
        <v>-1.9</v>
      </c>
      <c r="E12">
        <v>1.5</v>
      </c>
      <c r="F12">
        <v>12</v>
      </c>
      <c r="G12">
        <v>-2.2000000000000002</v>
      </c>
      <c r="H12">
        <v>1.9</v>
      </c>
      <c r="I12">
        <v>16</v>
      </c>
      <c r="J12">
        <v>5.4</v>
      </c>
      <c r="K12">
        <v>0.3</v>
      </c>
      <c r="L12">
        <v>-0.96</v>
      </c>
      <c r="M12">
        <v>1.56</v>
      </c>
      <c r="N12">
        <v>0.64285714299999996</v>
      </c>
      <c r="O12">
        <f t="shared" si="2"/>
        <v>1.7420147486790647</v>
      </c>
      <c r="P12">
        <f t="shared" si="3"/>
        <v>0.17221438580097215</v>
      </c>
      <c r="Q12">
        <f t="shared" si="0"/>
        <v>0.970873786407767</v>
      </c>
      <c r="R12">
        <f t="shared" si="1"/>
        <v>0.16719843281647781</v>
      </c>
      <c r="S12">
        <f>Q12*N12/O12</f>
        <v>0.35828235611492792</v>
      </c>
    </row>
    <row r="13" spans="1:19" x14ac:dyDescent="0.25">
      <c r="A13" t="s">
        <v>26</v>
      </c>
      <c r="B13" t="s">
        <v>27</v>
      </c>
      <c r="C13">
        <v>1999</v>
      </c>
      <c r="D13">
        <v>-1.2</v>
      </c>
      <c r="E13">
        <v>1.1000000000000001</v>
      </c>
      <c r="F13">
        <v>7</v>
      </c>
      <c r="G13">
        <v>0.3</v>
      </c>
      <c r="H13">
        <v>1.5</v>
      </c>
      <c r="I13">
        <v>6</v>
      </c>
      <c r="J13">
        <v>4.4000000000000004</v>
      </c>
      <c r="K13">
        <v>-1.5</v>
      </c>
      <c r="L13">
        <v>-2.95</v>
      </c>
      <c r="M13">
        <v>-0.05</v>
      </c>
      <c r="N13">
        <v>0.739795918</v>
      </c>
      <c r="O13">
        <f t="shared" si="2"/>
        <v>1.2971997813472189</v>
      </c>
      <c r="P13">
        <f t="shared" si="3"/>
        <v>-1.1563369201636475</v>
      </c>
      <c r="Q13">
        <f t="shared" si="0"/>
        <v>0.93023255813953487</v>
      </c>
      <c r="R13">
        <f t="shared" si="1"/>
        <v>-1.0756622513150209</v>
      </c>
      <c r="S13">
        <f>Q13*N13/O13</f>
        <v>0.53051369511302837</v>
      </c>
    </row>
    <row r="14" spans="1:19" x14ac:dyDescent="0.25">
      <c r="A14" t="s">
        <v>26</v>
      </c>
      <c r="B14" t="s">
        <v>28</v>
      </c>
      <c r="C14">
        <v>2004</v>
      </c>
      <c r="D14">
        <v>-2.1</v>
      </c>
      <c r="E14">
        <v>1.3</v>
      </c>
      <c r="F14">
        <v>9</v>
      </c>
      <c r="G14">
        <v>-1.74</v>
      </c>
      <c r="H14">
        <v>1.1200000000000001</v>
      </c>
      <c r="I14">
        <v>7</v>
      </c>
      <c r="J14">
        <v>5.9</v>
      </c>
      <c r="K14">
        <v>-0.36</v>
      </c>
      <c r="L14">
        <v>-1.55</v>
      </c>
      <c r="M14">
        <v>0.83</v>
      </c>
      <c r="N14">
        <v>0.60714285700000004</v>
      </c>
      <c r="O14">
        <f t="shared" si="2"/>
        <v>1.226097176293252</v>
      </c>
      <c r="P14">
        <f t="shared" si="3"/>
        <v>-0.29361457391848433</v>
      </c>
      <c r="Q14">
        <f t="shared" si="0"/>
        <v>0.94545454545454544</v>
      </c>
      <c r="R14">
        <f t="shared" si="1"/>
        <v>-0.27759923352293064</v>
      </c>
      <c r="S14">
        <f>Q14*N14/O14</f>
        <v>0.46817331039478421</v>
      </c>
    </row>
    <row r="15" spans="1:19" x14ac:dyDescent="0.25">
      <c r="A15" t="s">
        <v>26</v>
      </c>
      <c r="B15" t="s">
        <v>29</v>
      </c>
      <c r="C15">
        <v>2009</v>
      </c>
      <c r="D15">
        <v>-0.3</v>
      </c>
      <c r="E15">
        <v>1.3</v>
      </c>
      <c r="F15">
        <v>11</v>
      </c>
      <c r="G15">
        <v>-0.6</v>
      </c>
      <c r="H15">
        <v>1.1000000000000001</v>
      </c>
      <c r="I15">
        <v>13</v>
      </c>
      <c r="J15">
        <v>7.7</v>
      </c>
      <c r="K15">
        <v>0.3</v>
      </c>
      <c r="L15">
        <v>-0.67</v>
      </c>
      <c r="M15">
        <v>1.27</v>
      </c>
      <c r="N15">
        <v>0.494897959</v>
      </c>
      <c r="O15">
        <f t="shared" si="2"/>
        <v>1.1950656125007608</v>
      </c>
      <c r="P15">
        <f t="shared" si="3"/>
        <v>0.25103224196387713</v>
      </c>
      <c r="Q15">
        <f t="shared" si="0"/>
        <v>0.96551724137931039</v>
      </c>
      <c r="R15">
        <f t="shared" si="1"/>
        <v>0.24237595775822621</v>
      </c>
      <c r="S15">
        <f>Q15*N15/O15</f>
        <v>0.39983788935072118</v>
      </c>
    </row>
    <row r="16" spans="1:19" x14ac:dyDescent="0.25">
      <c r="A16" t="s">
        <v>26</v>
      </c>
      <c r="B16" t="s">
        <v>20</v>
      </c>
      <c r="C16">
        <v>2003</v>
      </c>
      <c r="D16">
        <v>-0.88</v>
      </c>
      <c r="E16">
        <v>1.1399999999999999</v>
      </c>
      <c r="F16">
        <v>12</v>
      </c>
      <c r="G16">
        <v>-1.21</v>
      </c>
      <c r="H16">
        <v>2.0099999999999998</v>
      </c>
      <c r="I16">
        <v>12</v>
      </c>
      <c r="J16">
        <v>5.0999999999999996</v>
      </c>
      <c r="K16">
        <v>0.33</v>
      </c>
      <c r="L16">
        <v>-0.98</v>
      </c>
      <c r="M16">
        <v>1.64</v>
      </c>
      <c r="N16">
        <v>0.668367347</v>
      </c>
      <c r="O16">
        <f t="shared" si="2"/>
        <v>1.6339675639375464</v>
      </c>
      <c r="P16">
        <f t="shared" si="3"/>
        <v>0.20196239343011418</v>
      </c>
      <c r="Q16">
        <f t="shared" si="0"/>
        <v>0.96551724137931039</v>
      </c>
      <c r="R16">
        <f t="shared" si="1"/>
        <v>0.19499817296700681</v>
      </c>
      <c r="S16">
        <f>Q16*N16/O16</f>
        <v>0.39494064101759235</v>
      </c>
    </row>
    <row r="17" spans="1:19" x14ac:dyDescent="0.25">
      <c r="A17" t="s">
        <v>26</v>
      </c>
      <c r="B17" t="s">
        <v>30</v>
      </c>
      <c r="C17">
        <v>2002</v>
      </c>
      <c r="D17">
        <v>-0.61</v>
      </c>
      <c r="E17">
        <v>1.87</v>
      </c>
      <c r="F17">
        <v>26</v>
      </c>
      <c r="G17">
        <v>-1.4</v>
      </c>
      <c r="H17">
        <v>2.88</v>
      </c>
      <c r="I17">
        <v>28</v>
      </c>
      <c r="J17">
        <v>5.3</v>
      </c>
      <c r="K17">
        <v>0.79</v>
      </c>
      <c r="L17">
        <v>-0.5</v>
      </c>
      <c r="M17">
        <v>2.08</v>
      </c>
      <c r="N17">
        <v>0.658163265</v>
      </c>
      <c r="O17">
        <f t="shared" si="2"/>
        <v>2.4470205588397933</v>
      </c>
      <c r="P17">
        <f t="shared" si="3"/>
        <v>0.32284158673949309</v>
      </c>
      <c r="Q17">
        <f t="shared" si="0"/>
        <v>0.98550724637681164</v>
      </c>
      <c r="R17">
        <f t="shared" si="1"/>
        <v>0.31816272316355843</v>
      </c>
      <c r="S17">
        <f>Q17*N17/O17</f>
        <v>0.26506710971977054</v>
      </c>
    </row>
    <row r="18" spans="1:19" x14ac:dyDescent="0.25">
      <c r="A18" t="s">
        <v>26</v>
      </c>
      <c r="B18" t="s">
        <v>31</v>
      </c>
      <c r="C18">
        <v>2002</v>
      </c>
      <c r="D18">
        <v>-0.2</v>
      </c>
      <c r="E18">
        <v>2.1</v>
      </c>
      <c r="F18">
        <v>7</v>
      </c>
      <c r="G18">
        <v>-0.7</v>
      </c>
      <c r="H18">
        <v>1.3</v>
      </c>
      <c r="I18">
        <v>7</v>
      </c>
      <c r="J18">
        <v>3</v>
      </c>
      <c r="K18">
        <v>0.5</v>
      </c>
      <c r="L18">
        <v>-1.33</v>
      </c>
      <c r="M18">
        <v>2.33</v>
      </c>
      <c r="N18">
        <v>0.93367346900000003</v>
      </c>
      <c r="O18">
        <f t="shared" si="2"/>
        <v>1.7464249196572983</v>
      </c>
      <c r="P18">
        <f t="shared" si="3"/>
        <v>0.2862991671569341</v>
      </c>
      <c r="Q18">
        <f t="shared" si="0"/>
        <v>0.93617021276595747</v>
      </c>
      <c r="R18">
        <f t="shared" si="1"/>
        <v>0.26802475223202343</v>
      </c>
      <c r="S18">
        <f>Q18*N18/O18</f>
        <v>0.50049520038867756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wycherley_protein_ffm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2025-10-12T00:52:41Z</dcterms:created>
  <dcterms:modified xsi:type="dcterms:W3CDTF">2025-12-30T13:19:47Z</dcterms:modified>
</cp:coreProperties>
</file>