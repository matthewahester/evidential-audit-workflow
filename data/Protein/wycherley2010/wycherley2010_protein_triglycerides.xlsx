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wycherley2010\"/>
    </mc:Choice>
  </mc:AlternateContent>
  <xr:revisionPtr revIDLastSave="0" documentId="13_ncr:1_{C3504A45-1A88-46FD-8622-08542BBA0E17}" xr6:coauthVersionLast="47" xr6:coauthVersionMax="47" xr10:uidLastSave="{00000000-0000-0000-0000-000000000000}"/>
  <bookViews>
    <workbookView xWindow="38280" yWindow="2820" windowWidth="29040" windowHeight="16440" xr2:uid="{E08617FC-F359-41F7-B3BC-D0369903A3CE}"/>
  </bookViews>
  <sheets>
    <sheet name="wycherley_protein_rt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2" i="1"/>
  <c r="N3" i="1"/>
  <c r="N4" i="1"/>
  <c r="N5" i="1"/>
  <c r="N6" i="1"/>
  <c r="N7" i="1"/>
  <c r="N8" i="1"/>
  <c r="N9" i="1"/>
  <c r="N10" i="1"/>
  <c r="N11" i="1"/>
  <c r="O11" i="1" s="1"/>
  <c r="N12" i="1"/>
  <c r="O12" i="1" s="1"/>
  <c r="N13" i="1"/>
  <c r="O13" i="1" s="1"/>
  <c r="N14" i="1"/>
  <c r="O14" i="1" s="1"/>
  <c r="N2" i="1"/>
  <c r="O2" i="1" s="1"/>
  <c r="P3" i="1"/>
  <c r="P4" i="1"/>
  <c r="P5" i="1"/>
  <c r="P6" i="1"/>
  <c r="P7" i="1"/>
  <c r="P8" i="1"/>
  <c r="P9" i="1"/>
  <c r="P10" i="1"/>
  <c r="P11" i="1"/>
  <c r="P12" i="1"/>
  <c r="P13" i="1"/>
  <c r="P14" i="1"/>
  <c r="P2" i="1"/>
  <c r="O3" i="1"/>
  <c r="Q3" i="1" s="1"/>
  <c r="O4" i="1"/>
  <c r="Q4" i="1" s="1"/>
  <c r="O5" i="1"/>
  <c r="O6" i="1"/>
  <c r="O7" i="1"/>
  <c r="O8" i="1"/>
  <c r="Q8" i="1" s="1"/>
  <c r="O9" i="1"/>
  <c r="O10" i="1"/>
  <c r="Q12" i="1" l="1"/>
  <c r="Q6" i="1"/>
  <c r="Q10" i="1"/>
  <c r="Q13" i="1"/>
  <c r="Q14" i="1"/>
  <c r="Q11" i="1"/>
  <c r="Q5" i="1"/>
  <c r="Q7" i="1"/>
  <c r="Q9" i="1"/>
  <c r="Q2" i="1"/>
</calcChain>
</file>

<file path=xl/sharedStrings.xml><?xml version="1.0" encoding="utf-8"?>
<sst xmlns="http://schemas.openxmlformats.org/spreadsheetml/2006/main" count="31" uniqueCount="31">
  <si>
    <t>Author</t>
  </si>
  <si>
    <t>Year</t>
  </si>
  <si>
    <t>HP_Mean</t>
  </si>
  <si>
    <t>HP_SD</t>
  </si>
  <si>
    <t>HP_N</t>
  </si>
  <si>
    <t>SP_Mean</t>
  </si>
  <si>
    <t>SP_SD</t>
  </si>
  <si>
    <t>SP_N</t>
  </si>
  <si>
    <t>Weight_%</t>
  </si>
  <si>
    <t>ES</t>
  </si>
  <si>
    <t>CI_Lower</t>
  </si>
  <si>
    <t>CI_Upper</t>
  </si>
  <si>
    <t>SE</t>
  </si>
  <si>
    <t>Evangelista</t>
  </si>
  <si>
    <t>Farnsworth F</t>
  </si>
  <si>
    <t>Farnsworth M</t>
  </si>
  <si>
    <t>Flechtner-Mors</t>
  </si>
  <si>
    <t>Leidy</t>
  </si>
  <si>
    <t>Noakes</t>
  </si>
  <si>
    <t>Wycherley</t>
  </si>
  <si>
    <t>Baba</t>
  </si>
  <si>
    <t>Johnston</t>
  </si>
  <si>
    <t>Kasim-Karakas</t>
  </si>
  <si>
    <t>Parker</t>
  </si>
  <si>
    <t>Stamets</t>
  </si>
  <si>
    <t>Torbay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</si>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</sst>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6A94-C828-45FE-A2A5-E35C24D4246C}">
  <dimension ref="A1:R14"/>
  <sheetViews>
    <sheetView tabSelected="1" topLeftCell="E1" workbookViewId="0">
      <selection activeCell="P8" sqref="P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 x14ac:dyDescent="0.25">
      <c r="A2" t="s">
        <v>13</v>
      </c>
      <c r="B2">
        <v>2009</v>
      </c>
      <c r="C2">
        <v>-0.74</v>
      </c>
      <c r="D2">
        <v>0.28999999999999998</v>
      </c>
      <c r="E2">
        <v>5</v>
      </c>
      <c r="F2">
        <v>-0.2</v>
      </c>
      <c r="G2">
        <v>0.28999999999999998</v>
      </c>
      <c r="H2">
        <v>5</v>
      </c>
      <c r="I2">
        <v>8.1999999999999993</v>
      </c>
      <c r="J2">
        <v>0.54</v>
      </c>
      <c r="K2">
        <v>0.18</v>
      </c>
      <c r="L2">
        <v>0.9</v>
      </c>
      <c r="M2">
        <v>0.18367346900000001</v>
      </c>
      <c r="N2">
        <f>SQRT(((E2-1)*D2*D2+(H2-1)*G2*G2)/(E2+H2-2))</f>
        <v>0.28999999999999998</v>
      </c>
      <c r="O2">
        <f>J2/N2</f>
        <v>1.8620689655172415</v>
      </c>
      <c r="P2">
        <f t="shared" ref="P2:P14" si="0">1-3/(4*(E2+H2-2)-1)</f>
        <v>0.90322580645161288</v>
      </c>
      <c r="Q2">
        <f t="shared" ref="Q2:Q14" si="1">P2*O2</f>
        <v>1.681868743047831</v>
      </c>
      <c r="R2">
        <f>P2*M2/N2</f>
        <v>0.57206419710789769</v>
      </c>
    </row>
    <row r="3" spans="1:18" x14ac:dyDescent="0.25">
      <c r="A3" t="s">
        <v>14</v>
      </c>
      <c r="B3">
        <v>2003</v>
      </c>
      <c r="C3">
        <v>-0.37</v>
      </c>
      <c r="D3">
        <v>0.37</v>
      </c>
      <c r="E3">
        <v>21</v>
      </c>
      <c r="F3">
        <v>-0.15</v>
      </c>
      <c r="G3">
        <v>0.5</v>
      </c>
      <c r="H3">
        <v>22</v>
      </c>
      <c r="I3">
        <v>15.5</v>
      </c>
      <c r="J3">
        <v>0.22</v>
      </c>
      <c r="K3">
        <v>-0.04</v>
      </c>
      <c r="L3">
        <v>0.48</v>
      </c>
      <c r="M3">
        <v>0.13265306099999999</v>
      </c>
      <c r="N3">
        <f t="shared" ref="N3:N14" si="2">SQRT(((E3-1)*D3*D3+(H3-1)*G3*G3)/(E3+H3-2))</f>
        <v>0.44139468539243071</v>
      </c>
      <c r="O3">
        <f t="shared" ref="O3:O14" si="3">J3/N3</f>
        <v>0.49842013798694618</v>
      </c>
      <c r="P3">
        <f t="shared" si="0"/>
        <v>0.98159509202453987</v>
      </c>
      <c r="Q3">
        <f t="shared" si="1"/>
        <v>0.48924676121418031</v>
      </c>
      <c r="R3">
        <f>P3*M3/N3</f>
        <v>0.2950003657245322</v>
      </c>
    </row>
    <row r="4" spans="1:18" x14ac:dyDescent="0.25">
      <c r="A4" t="s">
        <v>15</v>
      </c>
      <c r="B4">
        <v>2003</v>
      </c>
      <c r="C4">
        <v>-0.88</v>
      </c>
      <c r="D4">
        <v>0.56000000000000005</v>
      </c>
      <c r="E4">
        <v>7</v>
      </c>
      <c r="F4">
        <v>-0.27</v>
      </c>
      <c r="G4">
        <v>0.42</v>
      </c>
      <c r="H4">
        <v>7</v>
      </c>
      <c r="I4">
        <v>4</v>
      </c>
      <c r="J4">
        <v>0.61</v>
      </c>
      <c r="K4">
        <v>-0.11</v>
      </c>
      <c r="L4">
        <v>0.93</v>
      </c>
      <c r="M4">
        <v>0.26530612199999998</v>
      </c>
      <c r="N4">
        <f t="shared" si="2"/>
        <v>0.49497474683058329</v>
      </c>
      <c r="O4">
        <f t="shared" si="3"/>
        <v>1.232386104353697</v>
      </c>
      <c r="P4">
        <f t="shared" si="0"/>
        <v>0.93617021276595747</v>
      </c>
      <c r="Q4">
        <f t="shared" si="1"/>
        <v>1.15372316152261</v>
      </c>
      <c r="R4">
        <f>P4*M4/N4</f>
        <v>0.50178658663138243</v>
      </c>
    </row>
    <row r="5" spans="1:18" x14ac:dyDescent="0.25">
      <c r="A5" t="s">
        <v>16</v>
      </c>
      <c r="B5">
        <v>2010</v>
      </c>
      <c r="C5">
        <v>-0.63</v>
      </c>
      <c r="D5">
        <v>1</v>
      </c>
      <c r="E5">
        <v>49</v>
      </c>
      <c r="F5">
        <v>-0.34</v>
      </c>
      <c r="G5">
        <v>1.2</v>
      </c>
      <c r="H5">
        <v>53</v>
      </c>
      <c r="I5">
        <v>5.8</v>
      </c>
      <c r="J5">
        <v>0.28999999999999998</v>
      </c>
      <c r="K5">
        <v>-0.14000000000000001</v>
      </c>
      <c r="L5">
        <v>0.72</v>
      </c>
      <c r="M5">
        <v>0.21938775499999999</v>
      </c>
      <c r="N5">
        <f t="shared" si="2"/>
        <v>1.1085125168440815</v>
      </c>
      <c r="O5">
        <f t="shared" si="3"/>
        <v>0.26161184072654914</v>
      </c>
      <c r="P5">
        <f t="shared" si="0"/>
        <v>0.99248120300751874</v>
      </c>
      <c r="Q5">
        <f t="shared" si="1"/>
        <v>0.2596448344052969</v>
      </c>
      <c r="R5">
        <f>P5*M5/N5</f>
        <v>0.19642378385353396</v>
      </c>
    </row>
    <row r="6" spans="1:18" x14ac:dyDescent="0.25">
      <c r="A6" t="s">
        <v>17</v>
      </c>
      <c r="B6">
        <v>2007</v>
      </c>
      <c r="C6">
        <v>-0.25</v>
      </c>
      <c r="D6">
        <v>0.5</v>
      </c>
      <c r="E6">
        <v>21</v>
      </c>
      <c r="F6">
        <v>-0.14000000000000001</v>
      </c>
      <c r="G6">
        <v>0.45</v>
      </c>
      <c r="H6">
        <v>25</v>
      </c>
      <c r="I6">
        <v>13.8</v>
      </c>
      <c r="J6">
        <v>0.11</v>
      </c>
      <c r="K6">
        <v>-0.17</v>
      </c>
      <c r="L6">
        <v>0.39</v>
      </c>
      <c r="M6">
        <v>0.14285714299999999</v>
      </c>
      <c r="N6">
        <f t="shared" si="2"/>
        <v>0.47338241316182111</v>
      </c>
      <c r="O6">
        <f t="shared" si="3"/>
        <v>0.23237027177517383</v>
      </c>
      <c r="P6">
        <f t="shared" si="0"/>
        <v>0.98285714285714287</v>
      </c>
      <c r="Q6">
        <f t="shared" si="1"/>
        <v>0.22838678140188515</v>
      </c>
      <c r="R6">
        <f>P6*M6/N6</f>
        <v>0.29660620990944403</v>
      </c>
    </row>
    <row r="7" spans="1:18" x14ac:dyDescent="0.25">
      <c r="A7" t="s">
        <v>18</v>
      </c>
      <c r="B7">
        <v>2005</v>
      </c>
      <c r="C7">
        <v>-0.3</v>
      </c>
      <c r="D7">
        <v>0.72</v>
      </c>
      <c r="E7">
        <v>52</v>
      </c>
      <c r="F7">
        <v>-0.11</v>
      </c>
      <c r="G7">
        <v>0.42</v>
      </c>
      <c r="H7">
        <v>48</v>
      </c>
      <c r="I7">
        <v>20.3</v>
      </c>
      <c r="J7">
        <v>0.19</v>
      </c>
      <c r="K7">
        <v>-0.04</v>
      </c>
      <c r="L7">
        <v>0.42</v>
      </c>
      <c r="M7">
        <v>0.117346939</v>
      </c>
      <c r="N7">
        <f t="shared" si="2"/>
        <v>0.59529790175737618</v>
      </c>
      <c r="O7">
        <f t="shared" si="3"/>
        <v>0.3191679316172657</v>
      </c>
      <c r="P7">
        <f t="shared" si="0"/>
        <v>0.99232736572890023</v>
      </c>
      <c r="Q7">
        <f t="shared" si="1"/>
        <v>0.31671907280690303</v>
      </c>
      <c r="R7">
        <f>P7*M7/N7</f>
        <v>0.1956105985095169</v>
      </c>
    </row>
    <row r="8" spans="1:18" x14ac:dyDescent="0.25">
      <c r="A8" t="s">
        <v>19</v>
      </c>
      <c r="B8">
        <v>2010</v>
      </c>
      <c r="C8">
        <v>-0.4</v>
      </c>
      <c r="D8">
        <v>1</v>
      </c>
      <c r="E8">
        <v>12</v>
      </c>
      <c r="F8">
        <v>-0.6</v>
      </c>
      <c r="G8">
        <v>1.1000000000000001</v>
      </c>
      <c r="H8">
        <v>16</v>
      </c>
      <c r="I8">
        <v>1.7</v>
      </c>
      <c r="J8">
        <v>-0.2</v>
      </c>
      <c r="K8">
        <v>-0.98</v>
      </c>
      <c r="L8">
        <v>0.57999999999999996</v>
      </c>
      <c r="M8">
        <v>0.39795918400000002</v>
      </c>
      <c r="N8">
        <f t="shared" si="2"/>
        <v>1.0588455251611757</v>
      </c>
      <c r="O8">
        <f t="shared" si="3"/>
        <v>-0.18888496503732813</v>
      </c>
      <c r="P8">
        <f t="shared" si="0"/>
        <v>0.970873786407767</v>
      </c>
      <c r="Q8">
        <f t="shared" si="1"/>
        <v>-0.18338346120128945</v>
      </c>
      <c r="R8">
        <f>P8*M8/N8</f>
        <v>0.36489566289380404</v>
      </c>
    </row>
    <row r="9" spans="1:18" x14ac:dyDescent="0.25">
      <c r="A9" t="s">
        <v>20</v>
      </c>
      <c r="B9">
        <v>1999</v>
      </c>
      <c r="C9">
        <v>-1.24</v>
      </c>
      <c r="D9">
        <v>1.1399999999999999</v>
      </c>
      <c r="E9">
        <v>7</v>
      </c>
      <c r="F9">
        <v>-0.85</v>
      </c>
      <c r="G9">
        <v>0.76</v>
      </c>
      <c r="H9">
        <v>6</v>
      </c>
      <c r="I9">
        <v>1</v>
      </c>
      <c r="J9">
        <v>0.39</v>
      </c>
      <c r="K9">
        <v>-0.65</v>
      </c>
      <c r="L9">
        <v>1.43</v>
      </c>
      <c r="M9">
        <v>0.53061224500000004</v>
      </c>
      <c r="N9">
        <f t="shared" si="2"/>
        <v>0.98560548994929087</v>
      </c>
      <c r="O9">
        <f t="shared" si="3"/>
        <v>0.39569584785903072</v>
      </c>
      <c r="P9">
        <f t="shared" si="0"/>
        <v>0.93023255813953487</v>
      </c>
      <c r="Q9">
        <f t="shared" si="1"/>
        <v>0.36808916079909837</v>
      </c>
      <c r="R9">
        <f>P9*M9/N9</f>
        <v>0.50080157941480907</v>
      </c>
    </row>
    <row r="10" spans="1:18" x14ac:dyDescent="0.25">
      <c r="A10" t="s">
        <v>21</v>
      </c>
      <c r="B10">
        <v>2004</v>
      </c>
      <c r="C10">
        <v>-0.16</v>
      </c>
      <c r="D10">
        <v>0.28000000000000003</v>
      </c>
      <c r="E10">
        <v>9</v>
      </c>
      <c r="F10">
        <v>0.09</v>
      </c>
      <c r="G10">
        <v>0.32</v>
      </c>
      <c r="H10">
        <v>7</v>
      </c>
      <c r="I10">
        <v>11.9</v>
      </c>
      <c r="J10">
        <v>0.25</v>
      </c>
      <c r="K10">
        <v>-0.05</v>
      </c>
      <c r="L10">
        <v>0.55000000000000004</v>
      </c>
      <c r="M10">
        <v>0.153061224</v>
      </c>
      <c r="N10">
        <f t="shared" si="2"/>
        <v>0.29780146790389445</v>
      </c>
      <c r="O10">
        <f t="shared" si="3"/>
        <v>0.8394854523708366</v>
      </c>
      <c r="P10">
        <f t="shared" si="0"/>
        <v>0.94545454545454544</v>
      </c>
      <c r="Q10">
        <f t="shared" si="1"/>
        <v>0.79369533678697279</v>
      </c>
      <c r="R10">
        <f>P10*M10/N10</f>
        <v>0.48593591892682514</v>
      </c>
    </row>
    <row r="11" spans="1:18" x14ac:dyDescent="0.25">
      <c r="A11" t="s">
        <v>22</v>
      </c>
      <c r="B11">
        <v>2009</v>
      </c>
      <c r="C11">
        <v>-0.36</v>
      </c>
      <c r="D11">
        <v>0.8</v>
      </c>
      <c r="E11">
        <v>11</v>
      </c>
      <c r="F11">
        <v>0.02</v>
      </c>
      <c r="G11">
        <v>0.32</v>
      </c>
      <c r="H11">
        <v>13</v>
      </c>
      <c r="I11">
        <v>4.2</v>
      </c>
      <c r="J11">
        <v>0.38</v>
      </c>
      <c r="K11">
        <v>-0.12</v>
      </c>
      <c r="L11">
        <v>0.88</v>
      </c>
      <c r="M11">
        <v>0.255102041</v>
      </c>
      <c r="N11">
        <f t="shared" si="2"/>
        <v>0.58886639941809926</v>
      </c>
      <c r="O11">
        <f t="shared" si="3"/>
        <v>0.64530766295292963</v>
      </c>
      <c r="P11">
        <f t="shared" si="0"/>
        <v>0.96551724137931039</v>
      </c>
      <c r="Q11">
        <f t="shared" si="1"/>
        <v>0.62305567457524247</v>
      </c>
      <c r="R11">
        <f>P11*M11/N11</f>
        <v>0.41827045852835826</v>
      </c>
    </row>
    <row r="12" spans="1:18" x14ac:dyDescent="0.25">
      <c r="A12" t="s">
        <v>23</v>
      </c>
      <c r="B12">
        <v>2002</v>
      </c>
      <c r="C12">
        <v>-0.47</v>
      </c>
      <c r="D12">
        <v>0.51</v>
      </c>
      <c r="E12">
        <v>26</v>
      </c>
      <c r="F12">
        <v>-0.42</v>
      </c>
      <c r="G12">
        <v>0.82</v>
      </c>
      <c r="H12">
        <v>28</v>
      </c>
      <c r="I12">
        <v>8.1</v>
      </c>
      <c r="J12">
        <v>0.05</v>
      </c>
      <c r="K12">
        <v>-0.31</v>
      </c>
      <c r="L12">
        <v>0.41</v>
      </c>
      <c r="M12">
        <v>0.18367346900000001</v>
      </c>
      <c r="N12">
        <f t="shared" si="2"/>
        <v>0.68860645230337925</v>
      </c>
      <c r="O12">
        <f t="shared" si="3"/>
        <v>7.26104146029284E-2</v>
      </c>
      <c r="P12">
        <f t="shared" si="0"/>
        <v>0.98550724637681164</v>
      </c>
      <c r="Q12">
        <f t="shared" si="1"/>
        <v>7.1558089753610596E-2</v>
      </c>
      <c r="R12">
        <f>P12*M12/N12</f>
        <v>0.26286645160118022</v>
      </c>
    </row>
    <row r="13" spans="1:18" x14ac:dyDescent="0.25">
      <c r="A13" t="s">
        <v>24</v>
      </c>
      <c r="B13">
        <v>2004</v>
      </c>
      <c r="C13">
        <v>-0.33</v>
      </c>
      <c r="D13">
        <v>0.89</v>
      </c>
      <c r="E13">
        <v>13</v>
      </c>
      <c r="F13">
        <v>-0.24</v>
      </c>
      <c r="G13">
        <v>0.59</v>
      </c>
      <c r="H13">
        <v>13</v>
      </c>
      <c r="I13">
        <v>2.7</v>
      </c>
      <c r="J13">
        <v>0.09</v>
      </c>
      <c r="K13">
        <v>-0.54</v>
      </c>
      <c r="L13">
        <v>0.72</v>
      </c>
      <c r="M13">
        <v>0.321428571</v>
      </c>
      <c r="N13">
        <f t="shared" si="2"/>
        <v>0.75504966724050682</v>
      </c>
      <c r="O13">
        <f t="shared" si="3"/>
        <v>0.11919745667715419</v>
      </c>
      <c r="P13">
        <f t="shared" si="0"/>
        <v>0.96842105263157896</v>
      </c>
      <c r="Q13">
        <f t="shared" si="1"/>
        <v>0.11543332646629668</v>
      </c>
      <c r="R13">
        <f>P13*M13/N13</f>
        <v>0.41226187968709138</v>
      </c>
    </row>
    <row r="14" spans="1:18" x14ac:dyDescent="0.25">
      <c r="A14" t="s">
        <v>25</v>
      </c>
      <c r="B14">
        <v>2002</v>
      </c>
      <c r="C14">
        <v>-0.62</v>
      </c>
      <c r="D14">
        <v>0.42</v>
      </c>
      <c r="E14">
        <v>7</v>
      </c>
      <c r="F14">
        <v>-0.28999999999999998</v>
      </c>
      <c r="G14">
        <v>0.74</v>
      </c>
      <c r="H14">
        <v>7</v>
      </c>
      <c r="I14">
        <v>2.7</v>
      </c>
      <c r="J14">
        <v>0.33</v>
      </c>
      <c r="K14">
        <v>-0.3</v>
      </c>
      <c r="L14">
        <v>0.96</v>
      </c>
      <c r="M14">
        <v>0.321428571</v>
      </c>
      <c r="N14">
        <f t="shared" si="2"/>
        <v>0.60166435825965292</v>
      </c>
      <c r="O14">
        <f t="shared" si="3"/>
        <v>0.54847855863449024</v>
      </c>
      <c r="P14">
        <f t="shared" si="0"/>
        <v>0.93617021276595747</v>
      </c>
      <c r="Q14">
        <f t="shared" si="1"/>
        <v>0.51346928893441646</v>
      </c>
      <c r="R14">
        <f>P14*M14/N14</f>
        <v>0.50013242361992594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wycherley_protein_rtg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2025-10-12T22:47:29Z</dcterms:created>
  <dcterms:modified xsi:type="dcterms:W3CDTF">2025-12-30T13:19:24Z</dcterms:modified>
</cp:coreProperties>
</file>