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wycherley2010\"/>
    </mc:Choice>
  </mc:AlternateContent>
  <xr:revisionPtr revIDLastSave="0" documentId="13_ncr:1_{DEF43653-D5F9-4364-BB88-A49C7B71FDAA}" xr6:coauthVersionLast="47" xr6:coauthVersionMax="47" xr10:uidLastSave="{00000000-0000-0000-0000-000000000000}"/>
  <bookViews>
    <workbookView xWindow="38280" yWindow="2820" windowWidth="29040" windowHeight="16440" xr2:uid="{62FBC84B-3BA9-45D1-BDB4-E200DFBDD79F}"/>
  </bookViews>
  <sheets>
    <sheet name="wycherley_protein_rb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" i="1"/>
  <c r="O3" i="1"/>
  <c r="O4" i="1"/>
  <c r="O5" i="1"/>
  <c r="O6" i="1"/>
  <c r="O7" i="1"/>
  <c r="O8" i="1"/>
  <c r="O9" i="1"/>
  <c r="O10" i="1"/>
  <c r="O11" i="1"/>
  <c r="P11" i="1" s="1"/>
  <c r="O12" i="1"/>
  <c r="P12" i="1" s="1"/>
  <c r="O13" i="1"/>
  <c r="P13" i="1" s="1"/>
  <c r="O14" i="1"/>
  <c r="P14" i="1" s="1"/>
  <c r="O15" i="1"/>
  <c r="O16" i="1"/>
  <c r="O17" i="1"/>
  <c r="O18" i="1"/>
  <c r="O19" i="1"/>
  <c r="O20" i="1"/>
  <c r="O21" i="1"/>
  <c r="O22" i="1"/>
  <c r="P22" i="1" s="1"/>
  <c r="O23" i="1"/>
  <c r="P23" i="1" s="1"/>
  <c r="O24" i="1"/>
  <c r="P24" i="1" s="1"/>
  <c r="O2" i="1"/>
  <c r="P10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" i="1"/>
  <c r="P3" i="1"/>
  <c r="P4" i="1"/>
  <c r="P5" i="1"/>
  <c r="P6" i="1"/>
  <c r="R6" i="1" s="1"/>
  <c r="P7" i="1"/>
  <c r="R7" i="1" s="1"/>
  <c r="P8" i="1"/>
  <c r="R8" i="1" s="1"/>
  <c r="P9" i="1"/>
  <c r="P15" i="1"/>
  <c r="P16" i="1"/>
  <c r="R16" i="1" s="1"/>
  <c r="P17" i="1"/>
  <c r="R17" i="1"/>
  <c r="P18" i="1"/>
  <c r="R18" i="1" s="1"/>
  <c r="P19" i="1"/>
  <c r="R19" i="1"/>
  <c r="P20" i="1"/>
  <c r="R20" i="1" s="1"/>
  <c r="P21" i="1"/>
  <c r="R21" i="1" s="1"/>
  <c r="R15" i="1" l="1"/>
  <c r="R22" i="1"/>
  <c r="R23" i="1"/>
  <c r="R5" i="1"/>
  <c r="R12" i="1"/>
  <c r="R9" i="1"/>
  <c r="R10" i="1"/>
  <c r="R11" i="1"/>
  <c r="R24" i="1"/>
  <c r="R14" i="1"/>
  <c r="R13" i="1"/>
  <c r="R3" i="1"/>
  <c r="R4" i="1"/>
  <c r="P2" i="1"/>
  <c r="R2" i="1" s="1"/>
</calcChain>
</file>

<file path=xl/sharedStrings.xml><?xml version="1.0" encoding="utf-8"?>
<sst xmlns="http://schemas.openxmlformats.org/spreadsheetml/2006/main" count="65" uniqueCount="43">
  <si>
    <t>Subgroup</t>
  </si>
  <si>
    <t>Author</t>
  </si>
  <si>
    <t>Year</t>
  </si>
  <si>
    <t>HP_Mean</t>
  </si>
  <si>
    <t>HP_SD</t>
  </si>
  <si>
    <t>HP_N</t>
  </si>
  <si>
    <t>SP_Mean</t>
  </si>
  <si>
    <t>SP_SD</t>
  </si>
  <si>
    <t>SP_N</t>
  </si>
  <si>
    <t>Weight_%</t>
  </si>
  <si>
    <t>ES</t>
  </si>
  <si>
    <t>CI_Lower</t>
  </si>
  <si>
    <t>CI_Upper</t>
  </si>
  <si>
    <t>SE</t>
  </si>
  <si>
    <t>&gt;=12 Weeks</t>
  </si>
  <si>
    <t>Belobrajdic</t>
  </si>
  <si>
    <t>Campbell</t>
  </si>
  <si>
    <t>Evangelista</t>
  </si>
  <si>
    <t>Farnsworth F</t>
  </si>
  <si>
    <t>Farnsworth M</t>
  </si>
  <si>
    <t>Flechtner-Mors</t>
  </si>
  <si>
    <t>Lasker</t>
  </si>
  <si>
    <t>Layman</t>
  </si>
  <si>
    <t>Leidy</t>
  </si>
  <si>
    <t>Luscombe</t>
  </si>
  <si>
    <t>Noakes</t>
  </si>
  <si>
    <t>Treyzon</t>
  </si>
  <si>
    <t>Wycherley</t>
  </si>
  <si>
    <t>&lt;12 Weeks</t>
  </si>
  <si>
    <t>Baba</t>
  </si>
  <si>
    <t>Johnston</t>
  </si>
  <si>
    <t>Kasim-Karakas</t>
  </si>
  <si>
    <t>Kleiner</t>
  </si>
  <si>
    <t>Krauss</t>
  </si>
  <si>
    <t>Labayen</t>
  </si>
  <si>
    <t>Parker</t>
  </si>
  <si>
    <t>Stamets</t>
  </si>
  <si>
    <t>Torbay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</si>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</sst>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1BD58-85A7-4689-8BCB-1AC3762F5DC5}">
  <dimension ref="A1:S24"/>
  <sheetViews>
    <sheetView tabSelected="1" topLeftCell="E1" workbookViewId="0">
      <selection activeCell="Q12" sqref="Q1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</row>
    <row r="2" spans="1:19" x14ac:dyDescent="0.25">
      <c r="A2" t="s">
        <v>14</v>
      </c>
      <c r="B2" t="s">
        <v>15</v>
      </c>
      <c r="C2">
        <v>2010</v>
      </c>
      <c r="D2">
        <v>-8.8000000000000007</v>
      </c>
      <c r="E2">
        <v>5</v>
      </c>
      <c r="F2">
        <v>34</v>
      </c>
      <c r="G2">
        <v>-8.5</v>
      </c>
      <c r="H2">
        <v>4</v>
      </c>
      <c r="I2">
        <v>42</v>
      </c>
      <c r="J2">
        <v>4.3</v>
      </c>
      <c r="K2">
        <v>0.3</v>
      </c>
      <c r="L2">
        <v>-1.77</v>
      </c>
      <c r="M2">
        <v>2.37</v>
      </c>
      <c r="N2">
        <v>1.0561224490000001</v>
      </c>
      <c r="O2">
        <f>SQRT(((F2-1)*E2*E2+(I2-1)*H2*H2)/(F2+I2-2))</f>
        <v>4.4736465566150301</v>
      </c>
      <c r="P2">
        <f>K2/O2</f>
        <v>6.7059387951960606E-2</v>
      </c>
      <c r="Q2">
        <f t="shared" ref="Q2:Q24" si="0">1-3/(4*(F2+I2-2)-1)</f>
        <v>0.98983050847457632</v>
      </c>
      <c r="R2">
        <f t="shared" ref="R2:R24" si="1">Q2*P2</f>
        <v>6.6377428074483047E-2</v>
      </c>
      <c r="S2">
        <f>Q2*N2/O2</f>
        <v>0.23367563965448132</v>
      </c>
    </row>
    <row r="3" spans="1:19" x14ac:dyDescent="0.25">
      <c r="A3" t="s">
        <v>14</v>
      </c>
      <c r="B3" t="s">
        <v>16</v>
      </c>
      <c r="C3">
        <v>2010</v>
      </c>
      <c r="D3">
        <v>-8.1999999999999993</v>
      </c>
      <c r="E3">
        <v>1.8</v>
      </c>
      <c r="F3">
        <v>13</v>
      </c>
      <c r="G3">
        <v>-9.1</v>
      </c>
      <c r="H3">
        <v>3.1</v>
      </c>
      <c r="I3">
        <v>15</v>
      </c>
      <c r="J3">
        <v>4.5999999999999996</v>
      </c>
      <c r="K3">
        <v>-0.9</v>
      </c>
      <c r="L3">
        <v>-2.75</v>
      </c>
      <c r="M3">
        <v>0.95</v>
      </c>
      <c r="N3">
        <v>0.94387755100000004</v>
      </c>
      <c r="O3">
        <f t="shared" ref="O3:O24" si="2">SQRT(((F3-1)*E3*E3+(I3-1)*H3*H3)/(F3+I3-2))</f>
        <v>2.5826343140289918</v>
      </c>
      <c r="P3">
        <f t="shared" ref="P3:P24" si="3">K3/O3</f>
        <v>-0.3484813916980648</v>
      </c>
      <c r="Q3">
        <f t="shared" si="0"/>
        <v>0.970873786407767</v>
      </c>
      <c r="R3">
        <f t="shared" si="1"/>
        <v>-0.33833144825054834</v>
      </c>
      <c r="S3">
        <f>Q3*N3/O3</f>
        <v>0.35482606533445649</v>
      </c>
    </row>
    <row r="4" spans="1:19" x14ac:dyDescent="0.25">
      <c r="A4" t="s">
        <v>14</v>
      </c>
      <c r="B4" t="s">
        <v>17</v>
      </c>
      <c r="C4">
        <v>2009</v>
      </c>
      <c r="D4">
        <v>-9.9</v>
      </c>
      <c r="E4">
        <v>2</v>
      </c>
      <c r="F4">
        <v>5</v>
      </c>
      <c r="G4">
        <v>-5.6</v>
      </c>
      <c r="H4">
        <v>0.8</v>
      </c>
      <c r="I4">
        <v>5</v>
      </c>
      <c r="J4">
        <v>4.5999999999999996</v>
      </c>
      <c r="K4">
        <v>4.3</v>
      </c>
      <c r="L4">
        <v>2.41</v>
      </c>
      <c r="M4">
        <v>6.19</v>
      </c>
      <c r="N4">
        <v>0.96428571399999996</v>
      </c>
      <c r="O4">
        <f t="shared" si="2"/>
        <v>1.5231546211727818</v>
      </c>
      <c r="P4">
        <f t="shared" si="3"/>
        <v>2.8230883064840344</v>
      </c>
      <c r="Q4">
        <f t="shared" si="0"/>
        <v>0.90322580645161288</v>
      </c>
      <c r="R4">
        <f t="shared" si="1"/>
        <v>2.5498862123081603</v>
      </c>
      <c r="S4">
        <f>Q4*N4/O4</f>
        <v>0.57181833647775115</v>
      </c>
    </row>
    <row r="5" spans="1:19" x14ac:dyDescent="0.25">
      <c r="A5" t="s">
        <v>14</v>
      </c>
      <c r="B5" t="s">
        <v>18</v>
      </c>
      <c r="C5">
        <v>2003</v>
      </c>
      <c r="D5">
        <v>-6.6</v>
      </c>
      <c r="E5">
        <v>2.2999999999999998</v>
      </c>
      <c r="F5">
        <v>21</v>
      </c>
      <c r="G5">
        <v>-7.4</v>
      </c>
      <c r="H5">
        <v>2.2999999999999998</v>
      </c>
      <c r="I5">
        <v>22</v>
      </c>
      <c r="J5">
        <v>5.4</v>
      </c>
      <c r="K5">
        <v>-0.8</v>
      </c>
      <c r="L5">
        <v>-2.1800000000000002</v>
      </c>
      <c r="M5">
        <v>0.57999999999999996</v>
      </c>
      <c r="N5">
        <v>0.70408163300000004</v>
      </c>
      <c r="O5">
        <f t="shared" si="2"/>
        <v>2.2999999999999998</v>
      </c>
      <c r="P5">
        <f t="shared" si="3"/>
        <v>-0.34782608695652178</v>
      </c>
      <c r="Q5">
        <f t="shared" si="0"/>
        <v>0.98159509202453987</v>
      </c>
      <c r="R5">
        <f t="shared" si="1"/>
        <v>-0.34142437983462259</v>
      </c>
      <c r="S5">
        <f>Q5*N5/O5</f>
        <v>0.30048829362496671</v>
      </c>
    </row>
    <row r="6" spans="1:19" x14ac:dyDescent="0.25">
      <c r="A6" t="s">
        <v>14</v>
      </c>
      <c r="B6" t="s">
        <v>19</v>
      </c>
      <c r="C6">
        <v>2003</v>
      </c>
      <c r="D6">
        <v>-11.4</v>
      </c>
      <c r="E6">
        <v>5.6</v>
      </c>
      <c r="F6">
        <v>7</v>
      </c>
      <c r="G6">
        <v>-9.6</v>
      </c>
      <c r="H6">
        <v>4.5</v>
      </c>
      <c r="I6">
        <v>7</v>
      </c>
      <c r="J6">
        <v>1.4</v>
      </c>
      <c r="K6">
        <v>1.8</v>
      </c>
      <c r="L6">
        <v>-3.52</v>
      </c>
      <c r="M6">
        <v>7.12</v>
      </c>
      <c r="N6">
        <v>2.7142857139999998</v>
      </c>
      <c r="O6">
        <f t="shared" si="2"/>
        <v>5.079862202855506</v>
      </c>
      <c r="P6">
        <f t="shared" si="3"/>
        <v>0.35434032029218809</v>
      </c>
      <c r="Q6">
        <f t="shared" si="0"/>
        <v>0.93617021276595747</v>
      </c>
      <c r="R6">
        <f t="shared" si="1"/>
        <v>0.33172285303949522</v>
      </c>
      <c r="S6">
        <f>Q6*N6/O6</f>
        <v>0.50021700056245733</v>
      </c>
    </row>
    <row r="7" spans="1:19" x14ac:dyDescent="0.25">
      <c r="A7" t="s">
        <v>14</v>
      </c>
      <c r="B7" t="s">
        <v>20</v>
      </c>
      <c r="C7">
        <v>2010</v>
      </c>
      <c r="D7">
        <v>-8.82</v>
      </c>
      <c r="E7">
        <v>4.5199999999999996</v>
      </c>
      <c r="F7">
        <v>49</v>
      </c>
      <c r="G7">
        <v>-4.24</v>
      </c>
      <c r="H7">
        <v>3.91</v>
      </c>
      <c r="I7">
        <v>53</v>
      </c>
      <c r="J7">
        <v>5</v>
      </c>
      <c r="K7">
        <v>4.58</v>
      </c>
      <c r="L7">
        <v>2.93</v>
      </c>
      <c r="M7">
        <v>6.23</v>
      </c>
      <c r="N7">
        <v>0.841836735</v>
      </c>
      <c r="O7">
        <f t="shared" si="2"/>
        <v>4.21383483302324</v>
      </c>
      <c r="P7">
        <f t="shared" si="3"/>
        <v>1.0868959466819095</v>
      </c>
      <c r="Q7">
        <f t="shared" si="0"/>
        <v>0.99248120300751874</v>
      </c>
      <c r="R7">
        <f t="shared" si="1"/>
        <v>1.0787237967068575</v>
      </c>
      <c r="S7">
        <f>Q7*N7/O7</f>
        <v>0.19827714388351628</v>
      </c>
    </row>
    <row r="8" spans="1:19" x14ac:dyDescent="0.25">
      <c r="A8" t="s">
        <v>14</v>
      </c>
      <c r="B8" t="s">
        <v>21</v>
      </c>
      <c r="C8">
        <v>2008</v>
      </c>
      <c r="D8">
        <v>-9.1</v>
      </c>
      <c r="E8">
        <v>4.5</v>
      </c>
      <c r="F8">
        <v>25</v>
      </c>
      <c r="G8">
        <v>-6.9</v>
      </c>
      <c r="H8">
        <v>4</v>
      </c>
      <c r="I8">
        <v>25</v>
      </c>
      <c r="J8">
        <v>3.9</v>
      </c>
      <c r="K8">
        <v>2.2000000000000002</v>
      </c>
      <c r="L8">
        <v>-0.16</v>
      </c>
      <c r="M8">
        <v>4.5599999999999996</v>
      </c>
      <c r="N8">
        <v>1.2040816329999999</v>
      </c>
      <c r="O8">
        <f t="shared" si="2"/>
        <v>4.2573465914816007</v>
      </c>
      <c r="P8">
        <f t="shared" si="3"/>
        <v>0.51675379317293901</v>
      </c>
      <c r="Q8">
        <f t="shared" si="0"/>
        <v>0.98429319371727753</v>
      </c>
      <c r="R8">
        <f t="shared" si="1"/>
        <v>0.50863724144770961</v>
      </c>
      <c r="S8">
        <f>Q8*N8/O8</f>
        <v>0.27838216376680613</v>
      </c>
    </row>
    <row r="9" spans="1:19" x14ac:dyDescent="0.25">
      <c r="A9" t="s">
        <v>14</v>
      </c>
      <c r="B9" t="s">
        <v>22</v>
      </c>
      <c r="C9">
        <v>2009</v>
      </c>
      <c r="D9">
        <v>-8.1999999999999993</v>
      </c>
      <c r="E9">
        <v>3.6</v>
      </c>
      <c r="F9">
        <v>52</v>
      </c>
      <c r="G9">
        <v>-7</v>
      </c>
      <c r="H9">
        <v>3.6</v>
      </c>
      <c r="I9">
        <v>51</v>
      </c>
      <c r="J9">
        <v>5.4</v>
      </c>
      <c r="K9">
        <v>1.2</v>
      </c>
      <c r="L9">
        <v>-0.19</v>
      </c>
      <c r="M9">
        <v>2.59</v>
      </c>
      <c r="N9">
        <v>0.70918367299999996</v>
      </c>
      <c r="O9">
        <f t="shared" si="2"/>
        <v>3.6</v>
      </c>
      <c r="P9">
        <f t="shared" si="3"/>
        <v>0.33333333333333331</v>
      </c>
      <c r="Q9">
        <f t="shared" si="0"/>
        <v>0.99255583126550873</v>
      </c>
      <c r="R9">
        <f t="shared" si="1"/>
        <v>0.33085194375516958</v>
      </c>
      <c r="S9">
        <f>Q9*N9/O9</f>
        <v>0.19552899724290046</v>
      </c>
    </row>
    <row r="10" spans="1:19" x14ac:dyDescent="0.25">
      <c r="A10" t="s">
        <v>14</v>
      </c>
      <c r="B10" t="s">
        <v>23</v>
      </c>
      <c r="C10">
        <v>2007</v>
      </c>
      <c r="D10">
        <v>-8.1</v>
      </c>
      <c r="E10">
        <v>1.8</v>
      </c>
      <c r="F10">
        <v>21</v>
      </c>
      <c r="G10">
        <v>-9.5</v>
      </c>
      <c r="H10">
        <v>5</v>
      </c>
      <c r="I10">
        <v>25</v>
      </c>
      <c r="J10">
        <v>4.2</v>
      </c>
      <c r="K10">
        <v>-1.4</v>
      </c>
      <c r="L10">
        <v>-3.51</v>
      </c>
      <c r="M10">
        <v>0.71</v>
      </c>
      <c r="N10">
        <v>1.076530612</v>
      </c>
      <c r="O10">
        <f t="shared" si="2"/>
        <v>3.8870414082037907</v>
      </c>
      <c r="P10">
        <f t="shared" si="3"/>
        <v>-0.36017110521262563</v>
      </c>
      <c r="Q10">
        <f t="shared" si="0"/>
        <v>0.98285714285714287</v>
      </c>
      <c r="R10">
        <f t="shared" si="1"/>
        <v>-0.35399674340898063</v>
      </c>
      <c r="S10">
        <f>Q10*N10/O10</f>
        <v>0.27220595059148345</v>
      </c>
    </row>
    <row r="11" spans="1:19" x14ac:dyDescent="0.25">
      <c r="A11" t="s">
        <v>14</v>
      </c>
      <c r="B11" t="s">
        <v>24</v>
      </c>
      <c r="C11">
        <v>2003</v>
      </c>
      <c r="D11">
        <v>-7.9</v>
      </c>
      <c r="E11">
        <v>4.5</v>
      </c>
      <c r="F11">
        <v>17</v>
      </c>
      <c r="G11">
        <v>-8</v>
      </c>
      <c r="H11">
        <v>2.9</v>
      </c>
      <c r="I11">
        <v>19</v>
      </c>
      <c r="J11">
        <v>3.7</v>
      </c>
      <c r="K11">
        <v>-0.1</v>
      </c>
      <c r="L11">
        <v>-2.61</v>
      </c>
      <c r="M11">
        <v>2.41</v>
      </c>
      <c r="N11">
        <v>1.2806122449999999</v>
      </c>
      <c r="O11">
        <f t="shared" si="2"/>
        <v>3.73921979908675</v>
      </c>
      <c r="P11">
        <f t="shared" si="3"/>
        <v>-2.6743546882273022E-2</v>
      </c>
      <c r="Q11">
        <f t="shared" si="0"/>
        <v>0.97777777777777775</v>
      </c>
      <c r="R11">
        <f t="shared" si="1"/>
        <v>-2.6149245840444733E-2</v>
      </c>
      <c r="S11">
        <f>Q11*N11/O11</f>
        <v>0.33487044420788836</v>
      </c>
    </row>
    <row r="12" spans="1:19" x14ac:dyDescent="0.25">
      <c r="A12" t="s">
        <v>14</v>
      </c>
      <c r="B12" t="s">
        <v>25</v>
      </c>
      <c r="C12">
        <v>2005</v>
      </c>
      <c r="D12">
        <v>-7.6</v>
      </c>
      <c r="E12">
        <v>3.9</v>
      </c>
      <c r="F12">
        <v>52</v>
      </c>
      <c r="G12">
        <v>-6.9</v>
      </c>
      <c r="H12">
        <v>4.3</v>
      </c>
      <c r="I12">
        <v>48</v>
      </c>
      <c r="J12">
        <v>5</v>
      </c>
      <c r="K12">
        <v>0.7</v>
      </c>
      <c r="L12">
        <v>-0.91</v>
      </c>
      <c r="M12">
        <v>2.31</v>
      </c>
      <c r="N12">
        <v>0.821428571</v>
      </c>
      <c r="O12">
        <f t="shared" si="2"/>
        <v>4.0967134662421527</v>
      </c>
      <c r="P12">
        <f t="shared" si="3"/>
        <v>0.17086867455294558</v>
      </c>
      <c r="Q12">
        <f t="shared" si="0"/>
        <v>0.99232736572890023</v>
      </c>
      <c r="R12">
        <f t="shared" si="1"/>
        <v>0.16955766170471326</v>
      </c>
      <c r="S12">
        <f>Q12*N12/O12</f>
        <v>0.19897072536600577</v>
      </c>
    </row>
    <row r="13" spans="1:19" x14ac:dyDescent="0.25">
      <c r="A13" t="s">
        <v>14</v>
      </c>
      <c r="B13" t="s">
        <v>26</v>
      </c>
      <c r="C13">
        <v>2008</v>
      </c>
      <c r="D13">
        <v>-4.1900000000000004</v>
      </c>
      <c r="E13">
        <v>3.32</v>
      </c>
      <c r="F13">
        <v>44</v>
      </c>
      <c r="G13">
        <v>-3.72</v>
      </c>
      <c r="H13">
        <v>4.4800000000000004</v>
      </c>
      <c r="I13">
        <v>41</v>
      </c>
      <c r="J13">
        <v>4.9000000000000004</v>
      </c>
      <c r="K13">
        <v>0.47</v>
      </c>
      <c r="L13">
        <v>-1.22</v>
      </c>
      <c r="M13">
        <v>2.16</v>
      </c>
      <c r="N13">
        <v>0.86224489800000004</v>
      </c>
      <c r="O13">
        <f t="shared" si="2"/>
        <v>3.9221017232742508</v>
      </c>
      <c r="P13">
        <f t="shared" si="3"/>
        <v>0.11983370987319379</v>
      </c>
      <c r="Q13">
        <f t="shared" si="0"/>
        <v>0.99093655589123864</v>
      </c>
      <c r="R13">
        <f t="shared" si="1"/>
        <v>0.11874760374141258</v>
      </c>
      <c r="S13">
        <f>Q13*N13/O13</f>
        <v>0.21785003292714619</v>
      </c>
    </row>
    <row r="14" spans="1:19" x14ac:dyDescent="0.25">
      <c r="A14" t="s">
        <v>14</v>
      </c>
      <c r="B14" t="s">
        <v>27</v>
      </c>
      <c r="C14">
        <v>2010</v>
      </c>
      <c r="D14">
        <v>-9</v>
      </c>
      <c r="E14">
        <v>4.8</v>
      </c>
      <c r="F14">
        <v>12</v>
      </c>
      <c r="G14">
        <v>-8.6</v>
      </c>
      <c r="H14">
        <v>4.5999999999999996</v>
      </c>
      <c r="I14">
        <v>16</v>
      </c>
      <c r="J14">
        <v>2.5</v>
      </c>
      <c r="K14">
        <v>0.4</v>
      </c>
      <c r="L14">
        <v>-3.13</v>
      </c>
      <c r="M14">
        <v>3.93</v>
      </c>
      <c r="N14">
        <v>1.8010204080000001</v>
      </c>
      <c r="O14">
        <f t="shared" si="2"/>
        <v>4.6856573301282518</v>
      </c>
      <c r="P14">
        <f t="shared" si="3"/>
        <v>8.5366891306379755E-2</v>
      </c>
      <c r="Q14">
        <f t="shared" si="0"/>
        <v>0.970873786407767</v>
      </c>
      <c r="R14">
        <f t="shared" si="1"/>
        <v>8.2880476996485195E-2</v>
      </c>
      <c r="S14">
        <f>Q14*N14/O14</f>
        <v>0.37317357623861097</v>
      </c>
    </row>
    <row r="15" spans="1:19" x14ac:dyDescent="0.25">
      <c r="A15" t="s">
        <v>28</v>
      </c>
      <c r="B15" t="s">
        <v>29</v>
      </c>
      <c r="C15">
        <v>1999</v>
      </c>
      <c r="D15">
        <v>-8.3000000000000007</v>
      </c>
      <c r="E15">
        <v>1.9</v>
      </c>
      <c r="F15">
        <v>7</v>
      </c>
      <c r="G15">
        <v>-6</v>
      </c>
      <c r="H15">
        <v>1.5</v>
      </c>
      <c r="I15">
        <v>6</v>
      </c>
      <c r="J15">
        <v>4.5999999999999996</v>
      </c>
      <c r="K15">
        <v>2.2999999999999998</v>
      </c>
      <c r="L15">
        <v>0.45</v>
      </c>
      <c r="M15">
        <v>4.1500000000000004</v>
      </c>
      <c r="N15">
        <v>0.94387755100000004</v>
      </c>
      <c r="O15">
        <f t="shared" si="2"/>
        <v>1.7296873075264736</v>
      </c>
      <c r="P15">
        <f t="shared" si="3"/>
        <v>1.329720111832871</v>
      </c>
      <c r="Q15">
        <f t="shared" si="0"/>
        <v>0.93023255813953487</v>
      </c>
      <c r="R15">
        <f t="shared" si="1"/>
        <v>1.23694894123988</v>
      </c>
      <c r="S15">
        <f>Q15*N15/O15</f>
        <v>0.50762101624762646</v>
      </c>
    </row>
    <row r="16" spans="1:19" x14ac:dyDescent="0.25">
      <c r="A16" t="s">
        <v>28</v>
      </c>
      <c r="B16" t="s">
        <v>30</v>
      </c>
      <c r="C16">
        <v>2004</v>
      </c>
      <c r="D16">
        <v>-4.5599999999999996</v>
      </c>
      <c r="E16">
        <v>1.59</v>
      </c>
      <c r="F16">
        <v>9</v>
      </c>
      <c r="G16">
        <v>-4.7699999999999996</v>
      </c>
      <c r="H16">
        <v>2.09</v>
      </c>
      <c r="I16">
        <v>7</v>
      </c>
      <c r="J16">
        <v>4.5999999999999996</v>
      </c>
      <c r="K16">
        <v>-0.21</v>
      </c>
      <c r="L16">
        <v>-2.0699999999999998</v>
      </c>
      <c r="M16">
        <v>1.65</v>
      </c>
      <c r="N16">
        <v>0.94897959200000004</v>
      </c>
      <c r="O16">
        <f t="shared" si="2"/>
        <v>1.8211730913264199</v>
      </c>
      <c r="P16">
        <f t="shared" si="3"/>
        <v>-0.11531029148198656</v>
      </c>
      <c r="Q16">
        <f t="shared" si="0"/>
        <v>0.94545454545454544</v>
      </c>
      <c r="R16">
        <f t="shared" si="1"/>
        <v>-0.10902063921933275</v>
      </c>
      <c r="S16">
        <f>Q16*N16/O16</f>
        <v>0.49265886536162662</v>
      </c>
    </row>
    <row r="17" spans="1:19" x14ac:dyDescent="0.25">
      <c r="A17" t="s">
        <v>28</v>
      </c>
      <c r="B17" t="s">
        <v>31</v>
      </c>
      <c r="C17">
        <v>2009</v>
      </c>
      <c r="D17">
        <v>-3.4</v>
      </c>
      <c r="E17">
        <v>2.7</v>
      </c>
      <c r="F17">
        <v>11</v>
      </c>
      <c r="G17">
        <v>-1.1000000000000001</v>
      </c>
      <c r="H17">
        <v>2.2000000000000002</v>
      </c>
      <c r="I17">
        <v>13</v>
      </c>
      <c r="J17">
        <v>4.4000000000000004</v>
      </c>
      <c r="K17">
        <v>2.2999999999999998</v>
      </c>
      <c r="L17">
        <v>0.31</v>
      </c>
      <c r="M17">
        <v>4.29</v>
      </c>
      <c r="N17">
        <v>1.0153061219999999</v>
      </c>
      <c r="O17">
        <f t="shared" si="2"/>
        <v>2.4400074515534507</v>
      </c>
      <c r="P17">
        <f t="shared" si="3"/>
        <v>0.94262007213776577</v>
      </c>
      <c r="Q17">
        <f t="shared" si="0"/>
        <v>0.96551724137931039</v>
      </c>
      <c r="R17">
        <f t="shared" si="1"/>
        <v>0.91011593171922212</v>
      </c>
      <c r="S17">
        <f>Q17*N17/O17</f>
        <v>0.40175925095837406</v>
      </c>
    </row>
    <row r="18" spans="1:19" x14ac:dyDescent="0.25">
      <c r="A18" t="s">
        <v>28</v>
      </c>
      <c r="B18" t="s">
        <v>32</v>
      </c>
      <c r="C18">
        <v>2006</v>
      </c>
      <c r="D18">
        <v>-4.0999999999999996</v>
      </c>
      <c r="E18">
        <v>1.8</v>
      </c>
      <c r="F18">
        <v>9</v>
      </c>
      <c r="G18">
        <v>-4.9000000000000004</v>
      </c>
      <c r="H18">
        <v>1.9</v>
      </c>
      <c r="I18">
        <v>7</v>
      </c>
      <c r="J18">
        <v>4.7</v>
      </c>
      <c r="K18">
        <v>-0.8</v>
      </c>
      <c r="L18">
        <v>-2.63</v>
      </c>
      <c r="M18">
        <v>1.03</v>
      </c>
      <c r="N18">
        <v>0.93367346900000003</v>
      </c>
      <c r="O18">
        <f t="shared" si="2"/>
        <v>1.8435214749417563</v>
      </c>
      <c r="P18">
        <f t="shared" si="3"/>
        <v>-0.43395209162143067</v>
      </c>
      <c r="Q18">
        <f t="shared" si="0"/>
        <v>0.94545454545454544</v>
      </c>
      <c r="R18">
        <f t="shared" si="1"/>
        <v>-0.41028197753298901</v>
      </c>
      <c r="S18">
        <f>Q18*N18/O18</f>
        <v>0.4788367465392574</v>
      </c>
    </row>
    <row r="19" spans="1:19" x14ac:dyDescent="0.25">
      <c r="A19" t="s">
        <v>28</v>
      </c>
      <c r="B19" t="s">
        <v>33</v>
      </c>
      <c r="C19">
        <v>2006</v>
      </c>
      <c r="D19">
        <v>-5</v>
      </c>
      <c r="E19">
        <v>2.6</v>
      </c>
      <c r="F19">
        <v>42</v>
      </c>
      <c r="G19">
        <v>-5.3</v>
      </c>
      <c r="H19">
        <v>2.1</v>
      </c>
      <c r="I19">
        <v>49</v>
      </c>
      <c r="J19">
        <v>6</v>
      </c>
      <c r="K19">
        <v>-0.3</v>
      </c>
      <c r="L19">
        <v>-1.28</v>
      </c>
      <c r="M19">
        <v>0.68</v>
      </c>
      <c r="N19">
        <v>0.5</v>
      </c>
      <c r="O19">
        <f t="shared" si="2"/>
        <v>2.3436263075974639</v>
      </c>
      <c r="P19">
        <f t="shared" si="3"/>
        <v>-0.12800675561094074</v>
      </c>
      <c r="Q19">
        <f t="shared" si="0"/>
        <v>0.9915492957746479</v>
      </c>
      <c r="R19">
        <f t="shared" si="1"/>
        <v>-0.12692500838042575</v>
      </c>
      <c r="S19">
        <f>Q19*N19/O19</f>
        <v>0.21154168063404291</v>
      </c>
    </row>
    <row r="20" spans="1:19" x14ac:dyDescent="0.25">
      <c r="A20" t="s">
        <v>28</v>
      </c>
      <c r="B20" t="s">
        <v>34</v>
      </c>
      <c r="C20">
        <v>2004</v>
      </c>
      <c r="D20">
        <v>-9.1999999999999993</v>
      </c>
      <c r="E20">
        <v>3.7</v>
      </c>
      <c r="F20">
        <v>6</v>
      </c>
      <c r="G20">
        <v>-4.8</v>
      </c>
      <c r="H20">
        <v>2.5</v>
      </c>
      <c r="I20">
        <v>5</v>
      </c>
      <c r="J20">
        <v>2.4</v>
      </c>
      <c r="K20">
        <v>4.4000000000000004</v>
      </c>
      <c r="L20">
        <v>0.72</v>
      </c>
      <c r="M20">
        <v>8.08</v>
      </c>
      <c r="N20">
        <v>1.8775510200000001</v>
      </c>
      <c r="O20">
        <f t="shared" si="2"/>
        <v>3.2223180062391936</v>
      </c>
      <c r="P20">
        <f t="shared" si="3"/>
        <v>1.3654766511190166</v>
      </c>
      <c r="Q20">
        <f t="shared" si="0"/>
        <v>0.91428571428571426</v>
      </c>
      <c r="R20">
        <f t="shared" si="1"/>
        <v>1.2484357953088152</v>
      </c>
      <c r="S20">
        <f>Q20*N20/O20</f>
        <v>0.5327277047469493</v>
      </c>
    </row>
    <row r="21" spans="1:19" x14ac:dyDescent="0.25">
      <c r="A21" t="s">
        <v>28</v>
      </c>
      <c r="B21" t="s">
        <v>22</v>
      </c>
      <c r="C21">
        <v>2003</v>
      </c>
      <c r="D21">
        <v>-7.53</v>
      </c>
      <c r="E21">
        <v>4.99</v>
      </c>
      <c r="F21">
        <v>12</v>
      </c>
      <c r="G21">
        <v>-6.96</v>
      </c>
      <c r="H21">
        <v>4.71</v>
      </c>
      <c r="I21">
        <v>12</v>
      </c>
      <c r="J21">
        <v>2.2000000000000002</v>
      </c>
      <c r="K21">
        <v>0.56999999999999995</v>
      </c>
      <c r="L21">
        <v>-3.31</v>
      </c>
      <c r="M21">
        <v>4.45</v>
      </c>
      <c r="N21">
        <v>1.9795918370000001</v>
      </c>
      <c r="O21">
        <f t="shared" si="2"/>
        <v>4.8520201978145145</v>
      </c>
      <c r="P21">
        <f t="shared" si="3"/>
        <v>0.11747683990613722</v>
      </c>
      <c r="Q21">
        <f t="shared" si="0"/>
        <v>0.96551724137931039</v>
      </c>
      <c r="R21">
        <f t="shared" si="1"/>
        <v>0.1134259143921325</v>
      </c>
      <c r="S21">
        <f>Q21*N21/O21</f>
        <v>0.39392458637706373</v>
      </c>
    </row>
    <row r="22" spans="1:19" x14ac:dyDescent="0.25">
      <c r="A22" t="s">
        <v>28</v>
      </c>
      <c r="B22" t="s">
        <v>35</v>
      </c>
      <c r="C22">
        <v>2002</v>
      </c>
      <c r="D22">
        <v>-6.07</v>
      </c>
      <c r="E22">
        <v>2.64</v>
      </c>
      <c r="F22">
        <v>26</v>
      </c>
      <c r="G22">
        <v>-4.62</v>
      </c>
      <c r="H22">
        <v>3.43</v>
      </c>
      <c r="I22">
        <v>28</v>
      </c>
      <c r="J22">
        <v>5</v>
      </c>
      <c r="K22">
        <v>1.45</v>
      </c>
      <c r="L22">
        <v>-0.18</v>
      </c>
      <c r="M22">
        <v>3.08</v>
      </c>
      <c r="N22">
        <v>0.831632653</v>
      </c>
      <c r="O22">
        <f t="shared" si="2"/>
        <v>3.0756247020227141</v>
      </c>
      <c r="P22">
        <f t="shared" si="3"/>
        <v>0.47144893817714284</v>
      </c>
      <c r="Q22">
        <f t="shared" si="0"/>
        <v>0.98550724637681164</v>
      </c>
      <c r="R22">
        <f t="shared" si="1"/>
        <v>0.46461634487022774</v>
      </c>
      <c r="S22">
        <f>Q22*N22/O22</f>
        <v>0.26647594724937274</v>
      </c>
    </row>
    <row r="23" spans="1:19" x14ac:dyDescent="0.25">
      <c r="A23" t="s">
        <v>28</v>
      </c>
      <c r="B23" t="s">
        <v>36</v>
      </c>
      <c r="C23">
        <v>2004</v>
      </c>
      <c r="D23">
        <v>-3.7</v>
      </c>
      <c r="E23">
        <v>1.9</v>
      </c>
      <c r="F23">
        <v>13</v>
      </c>
      <c r="G23">
        <v>-4.4000000000000004</v>
      </c>
      <c r="H23">
        <v>1.5</v>
      </c>
      <c r="I23">
        <v>13</v>
      </c>
      <c r="J23">
        <v>5.5</v>
      </c>
      <c r="K23">
        <v>-0.7</v>
      </c>
      <c r="L23">
        <v>-2.02</v>
      </c>
      <c r="M23">
        <v>0.62</v>
      </c>
      <c r="N23">
        <v>0.673469388</v>
      </c>
      <c r="O23">
        <f t="shared" si="2"/>
        <v>1.7117242768623688</v>
      </c>
      <c r="P23">
        <f t="shared" si="3"/>
        <v>-0.40894436648589022</v>
      </c>
      <c r="Q23">
        <f t="shared" si="0"/>
        <v>0.96842105263157896</v>
      </c>
      <c r="R23">
        <f t="shared" si="1"/>
        <v>-0.39603033386002001</v>
      </c>
      <c r="S23">
        <f>Q23*N23/O23</f>
        <v>0.38102043796306195</v>
      </c>
    </row>
    <row r="24" spans="1:19" x14ac:dyDescent="0.25">
      <c r="A24" t="s">
        <v>28</v>
      </c>
      <c r="B24" t="s">
        <v>37</v>
      </c>
      <c r="C24">
        <v>2002</v>
      </c>
      <c r="D24">
        <v>-6.6</v>
      </c>
      <c r="E24">
        <v>0.8</v>
      </c>
      <c r="F24">
        <v>7</v>
      </c>
      <c r="G24">
        <v>-7.2</v>
      </c>
      <c r="H24">
        <v>1.3</v>
      </c>
      <c r="I24">
        <v>7</v>
      </c>
      <c r="J24">
        <v>5.8</v>
      </c>
      <c r="K24">
        <v>-0.6</v>
      </c>
      <c r="L24">
        <v>-1.73</v>
      </c>
      <c r="M24">
        <v>0.53</v>
      </c>
      <c r="N24">
        <v>0.576530612</v>
      </c>
      <c r="O24">
        <f t="shared" si="2"/>
        <v>1.0793516572461452</v>
      </c>
      <c r="P24">
        <f t="shared" si="3"/>
        <v>-0.55588926553449525</v>
      </c>
      <c r="Q24">
        <f t="shared" si="0"/>
        <v>0.93617021276595747</v>
      </c>
      <c r="R24">
        <f t="shared" si="1"/>
        <v>-0.52040697198974029</v>
      </c>
      <c r="S24">
        <f>Q24*N24/O24</f>
        <v>0.50005091675051971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wycherley_protein_rbw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2025-10-12T22:45:50Z</dcterms:created>
  <dcterms:modified xsi:type="dcterms:W3CDTF">2025-12-30T13:20:57Z</dcterms:modified>
</cp:coreProperties>
</file>