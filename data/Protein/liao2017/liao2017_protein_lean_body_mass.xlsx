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liao2017\"/>
    </mc:Choice>
  </mc:AlternateContent>
  <xr:revisionPtr revIDLastSave="0" documentId="13_ncr:1_{89E3C396-2820-4A2D-ACE6-2829D42EA60D}" xr6:coauthVersionLast="47" xr6:coauthVersionMax="47" xr10:uidLastSave="{00000000-0000-0000-0000-000000000000}"/>
  <bookViews>
    <workbookView xWindow="38400" yWindow="2940" windowWidth="14400" windowHeight="16200" xr2:uid="{1BAF5547-C559-49CA-AF3F-F39E10DA8D66}"/>
  </bookViews>
  <sheets>
    <sheet name="liao_protein_ff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2" i="1"/>
  <c r="P10" i="1" l="1"/>
  <c r="P2" i="1"/>
</calcChain>
</file>

<file path=xl/sharedStrings.xml><?xml version="1.0" encoding="utf-8"?>
<sst xmlns="http://schemas.openxmlformats.org/spreadsheetml/2006/main" count="51" uniqueCount="34">
  <si>
    <t>Subgroup</t>
  </si>
  <si>
    <t>Author</t>
  </si>
  <si>
    <t>Year</t>
  </si>
  <si>
    <t>HP_Mean</t>
  </si>
  <si>
    <t>HP_SD</t>
  </si>
  <si>
    <t>HP_N</t>
  </si>
  <si>
    <t>SP_Mean</t>
  </si>
  <si>
    <t>SP_SD</t>
  </si>
  <si>
    <t>SP_N</t>
  </si>
  <si>
    <t>Weight_%</t>
  </si>
  <si>
    <t>CI_Lower</t>
  </si>
  <si>
    <t>CI_Upper</t>
  </si>
  <si>
    <t>&gt;=12 Weeks</t>
  </si>
  <si>
    <t>Arnarson</t>
  </si>
  <si>
    <t>Brennan</t>
  </si>
  <si>
    <t>Candow</t>
  </si>
  <si>
    <t>Chale</t>
  </si>
  <si>
    <t>Godard</t>
  </si>
  <si>
    <t>Hofmann</t>
  </si>
  <si>
    <t>Leenders M</t>
  </si>
  <si>
    <t>Leenders W</t>
  </si>
  <si>
    <t>Maltais</t>
  </si>
  <si>
    <t>Stout</t>
  </si>
  <si>
    <t>Tieland</t>
  </si>
  <si>
    <t>Tromijk</t>
  </si>
  <si>
    <t>Verreijen</t>
  </si>
  <si>
    <t>Villanueva</t>
  </si>
  <si>
    <t>Vukovich</t>
  </si>
  <si>
    <t>Zdzieblik</t>
  </si>
  <si>
    <t>d</t>
  </si>
  <si>
    <t>J</t>
  </si>
  <si>
    <t>g</t>
  </si>
  <si>
    <t>se_g</t>
  </si>
  <si>
    <t>se_d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</si>
</sst>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2BC7-7DB5-4792-A6AA-67405762D291}">
  <dimension ref="A1:Q18"/>
  <sheetViews>
    <sheetView tabSelected="1" topLeftCell="E1" workbookViewId="0">
      <selection activeCell="M11" sqref="M1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</v>
      </c>
      <c r="L1" t="s">
        <v>10</v>
      </c>
      <c r="M1" t="s">
        <v>11</v>
      </c>
      <c r="N1" t="s">
        <v>33</v>
      </c>
      <c r="O1" t="s">
        <v>30</v>
      </c>
      <c r="P1" t="s">
        <v>31</v>
      </c>
      <c r="Q1" t="s">
        <v>32</v>
      </c>
    </row>
    <row r="2" spans="1:17" x14ac:dyDescent="0.25">
      <c r="A2" t="s">
        <v>12</v>
      </c>
      <c r="B2" t="s">
        <v>13</v>
      </c>
      <c r="C2">
        <v>2013</v>
      </c>
      <c r="D2">
        <v>0.7</v>
      </c>
      <c r="E2">
        <v>1.1000000000000001</v>
      </c>
      <c r="F2">
        <v>75</v>
      </c>
      <c r="G2">
        <v>0.9</v>
      </c>
      <c r="H2">
        <v>1.5</v>
      </c>
      <c r="I2">
        <v>66</v>
      </c>
      <c r="J2">
        <v>8.4</v>
      </c>
      <c r="K2">
        <v>-0.15</v>
      </c>
      <c r="L2">
        <v>-0.48</v>
      </c>
      <c r="M2">
        <v>0.18</v>
      </c>
      <c r="N2">
        <f>(M2-L2)/2/1.96</f>
        <v>0.1683673469387755</v>
      </c>
      <c r="O2">
        <f t="shared" ref="O2:O18" si="0">1-3/(4*(I2+F2-2)-1)</f>
        <v>0.99459459459459465</v>
      </c>
      <c r="P2">
        <f t="shared" ref="P2:P18" si="1">O2*K2</f>
        <v>-0.14918918918918919</v>
      </c>
      <c r="Q2">
        <f>O2*N2</f>
        <v>0.16745725317153889</v>
      </c>
    </row>
    <row r="3" spans="1:17" x14ac:dyDescent="0.25">
      <c r="A3" t="s">
        <v>12</v>
      </c>
      <c r="B3" t="s">
        <v>14</v>
      </c>
      <c r="C3">
        <v>2011</v>
      </c>
      <c r="D3">
        <v>0.4</v>
      </c>
      <c r="E3">
        <v>2.8</v>
      </c>
      <c r="F3">
        <v>40</v>
      </c>
      <c r="G3">
        <v>0.2</v>
      </c>
      <c r="H3">
        <v>5.3</v>
      </c>
      <c r="I3">
        <v>40</v>
      </c>
      <c r="J3">
        <v>7.6</v>
      </c>
      <c r="K3">
        <v>0.05</v>
      </c>
      <c r="L3">
        <v>-0.39</v>
      </c>
      <c r="M3">
        <v>0.49</v>
      </c>
      <c r="N3">
        <f t="shared" ref="N3:N18" si="2">(M3-L3)/2/1.96</f>
        <v>0.22448979591836735</v>
      </c>
      <c r="O3">
        <f t="shared" si="0"/>
        <v>0.99035369774919613</v>
      </c>
      <c r="P3">
        <f t="shared" si="1"/>
        <v>4.9517684887459806E-2</v>
      </c>
      <c r="Q3">
        <f>O3*N3</f>
        <v>0.22232429949471749</v>
      </c>
    </row>
    <row r="4" spans="1:17" x14ac:dyDescent="0.25">
      <c r="A4" t="s">
        <v>12</v>
      </c>
      <c r="B4" t="s">
        <v>15</v>
      </c>
      <c r="C4">
        <v>2006</v>
      </c>
      <c r="D4">
        <v>1</v>
      </c>
      <c r="E4">
        <v>2</v>
      </c>
      <c r="F4">
        <v>19</v>
      </c>
      <c r="G4">
        <v>0.4</v>
      </c>
      <c r="H4">
        <v>1.6</v>
      </c>
      <c r="I4">
        <v>10</v>
      </c>
      <c r="J4">
        <v>5.3</v>
      </c>
      <c r="K4">
        <v>0.31</v>
      </c>
      <c r="L4">
        <v>-0.46</v>
      </c>
      <c r="M4">
        <v>1.08</v>
      </c>
      <c r="N4">
        <f t="shared" si="2"/>
        <v>0.39285714285714285</v>
      </c>
      <c r="O4">
        <f t="shared" si="0"/>
        <v>0.9719626168224299</v>
      </c>
      <c r="P4">
        <f t="shared" si="1"/>
        <v>0.30130841121495328</v>
      </c>
      <c r="Q4">
        <f>O4*N4</f>
        <v>0.38184245660881172</v>
      </c>
    </row>
    <row r="5" spans="1:17" x14ac:dyDescent="0.25">
      <c r="A5" t="s">
        <v>12</v>
      </c>
      <c r="B5" t="s">
        <v>15</v>
      </c>
      <c r="C5">
        <v>2008</v>
      </c>
      <c r="D5">
        <v>3.2</v>
      </c>
      <c r="E5">
        <v>0.6</v>
      </c>
      <c r="F5">
        <v>10</v>
      </c>
      <c r="G5">
        <v>2.1</v>
      </c>
      <c r="H5">
        <v>0.4</v>
      </c>
      <c r="I5">
        <v>13</v>
      </c>
      <c r="J5">
        <v>3.7</v>
      </c>
      <c r="K5">
        <v>2.14</v>
      </c>
      <c r="L5">
        <v>1.07</v>
      </c>
      <c r="M5">
        <v>3.21</v>
      </c>
      <c r="N5">
        <f t="shared" si="2"/>
        <v>0.54591836734693866</v>
      </c>
      <c r="O5">
        <f t="shared" si="0"/>
        <v>0.96385542168674698</v>
      </c>
      <c r="P5">
        <f t="shared" si="1"/>
        <v>2.0626506024096387</v>
      </c>
      <c r="Q5">
        <f>O5*N5</f>
        <v>0.526186378165724</v>
      </c>
    </row>
    <row r="6" spans="1:17" x14ac:dyDescent="0.25">
      <c r="A6" t="s">
        <v>12</v>
      </c>
      <c r="B6" t="s">
        <v>16</v>
      </c>
      <c r="C6">
        <v>2013</v>
      </c>
      <c r="D6">
        <v>0.6</v>
      </c>
      <c r="E6">
        <v>1.7</v>
      </c>
      <c r="F6">
        <v>42</v>
      </c>
      <c r="G6">
        <v>0.3</v>
      </c>
      <c r="H6">
        <v>1.6</v>
      </c>
      <c r="I6">
        <v>38</v>
      </c>
      <c r="J6">
        <v>7.6</v>
      </c>
      <c r="K6">
        <v>0.18</v>
      </c>
      <c r="L6">
        <v>-0.26</v>
      </c>
      <c r="M6">
        <v>0.62</v>
      </c>
      <c r="N6">
        <f t="shared" si="2"/>
        <v>0.22448979591836735</v>
      </c>
      <c r="O6">
        <f t="shared" si="0"/>
        <v>0.99035369774919613</v>
      </c>
      <c r="P6">
        <f t="shared" si="1"/>
        <v>0.17826366559485529</v>
      </c>
      <c r="Q6">
        <f>O6*N6</f>
        <v>0.22232429949471749</v>
      </c>
    </row>
    <row r="7" spans="1:17" x14ac:dyDescent="0.25">
      <c r="A7" t="s">
        <v>12</v>
      </c>
      <c r="B7" t="s">
        <v>17</v>
      </c>
      <c r="C7">
        <v>2014</v>
      </c>
      <c r="D7">
        <v>0.7</v>
      </c>
      <c r="E7">
        <v>0.8</v>
      </c>
      <c r="F7">
        <v>17</v>
      </c>
      <c r="G7">
        <v>-0.9</v>
      </c>
      <c r="H7">
        <v>0.5</v>
      </c>
      <c r="I7">
        <v>9</v>
      </c>
      <c r="J7">
        <v>4.7</v>
      </c>
      <c r="K7">
        <v>0.98</v>
      </c>
      <c r="L7">
        <v>0.12</v>
      </c>
      <c r="M7">
        <v>1.84</v>
      </c>
      <c r="N7">
        <f t="shared" si="2"/>
        <v>0.43877551020408168</v>
      </c>
      <c r="O7">
        <f t="shared" si="0"/>
        <v>0.96842105263157896</v>
      </c>
      <c r="P7">
        <f t="shared" si="1"/>
        <v>0.94905263157894737</v>
      </c>
      <c r="Q7">
        <f>O7*N7</f>
        <v>0.42491944146079491</v>
      </c>
    </row>
    <row r="8" spans="1:17" x14ac:dyDescent="0.25">
      <c r="A8" t="s">
        <v>12</v>
      </c>
      <c r="B8" t="s">
        <v>18</v>
      </c>
      <c r="C8">
        <v>2016</v>
      </c>
      <c r="D8">
        <v>0.5</v>
      </c>
      <c r="E8">
        <v>1.7</v>
      </c>
      <c r="F8">
        <v>24</v>
      </c>
      <c r="G8">
        <v>0.3</v>
      </c>
      <c r="H8">
        <v>1.9</v>
      </c>
      <c r="I8">
        <v>26</v>
      </c>
      <c r="J8">
        <v>6.8</v>
      </c>
      <c r="K8">
        <v>0.11</v>
      </c>
      <c r="L8">
        <v>-0.45</v>
      </c>
      <c r="M8">
        <v>0.66</v>
      </c>
      <c r="N8">
        <f t="shared" si="2"/>
        <v>0.28316326530612246</v>
      </c>
      <c r="O8">
        <f t="shared" si="0"/>
        <v>0.98429319371727753</v>
      </c>
      <c r="P8">
        <f t="shared" si="1"/>
        <v>0.10827225130890053</v>
      </c>
      <c r="Q8">
        <f>O8*N8</f>
        <v>0.27871567475157605</v>
      </c>
    </row>
    <row r="9" spans="1:17" x14ac:dyDescent="0.25">
      <c r="A9" t="s">
        <v>12</v>
      </c>
      <c r="B9" t="s">
        <v>19</v>
      </c>
      <c r="C9">
        <v>2013</v>
      </c>
      <c r="D9">
        <v>1.4</v>
      </c>
      <c r="E9">
        <v>0.3</v>
      </c>
      <c r="F9">
        <v>15</v>
      </c>
      <c r="G9">
        <v>1</v>
      </c>
      <c r="H9">
        <v>0.3</v>
      </c>
      <c r="I9">
        <v>14</v>
      </c>
      <c r="J9">
        <v>5</v>
      </c>
      <c r="K9">
        <v>1.3</v>
      </c>
      <c r="L9">
        <v>0.48</v>
      </c>
      <c r="M9">
        <v>2.11</v>
      </c>
      <c r="N9">
        <f t="shared" si="2"/>
        <v>0.41581632653061223</v>
      </c>
      <c r="O9">
        <f t="shared" si="0"/>
        <v>0.9719626168224299</v>
      </c>
      <c r="P9">
        <f t="shared" si="1"/>
        <v>1.2635514018691589</v>
      </c>
      <c r="Q9">
        <f>O9*N9</f>
        <v>0.40415792485218383</v>
      </c>
    </row>
    <row r="10" spans="1:17" x14ac:dyDescent="0.25">
      <c r="A10" t="s">
        <v>12</v>
      </c>
      <c r="B10" t="s">
        <v>20</v>
      </c>
      <c r="C10">
        <v>2013</v>
      </c>
      <c r="D10">
        <v>1.3</v>
      </c>
      <c r="E10">
        <v>0.7</v>
      </c>
      <c r="F10">
        <v>12</v>
      </c>
      <c r="G10">
        <v>1.1000000000000001</v>
      </c>
      <c r="H10">
        <v>0.6</v>
      </c>
      <c r="I10">
        <v>12</v>
      </c>
      <c r="J10">
        <v>5</v>
      </c>
      <c r="K10">
        <v>0.3</v>
      </c>
      <c r="L10">
        <v>-0.51</v>
      </c>
      <c r="M10">
        <v>1.1000000000000001</v>
      </c>
      <c r="N10">
        <f t="shared" si="2"/>
        <v>0.41071428571428575</v>
      </c>
      <c r="O10">
        <f t="shared" si="0"/>
        <v>0.96551724137931039</v>
      </c>
      <c r="P10">
        <f t="shared" si="1"/>
        <v>0.28965517241379313</v>
      </c>
      <c r="Q10">
        <f>O10*N10</f>
        <v>0.39655172413793111</v>
      </c>
    </row>
    <row r="11" spans="1:17" x14ac:dyDescent="0.25">
      <c r="A11" t="s">
        <v>12</v>
      </c>
      <c r="B11" t="s">
        <v>21</v>
      </c>
      <c r="C11">
        <v>2016</v>
      </c>
      <c r="D11">
        <v>2.2999999999999998</v>
      </c>
      <c r="E11">
        <v>1.3</v>
      </c>
      <c r="F11">
        <v>16</v>
      </c>
      <c r="G11">
        <v>1.6</v>
      </c>
      <c r="H11">
        <v>1.03</v>
      </c>
      <c r="I11">
        <v>10</v>
      </c>
      <c r="J11">
        <v>5</v>
      </c>
      <c r="K11">
        <v>0.56000000000000005</v>
      </c>
      <c r="L11">
        <v>-0.25</v>
      </c>
      <c r="M11">
        <v>1.37</v>
      </c>
      <c r="N11">
        <f t="shared" si="2"/>
        <v>0.41326530612244899</v>
      </c>
      <c r="O11">
        <f t="shared" si="0"/>
        <v>0.96842105263157896</v>
      </c>
      <c r="P11">
        <f t="shared" si="1"/>
        <v>0.54231578947368431</v>
      </c>
      <c r="Q11">
        <f>O11*N11</f>
        <v>0.40021482277121379</v>
      </c>
    </row>
    <row r="12" spans="1:17" x14ac:dyDescent="0.25">
      <c r="A12" t="s">
        <v>12</v>
      </c>
      <c r="B12" t="s">
        <v>22</v>
      </c>
      <c r="C12">
        <v>2013</v>
      </c>
      <c r="D12">
        <v>0.9</v>
      </c>
      <c r="E12">
        <v>0.3</v>
      </c>
      <c r="F12">
        <v>24</v>
      </c>
      <c r="G12">
        <v>0.7</v>
      </c>
      <c r="H12">
        <v>0.2</v>
      </c>
      <c r="I12">
        <v>24</v>
      </c>
      <c r="J12">
        <v>6.5</v>
      </c>
      <c r="K12">
        <v>0.77</v>
      </c>
      <c r="L12">
        <v>0.18</v>
      </c>
      <c r="M12">
        <v>1.36</v>
      </c>
      <c r="N12">
        <f t="shared" si="2"/>
        <v>0.30102040816326536</v>
      </c>
      <c r="O12">
        <f t="shared" si="0"/>
        <v>0.98360655737704916</v>
      </c>
      <c r="P12">
        <f t="shared" si="1"/>
        <v>0.75737704918032789</v>
      </c>
      <c r="Q12">
        <f>O12*N12</f>
        <v>0.29608564737370363</v>
      </c>
    </row>
    <row r="13" spans="1:17" x14ac:dyDescent="0.25">
      <c r="A13" t="s">
        <v>12</v>
      </c>
      <c r="B13" t="s">
        <v>23</v>
      </c>
      <c r="C13">
        <v>2012</v>
      </c>
      <c r="D13">
        <v>1.3</v>
      </c>
      <c r="E13">
        <v>2.1</v>
      </c>
      <c r="F13">
        <v>31</v>
      </c>
      <c r="G13">
        <v>-0.3</v>
      </c>
      <c r="H13">
        <v>1.9</v>
      </c>
      <c r="I13">
        <v>31</v>
      </c>
      <c r="J13">
        <v>7</v>
      </c>
      <c r="K13">
        <v>0.79</v>
      </c>
      <c r="L13">
        <v>0.27</v>
      </c>
      <c r="M13">
        <v>1.31</v>
      </c>
      <c r="N13">
        <f t="shared" si="2"/>
        <v>0.26530612244897961</v>
      </c>
      <c r="O13">
        <f t="shared" si="0"/>
        <v>0.9874476987447699</v>
      </c>
      <c r="P13">
        <f t="shared" si="1"/>
        <v>0.78008368200836831</v>
      </c>
      <c r="Q13">
        <f>O13*N13</f>
        <v>0.26197592007514303</v>
      </c>
    </row>
    <row r="14" spans="1:17" x14ac:dyDescent="0.25">
      <c r="A14" t="s">
        <v>12</v>
      </c>
      <c r="B14" t="s">
        <v>24</v>
      </c>
      <c r="C14">
        <v>2009</v>
      </c>
      <c r="D14">
        <v>0.7</v>
      </c>
      <c r="E14">
        <v>0.2</v>
      </c>
      <c r="F14">
        <v>13</v>
      </c>
      <c r="G14">
        <v>0.6</v>
      </c>
      <c r="H14">
        <v>0.1</v>
      </c>
      <c r="I14">
        <v>13</v>
      </c>
      <c r="J14">
        <v>5.2</v>
      </c>
      <c r="K14">
        <v>0.38</v>
      </c>
      <c r="L14">
        <v>-0.4</v>
      </c>
      <c r="M14">
        <v>1.1599999999999999</v>
      </c>
      <c r="N14">
        <f t="shared" si="2"/>
        <v>0.39795918367346939</v>
      </c>
      <c r="O14">
        <f t="shared" si="0"/>
        <v>0.96842105263157896</v>
      </c>
      <c r="P14">
        <f t="shared" si="1"/>
        <v>0.36799999999999999</v>
      </c>
      <c r="Q14">
        <f>O14*N14</f>
        <v>0.38539205155746509</v>
      </c>
    </row>
    <row r="15" spans="1:17" x14ac:dyDescent="0.25">
      <c r="A15" t="s">
        <v>12</v>
      </c>
      <c r="B15" t="s">
        <v>25</v>
      </c>
      <c r="C15">
        <v>2015</v>
      </c>
      <c r="D15">
        <v>0.7</v>
      </c>
      <c r="E15">
        <v>1.1000000000000001</v>
      </c>
      <c r="F15">
        <v>30</v>
      </c>
      <c r="G15">
        <v>-0.5</v>
      </c>
      <c r="H15">
        <v>1.8</v>
      </c>
      <c r="I15">
        <v>30</v>
      </c>
      <c r="J15">
        <v>6.9</v>
      </c>
      <c r="K15">
        <v>0.86</v>
      </c>
      <c r="L15">
        <v>0.33</v>
      </c>
      <c r="M15">
        <v>1.39</v>
      </c>
      <c r="N15">
        <f t="shared" si="2"/>
        <v>0.27040816326530609</v>
      </c>
      <c r="O15">
        <f t="shared" si="0"/>
        <v>0.98701298701298701</v>
      </c>
      <c r="P15">
        <f t="shared" si="1"/>
        <v>0.84883116883116883</v>
      </c>
      <c r="Q15">
        <f>O15*N15</f>
        <v>0.26689636893718521</v>
      </c>
    </row>
    <row r="16" spans="1:17" x14ac:dyDescent="0.25">
      <c r="A16" t="s">
        <v>12</v>
      </c>
      <c r="B16" t="s">
        <v>26</v>
      </c>
      <c r="C16">
        <v>2014</v>
      </c>
      <c r="D16">
        <v>2.2999999999999998</v>
      </c>
      <c r="E16">
        <v>0.7</v>
      </c>
      <c r="F16">
        <v>7</v>
      </c>
      <c r="G16">
        <v>-0.5</v>
      </c>
      <c r="H16">
        <v>1.8</v>
      </c>
      <c r="I16">
        <v>7</v>
      </c>
      <c r="J16">
        <v>2.7</v>
      </c>
      <c r="K16">
        <v>1.92</v>
      </c>
      <c r="L16">
        <v>0.57999999999999996</v>
      </c>
      <c r="M16">
        <v>3.26</v>
      </c>
      <c r="N16">
        <f t="shared" si="2"/>
        <v>0.68367346938775508</v>
      </c>
      <c r="O16">
        <f t="shared" si="0"/>
        <v>0.93617021276595747</v>
      </c>
      <c r="P16">
        <f t="shared" si="1"/>
        <v>1.7974468085106383</v>
      </c>
      <c r="Q16">
        <f>O16*N16</f>
        <v>0.64003473729917504</v>
      </c>
    </row>
    <row r="17" spans="1:17" x14ac:dyDescent="0.25">
      <c r="A17" t="s">
        <v>12</v>
      </c>
      <c r="B17" t="s">
        <v>27</v>
      </c>
      <c r="C17">
        <v>2001</v>
      </c>
      <c r="D17">
        <v>0.8</v>
      </c>
      <c r="E17">
        <v>1.7</v>
      </c>
      <c r="F17">
        <v>14</v>
      </c>
      <c r="G17">
        <v>0.3</v>
      </c>
      <c r="H17">
        <v>1.6</v>
      </c>
      <c r="I17">
        <v>17</v>
      </c>
      <c r="J17">
        <v>5.6</v>
      </c>
      <c r="K17">
        <v>0.3</v>
      </c>
      <c r="L17">
        <v>-0.42</v>
      </c>
      <c r="M17">
        <v>1.01</v>
      </c>
      <c r="N17">
        <f t="shared" si="2"/>
        <v>0.36479591836734693</v>
      </c>
      <c r="O17">
        <f t="shared" si="0"/>
        <v>0.97391304347826091</v>
      </c>
      <c r="P17">
        <f t="shared" si="1"/>
        <v>0.29217391304347828</v>
      </c>
      <c r="Q17">
        <f>O17*N17</f>
        <v>0.35527950310559009</v>
      </c>
    </row>
    <row r="18" spans="1:17" x14ac:dyDescent="0.25">
      <c r="A18" t="s">
        <v>12</v>
      </c>
      <c r="B18" t="s">
        <v>28</v>
      </c>
      <c r="C18">
        <v>2015</v>
      </c>
      <c r="D18">
        <v>4.2</v>
      </c>
      <c r="E18">
        <v>1.3</v>
      </c>
      <c r="F18">
        <v>26</v>
      </c>
      <c r="G18">
        <v>2.9</v>
      </c>
      <c r="H18">
        <v>1.5</v>
      </c>
      <c r="I18">
        <v>27</v>
      </c>
      <c r="J18">
        <v>6.7</v>
      </c>
      <c r="K18">
        <v>0.91</v>
      </c>
      <c r="L18">
        <v>0.34</v>
      </c>
      <c r="M18">
        <v>1.48</v>
      </c>
      <c r="N18">
        <f t="shared" si="2"/>
        <v>0.29081632653061223</v>
      </c>
      <c r="O18">
        <f t="shared" si="0"/>
        <v>0.98522167487684731</v>
      </c>
      <c r="P18">
        <f t="shared" si="1"/>
        <v>0.89655172413793105</v>
      </c>
      <c r="Q18">
        <f>O18*N18</f>
        <v>0.28651854830602191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liao_protein_ffm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2025-10-11T20:15:21Z</dcterms:created>
  <dcterms:modified xsi:type="dcterms:W3CDTF">2025-12-30T13:00:16Z</dcterms:modified>
</cp:coreProperties>
</file>