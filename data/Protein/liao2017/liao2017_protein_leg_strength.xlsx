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liao2017\"/>
    </mc:Choice>
  </mc:AlternateContent>
  <xr:revisionPtr revIDLastSave="0" documentId="13_ncr:1_{508E832E-0365-4183-9FD9-EA20B2E44BFB}" xr6:coauthVersionLast="47" xr6:coauthVersionMax="47" xr10:uidLastSave="{00000000-0000-0000-0000-000000000000}"/>
  <bookViews>
    <workbookView xWindow="38280" yWindow="2820" windowWidth="29040" windowHeight="16440" xr2:uid="{E8467922-8CBB-4289-BE0D-A3268E6953D7}"/>
  </bookViews>
  <sheets>
    <sheet name="liao_protein_le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2" i="1"/>
  <c r="N3" i="1"/>
  <c r="N4" i="1"/>
  <c r="O4" i="1" s="1"/>
  <c r="N5" i="1"/>
  <c r="N6" i="1"/>
  <c r="N7" i="1"/>
  <c r="N8" i="1"/>
  <c r="O8" i="1" s="1"/>
  <c r="N9" i="1"/>
  <c r="O9" i="1" s="1"/>
  <c r="N10" i="1"/>
  <c r="N11" i="1"/>
  <c r="O11" i="1" s="1"/>
  <c r="N12" i="1"/>
  <c r="N13" i="1"/>
  <c r="N14" i="1"/>
  <c r="O14" i="1" s="1"/>
  <c r="N15" i="1"/>
  <c r="N2" i="1"/>
  <c r="O6" i="1"/>
  <c r="O3" i="1"/>
  <c r="O7" i="1"/>
  <c r="O15" i="1"/>
  <c r="O13" i="1" l="1"/>
  <c r="O12" i="1"/>
  <c r="O5" i="1"/>
  <c r="O10" i="1"/>
  <c r="O2" i="1"/>
</calcChain>
</file>

<file path=xl/sharedStrings.xml><?xml version="1.0" encoding="utf-8"?>
<sst xmlns="http://schemas.openxmlformats.org/spreadsheetml/2006/main" count="30" uniqueCount="29">
  <si>
    <t>Author</t>
  </si>
  <si>
    <t>Year</t>
  </si>
  <si>
    <t>HP_Mean</t>
  </si>
  <si>
    <t>HP_SD</t>
  </si>
  <si>
    <t>HP_N</t>
  </si>
  <si>
    <t>SP_Mean</t>
  </si>
  <si>
    <t>SP_SD</t>
  </si>
  <si>
    <t>SP_N</t>
  </si>
  <si>
    <t>Weight_%</t>
  </si>
  <si>
    <t>CI_Lower</t>
  </si>
  <si>
    <t>CI_Upper</t>
  </si>
  <si>
    <t>Arnarson</t>
  </si>
  <si>
    <t>Candow</t>
  </si>
  <si>
    <t>Chale</t>
  </si>
  <si>
    <t>Gryson</t>
  </si>
  <si>
    <t>Leenders M</t>
  </si>
  <si>
    <t>Leenders F</t>
  </si>
  <si>
    <t>Oesen</t>
  </si>
  <si>
    <t>Stout</t>
  </si>
  <si>
    <t>Tieland</t>
  </si>
  <si>
    <t>Verdijk</t>
  </si>
  <si>
    <t>Villanueva</t>
  </si>
  <si>
    <t>Vukovich</t>
  </si>
  <si>
    <t>Zdzieblik</t>
  </si>
  <si>
    <t>d</t>
  </si>
  <si>
    <t>J</t>
  </si>
  <si>
    <t>g</t>
  </si>
  <si>
    <t>se_g</t>
  </si>
  <si>
    <t>se_d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</si>
</sst>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8D55-EE23-4980-901E-5FA84DEC59AA}">
  <dimension ref="A1:P15"/>
  <sheetViews>
    <sheetView tabSelected="1" workbookViewId="0">
      <selection activeCell="L8" sqref="L8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9</v>
      </c>
      <c r="L1" t="s">
        <v>10</v>
      </c>
      <c r="M1" t="s">
        <v>28</v>
      </c>
      <c r="N1" t="s">
        <v>25</v>
      </c>
      <c r="O1" t="s">
        <v>26</v>
      </c>
      <c r="P1" t="s">
        <v>27</v>
      </c>
    </row>
    <row r="2" spans="1:16" x14ac:dyDescent="0.25">
      <c r="A2" t="s">
        <v>11</v>
      </c>
      <c r="B2">
        <v>2013</v>
      </c>
      <c r="C2">
        <v>5.8</v>
      </c>
      <c r="D2">
        <v>8.1</v>
      </c>
      <c r="E2">
        <v>75</v>
      </c>
      <c r="F2">
        <v>5.4</v>
      </c>
      <c r="G2">
        <v>5.2</v>
      </c>
      <c r="H2">
        <v>66</v>
      </c>
      <c r="I2">
        <v>10.199999999999999</v>
      </c>
      <c r="J2">
        <v>7.0000000000000007E-2</v>
      </c>
      <c r="K2">
        <v>-0.26</v>
      </c>
      <c r="L2">
        <v>0.4</v>
      </c>
      <c r="M2">
        <f>(L2-K2)/2/1.96</f>
        <v>0.16836734693877553</v>
      </c>
      <c r="N2">
        <f t="shared" ref="N2:N15" si="0">1-3/(4*(H2+E2-2)-1)</f>
        <v>0.99459459459459465</v>
      </c>
      <c r="O2">
        <f t="shared" ref="O2:O15" si="1">N2*J2</f>
        <v>6.9621621621621638E-2</v>
      </c>
      <c r="P2">
        <f>N2*M2</f>
        <v>0.16745725317153892</v>
      </c>
    </row>
    <row r="3" spans="1:16" x14ac:dyDescent="0.25">
      <c r="A3" t="s">
        <v>12</v>
      </c>
      <c r="B3">
        <v>2006</v>
      </c>
      <c r="C3">
        <v>47.5</v>
      </c>
      <c r="D3">
        <v>9.5</v>
      </c>
      <c r="E3">
        <v>19</v>
      </c>
      <c r="F3">
        <v>35</v>
      </c>
      <c r="G3">
        <v>7.9</v>
      </c>
      <c r="H3">
        <v>10</v>
      </c>
      <c r="I3">
        <v>6</v>
      </c>
      <c r="J3">
        <v>1.35</v>
      </c>
      <c r="K3">
        <v>0.5</v>
      </c>
      <c r="L3">
        <v>2.2000000000000002</v>
      </c>
      <c r="M3">
        <f t="shared" ref="M3:M15" si="2">(L3-K3)/2/1.96</f>
        <v>0.43367346938775514</v>
      </c>
      <c r="N3">
        <f t="shared" si="0"/>
        <v>0.9719626168224299</v>
      </c>
      <c r="O3">
        <f t="shared" si="1"/>
        <v>1.3121495327102806</v>
      </c>
      <c r="P3">
        <f>N3*M3</f>
        <v>0.42151440015258446</v>
      </c>
    </row>
    <row r="4" spans="1:16" x14ac:dyDescent="0.25">
      <c r="A4" t="s">
        <v>12</v>
      </c>
      <c r="B4">
        <v>2008</v>
      </c>
      <c r="C4">
        <v>20</v>
      </c>
      <c r="D4">
        <v>5</v>
      </c>
      <c r="E4">
        <v>10</v>
      </c>
      <c r="F4">
        <v>20</v>
      </c>
      <c r="G4">
        <v>6</v>
      </c>
      <c r="H4">
        <v>13</v>
      </c>
      <c r="I4">
        <v>6.2</v>
      </c>
      <c r="J4">
        <v>0</v>
      </c>
      <c r="K4">
        <v>-0.82</v>
      </c>
      <c r="L4">
        <v>0.82</v>
      </c>
      <c r="M4">
        <f t="shared" si="2"/>
        <v>0.41836734693877548</v>
      </c>
      <c r="N4">
        <f t="shared" si="0"/>
        <v>0.96385542168674698</v>
      </c>
      <c r="O4">
        <f t="shared" si="1"/>
        <v>0</v>
      </c>
      <c r="P4">
        <f>N4*M4</f>
        <v>0.40324563560363902</v>
      </c>
    </row>
    <row r="5" spans="1:16" x14ac:dyDescent="0.25">
      <c r="A5" t="s">
        <v>13</v>
      </c>
      <c r="B5">
        <v>2013</v>
      </c>
      <c r="C5">
        <v>12.95</v>
      </c>
      <c r="D5">
        <v>8.8000000000000007</v>
      </c>
      <c r="E5">
        <v>42</v>
      </c>
      <c r="F5">
        <v>8.4600000000000009</v>
      </c>
      <c r="G5">
        <v>4.3</v>
      </c>
      <c r="H5">
        <v>38</v>
      </c>
      <c r="I5">
        <v>9.1999999999999993</v>
      </c>
      <c r="J5">
        <v>0.63</v>
      </c>
      <c r="K5">
        <v>0.18</v>
      </c>
      <c r="L5">
        <v>1.08</v>
      </c>
      <c r="M5">
        <f t="shared" si="2"/>
        <v>0.22959183673469391</v>
      </c>
      <c r="N5">
        <f t="shared" si="0"/>
        <v>0.99035369774919613</v>
      </c>
      <c r="O5">
        <f t="shared" si="1"/>
        <v>0.62392282958199352</v>
      </c>
      <c r="P5">
        <f>N5*M5</f>
        <v>0.22737712448323383</v>
      </c>
    </row>
    <row r="6" spans="1:16" x14ac:dyDescent="0.25">
      <c r="A6" t="s">
        <v>14</v>
      </c>
      <c r="B6">
        <v>2014</v>
      </c>
      <c r="C6">
        <v>21.5</v>
      </c>
      <c r="D6">
        <v>8.3000000000000007</v>
      </c>
      <c r="E6">
        <v>17</v>
      </c>
      <c r="F6">
        <v>8</v>
      </c>
      <c r="G6">
        <v>4.4000000000000004</v>
      </c>
      <c r="H6">
        <v>9</v>
      </c>
      <c r="I6">
        <v>5.3</v>
      </c>
      <c r="J6">
        <v>1.81</v>
      </c>
      <c r="K6">
        <v>0.84</v>
      </c>
      <c r="L6">
        <v>2.77</v>
      </c>
      <c r="M6">
        <f t="shared" si="2"/>
        <v>0.49234693877551028</v>
      </c>
      <c r="N6">
        <f t="shared" si="0"/>
        <v>0.96842105263157896</v>
      </c>
      <c r="O6">
        <f t="shared" si="1"/>
        <v>1.752842105263158</v>
      </c>
      <c r="P6">
        <f>N6*M6</f>
        <v>0.47679914070891521</v>
      </c>
    </row>
    <row r="7" spans="1:16" x14ac:dyDescent="0.25">
      <c r="A7" t="s">
        <v>15</v>
      </c>
      <c r="B7">
        <v>2013</v>
      </c>
      <c r="C7">
        <v>42</v>
      </c>
      <c r="D7">
        <v>4.7</v>
      </c>
      <c r="E7">
        <v>15</v>
      </c>
      <c r="F7">
        <v>38</v>
      </c>
      <c r="G7">
        <v>4.2</v>
      </c>
      <c r="H7">
        <v>14</v>
      </c>
      <c r="I7">
        <v>6.3</v>
      </c>
      <c r="J7">
        <v>1.31</v>
      </c>
      <c r="K7">
        <v>0.49</v>
      </c>
      <c r="L7">
        <v>2.12</v>
      </c>
      <c r="M7">
        <f t="shared" si="2"/>
        <v>0.41581632653061229</v>
      </c>
      <c r="N7">
        <f t="shared" si="0"/>
        <v>0.9719626168224299</v>
      </c>
      <c r="O7">
        <f t="shared" si="1"/>
        <v>1.2732710280373831</v>
      </c>
      <c r="P7">
        <f>N7*M7</f>
        <v>0.40415792485218388</v>
      </c>
    </row>
    <row r="8" spans="1:16" x14ac:dyDescent="0.25">
      <c r="A8" t="s">
        <v>16</v>
      </c>
      <c r="B8">
        <v>2013</v>
      </c>
      <c r="C8">
        <v>24</v>
      </c>
      <c r="D8">
        <v>10.4</v>
      </c>
      <c r="E8">
        <v>12</v>
      </c>
      <c r="F8">
        <v>7</v>
      </c>
      <c r="G8">
        <v>6.6</v>
      </c>
      <c r="H8">
        <v>12</v>
      </c>
      <c r="I8">
        <v>5.0999999999999996</v>
      </c>
      <c r="J8">
        <v>1.88</v>
      </c>
      <c r="K8">
        <v>0.89</v>
      </c>
      <c r="L8">
        <v>2.87</v>
      </c>
      <c r="M8">
        <f t="shared" si="2"/>
        <v>0.50510204081632648</v>
      </c>
      <c r="N8">
        <f t="shared" si="0"/>
        <v>0.96551724137931039</v>
      </c>
      <c r="O8">
        <f t="shared" si="1"/>
        <v>1.8151724137931033</v>
      </c>
      <c r="P8">
        <f>N8*M8</f>
        <v>0.48768472906403937</v>
      </c>
    </row>
    <row r="9" spans="1:16" x14ac:dyDescent="0.25">
      <c r="A9" t="s">
        <v>17</v>
      </c>
      <c r="B9">
        <v>2015</v>
      </c>
      <c r="C9">
        <v>0.08</v>
      </c>
      <c r="D9">
        <v>0.05</v>
      </c>
      <c r="E9">
        <v>25</v>
      </c>
      <c r="F9">
        <v>7.0000000000000007E-2</v>
      </c>
      <c r="G9">
        <v>0.03</v>
      </c>
      <c r="H9">
        <v>31</v>
      </c>
      <c r="I9">
        <v>8.6</v>
      </c>
      <c r="J9">
        <v>0.25</v>
      </c>
      <c r="K9">
        <v>-0.28000000000000003</v>
      </c>
      <c r="L9">
        <v>0.77</v>
      </c>
      <c r="M9">
        <f t="shared" si="2"/>
        <v>0.26785714285714285</v>
      </c>
      <c r="N9">
        <f t="shared" si="0"/>
        <v>0.98604651162790702</v>
      </c>
      <c r="O9">
        <f t="shared" si="1"/>
        <v>0.24651162790697675</v>
      </c>
      <c r="P9">
        <f>N9*M9</f>
        <v>0.26411960132890366</v>
      </c>
    </row>
    <row r="10" spans="1:16" x14ac:dyDescent="0.25">
      <c r="A10" t="s">
        <v>18</v>
      </c>
      <c r="B10">
        <v>2013</v>
      </c>
      <c r="C10">
        <v>131</v>
      </c>
      <c r="D10">
        <v>18</v>
      </c>
      <c r="E10">
        <v>24</v>
      </c>
      <c r="F10">
        <v>118</v>
      </c>
      <c r="G10">
        <v>14</v>
      </c>
      <c r="H10">
        <v>22</v>
      </c>
      <c r="I10">
        <v>7.9</v>
      </c>
      <c r="J10">
        <v>0.79</v>
      </c>
      <c r="K10">
        <v>0.19</v>
      </c>
      <c r="L10">
        <v>1.39</v>
      </c>
      <c r="M10">
        <f t="shared" si="2"/>
        <v>0.30612244897959184</v>
      </c>
      <c r="N10">
        <f t="shared" si="0"/>
        <v>0.98285714285714287</v>
      </c>
      <c r="O10">
        <f t="shared" si="1"/>
        <v>0.77645714285714296</v>
      </c>
      <c r="P10">
        <f>N10*M10</f>
        <v>0.30087463556851313</v>
      </c>
    </row>
    <row r="11" spans="1:16" x14ac:dyDescent="0.25">
      <c r="A11" t="s">
        <v>19</v>
      </c>
      <c r="B11">
        <v>2012</v>
      </c>
      <c r="C11">
        <v>45</v>
      </c>
      <c r="D11">
        <v>26.9</v>
      </c>
      <c r="E11">
        <v>31</v>
      </c>
      <c r="F11">
        <v>46</v>
      </c>
      <c r="G11">
        <v>26.1</v>
      </c>
      <c r="H11">
        <v>31</v>
      </c>
      <c r="I11">
        <v>8.8000000000000007</v>
      </c>
      <c r="J11">
        <v>-0.04</v>
      </c>
      <c r="K11">
        <v>-0.54</v>
      </c>
      <c r="L11">
        <v>0.46</v>
      </c>
      <c r="M11">
        <f t="shared" si="2"/>
        <v>0.25510204081632654</v>
      </c>
      <c r="N11">
        <f t="shared" si="0"/>
        <v>0.9874476987447699</v>
      </c>
      <c r="O11">
        <f t="shared" si="1"/>
        <v>-3.9497907949790793E-2</v>
      </c>
      <c r="P11">
        <f>N11*M11</f>
        <v>0.25189992314917597</v>
      </c>
    </row>
    <row r="12" spans="1:16" x14ac:dyDescent="0.25">
      <c r="A12" t="s">
        <v>20</v>
      </c>
      <c r="B12">
        <v>2009</v>
      </c>
      <c r="C12">
        <v>31</v>
      </c>
      <c r="D12">
        <v>9.5</v>
      </c>
      <c r="E12">
        <v>13</v>
      </c>
      <c r="F12">
        <v>23</v>
      </c>
      <c r="G12">
        <v>8</v>
      </c>
      <c r="H12">
        <v>13</v>
      </c>
      <c r="I12">
        <v>6.3</v>
      </c>
      <c r="J12">
        <v>0.88</v>
      </c>
      <c r="K12">
        <v>7.0000000000000007E-2</v>
      </c>
      <c r="L12">
        <v>1.69</v>
      </c>
      <c r="M12">
        <f t="shared" si="2"/>
        <v>0.41326530612244894</v>
      </c>
      <c r="N12">
        <f t="shared" si="0"/>
        <v>0.96842105263157896</v>
      </c>
      <c r="O12">
        <f t="shared" si="1"/>
        <v>0.85221052631578953</v>
      </c>
      <c r="P12">
        <f>N12*M12</f>
        <v>0.40021482277121373</v>
      </c>
    </row>
    <row r="13" spans="1:16" x14ac:dyDescent="0.25">
      <c r="A13" t="s">
        <v>21</v>
      </c>
      <c r="B13">
        <v>2014</v>
      </c>
      <c r="C13">
        <v>210</v>
      </c>
      <c r="D13">
        <v>97</v>
      </c>
      <c r="E13">
        <v>7</v>
      </c>
      <c r="F13">
        <v>179.5</v>
      </c>
      <c r="G13">
        <v>53.5</v>
      </c>
      <c r="H13">
        <v>7</v>
      </c>
      <c r="I13">
        <v>4.7</v>
      </c>
      <c r="J13">
        <v>0.36</v>
      </c>
      <c r="K13">
        <v>-0.7</v>
      </c>
      <c r="L13">
        <v>1.42</v>
      </c>
      <c r="M13">
        <f t="shared" si="2"/>
        <v>0.54081632653061229</v>
      </c>
      <c r="N13">
        <f t="shared" si="0"/>
        <v>0.93617021276595747</v>
      </c>
      <c r="O13">
        <f t="shared" si="1"/>
        <v>0.33702127659574466</v>
      </c>
      <c r="P13">
        <f>N13*M13</f>
        <v>0.50629613547546681</v>
      </c>
    </row>
    <row r="14" spans="1:16" x14ac:dyDescent="0.25">
      <c r="A14" t="s">
        <v>22</v>
      </c>
      <c r="B14">
        <v>2001</v>
      </c>
      <c r="C14">
        <v>21.8</v>
      </c>
      <c r="D14">
        <v>3.6</v>
      </c>
      <c r="E14">
        <v>14</v>
      </c>
      <c r="F14">
        <v>18.100000000000001</v>
      </c>
      <c r="G14">
        <v>3.4</v>
      </c>
      <c r="H14">
        <v>17</v>
      </c>
      <c r="I14">
        <v>6.7</v>
      </c>
      <c r="J14">
        <v>1.03</v>
      </c>
      <c r="K14">
        <v>0.27</v>
      </c>
      <c r="L14">
        <v>1.79</v>
      </c>
      <c r="M14">
        <f t="shared" si="2"/>
        <v>0.38775510204081631</v>
      </c>
      <c r="N14">
        <f t="shared" si="0"/>
        <v>0.97391304347826091</v>
      </c>
      <c r="O14">
        <f t="shared" si="1"/>
        <v>1.0031304347826087</v>
      </c>
      <c r="P14">
        <f>N14*M14</f>
        <v>0.37763975155279506</v>
      </c>
    </row>
    <row r="15" spans="1:16" x14ac:dyDescent="0.25">
      <c r="A15" t="s">
        <v>23</v>
      </c>
      <c r="B15">
        <v>2015</v>
      </c>
      <c r="C15">
        <v>17</v>
      </c>
      <c r="D15">
        <v>17.600000000000001</v>
      </c>
      <c r="E15">
        <v>30</v>
      </c>
      <c r="F15">
        <v>7</v>
      </c>
      <c r="G15">
        <v>17.2</v>
      </c>
      <c r="H15">
        <v>30</v>
      </c>
      <c r="I15">
        <v>8.6999999999999993</v>
      </c>
      <c r="J15">
        <v>0.56999999999999995</v>
      </c>
      <c r="K15">
        <v>0.05</v>
      </c>
      <c r="L15">
        <v>1.08</v>
      </c>
      <c r="M15">
        <f t="shared" si="2"/>
        <v>0.26275510204081631</v>
      </c>
      <c r="N15">
        <f t="shared" si="0"/>
        <v>0.98701298701298701</v>
      </c>
      <c r="O15">
        <f t="shared" si="1"/>
        <v>0.56259740259740254</v>
      </c>
      <c r="P15">
        <f>N15*M15</f>
        <v>0.25934269811820831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liao_protein_leg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2025-10-11T20:15:02Z</dcterms:created>
  <dcterms:modified xsi:type="dcterms:W3CDTF">2025-12-30T12:59:15Z</dcterms:modified>
</cp:coreProperties>
</file>