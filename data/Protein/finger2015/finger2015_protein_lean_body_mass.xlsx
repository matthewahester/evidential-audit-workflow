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finger2015\"/>
    </mc:Choice>
  </mc:AlternateContent>
  <xr:revisionPtr revIDLastSave="0" documentId="13_ncr:1_{F0948593-652B-4075-A27F-0E22D80FD21B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H3" i="1"/>
  <c r="H4" i="1"/>
  <c r="H5" i="1"/>
  <c r="H6" i="1"/>
  <c r="H7" i="1"/>
  <c r="H8" i="1"/>
  <c r="H9" i="1"/>
  <c r="H10" i="1"/>
  <c r="H11" i="1"/>
  <c r="H2" i="1"/>
  <c r="I3" i="1"/>
  <c r="J3" i="1" s="1"/>
  <c r="I4" i="1"/>
  <c r="I5" i="1"/>
  <c r="I6" i="1"/>
  <c r="I7" i="1"/>
  <c r="I8" i="1"/>
  <c r="J8" i="1" s="1"/>
  <c r="I9" i="1"/>
  <c r="J9" i="1" s="1"/>
  <c r="I10" i="1"/>
  <c r="J10" i="1" s="1"/>
  <c r="I11" i="1"/>
  <c r="J11" i="1" s="1"/>
  <c r="I2" i="1"/>
  <c r="J2" i="1" s="1"/>
  <c r="J5" i="1"/>
  <c r="J7" i="1" l="1"/>
  <c r="J6" i="1"/>
  <c r="J4" i="1"/>
</calcChain>
</file>

<file path=xl/sharedStrings.xml><?xml version="1.0" encoding="utf-8"?>
<sst xmlns="http://schemas.openxmlformats.org/spreadsheetml/2006/main" count="21" uniqueCount="21">
  <si>
    <t>Author</t>
  </si>
  <si>
    <t>Year</t>
  </si>
  <si>
    <t>CI_lower</t>
  </si>
  <si>
    <t>CI_upper</t>
  </si>
  <si>
    <t>Campbell</t>
  </si>
  <si>
    <t>Verdijk</t>
  </si>
  <si>
    <t>Tieland</t>
  </si>
  <si>
    <t>Iglay</t>
  </si>
  <si>
    <t>Kukuljan</t>
  </si>
  <si>
    <t>Candowb</t>
  </si>
  <si>
    <t>Candowa</t>
  </si>
  <si>
    <t>Leendersw</t>
  </si>
  <si>
    <t>Leendersm</t>
  </si>
  <si>
    <t>Chale</t>
  </si>
  <si>
    <t>N_Exp</t>
  </si>
  <si>
    <t>N_Ctrl</t>
  </si>
  <si>
    <t>d</t>
  </si>
  <si>
    <t>J</t>
  </si>
  <si>
    <t>g</t>
  </si>
  <si>
    <t>se_g</t>
  </si>
  <si>
    <t>se_d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</si>
</sst>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6" sqref="J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2</v>
      </c>
      <c r="G1" t="s">
        <v>3</v>
      </c>
      <c r="H1" t="s">
        <v>20</v>
      </c>
      <c r="I1" t="s">
        <v>17</v>
      </c>
      <c r="J1" t="s">
        <v>18</v>
      </c>
      <c r="K1" t="s">
        <v>19</v>
      </c>
    </row>
    <row r="2" spans="1:11" x14ac:dyDescent="0.25">
      <c r="A2" t="s">
        <v>4</v>
      </c>
      <c r="B2">
        <v>1995</v>
      </c>
      <c r="C2">
        <v>6</v>
      </c>
      <c r="D2">
        <v>6</v>
      </c>
      <c r="E2">
        <v>0.54</v>
      </c>
      <c r="F2">
        <v>-0.62</v>
      </c>
      <c r="G2">
        <v>1.7</v>
      </c>
      <c r="H2">
        <f>(G2-F2)/2/1.96</f>
        <v>0.59183673469387754</v>
      </c>
      <c r="I2">
        <f t="shared" ref="I2:I11" si="0">1-3/(4*(C2+D2-2)-1)</f>
        <v>0.92307692307692313</v>
      </c>
      <c r="J2">
        <f t="shared" ref="J2:J11" si="1">I2*E2</f>
        <v>0.49846153846153851</v>
      </c>
      <c r="K2">
        <f>I2*H2</f>
        <v>0.54631083202511777</v>
      </c>
    </row>
    <row r="3" spans="1:11" x14ac:dyDescent="0.25">
      <c r="A3" t="s">
        <v>5</v>
      </c>
      <c r="B3">
        <v>2009</v>
      </c>
      <c r="C3">
        <v>13</v>
      </c>
      <c r="D3">
        <v>13</v>
      </c>
      <c r="E3">
        <v>0.11</v>
      </c>
      <c r="F3">
        <v>-0.66</v>
      </c>
      <c r="G3">
        <v>0.88</v>
      </c>
      <c r="H3">
        <f t="shared" ref="H3:H11" si="2">(G3-F3)/2/1.96</f>
        <v>0.39285714285714285</v>
      </c>
      <c r="I3">
        <f t="shared" si="0"/>
        <v>0.96842105263157896</v>
      </c>
      <c r="J3">
        <f t="shared" si="1"/>
        <v>0.10652631578947369</v>
      </c>
      <c r="K3">
        <f>I3*H3</f>
        <v>0.38045112781954887</v>
      </c>
    </row>
    <row r="4" spans="1:11" x14ac:dyDescent="0.25">
      <c r="A4" t="s">
        <v>6</v>
      </c>
      <c r="B4">
        <v>2012</v>
      </c>
      <c r="C4">
        <v>31</v>
      </c>
      <c r="D4">
        <v>31</v>
      </c>
      <c r="E4">
        <v>0.23</v>
      </c>
      <c r="F4">
        <v>-0.27</v>
      </c>
      <c r="G4">
        <v>0.73</v>
      </c>
      <c r="H4">
        <f t="shared" si="2"/>
        <v>0.25510204081632654</v>
      </c>
      <c r="I4">
        <f t="shared" si="0"/>
        <v>0.9874476987447699</v>
      </c>
      <c r="J4">
        <f t="shared" si="1"/>
        <v>0.22711297071129707</v>
      </c>
      <c r="K4">
        <f>I4*H4</f>
        <v>0.25189992314917597</v>
      </c>
    </row>
    <row r="5" spans="1:11" x14ac:dyDescent="0.25">
      <c r="A5" t="s">
        <v>7</v>
      </c>
      <c r="B5">
        <v>2009</v>
      </c>
      <c r="C5">
        <v>18</v>
      </c>
      <c r="D5">
        <v>18</v>
      </c>
      <c r="E5">
        <v>0.17</v>
      </c>
      <c r="F5">
        <v>-0.48</v>
      </c>
      <c r="G5">
        <v>0.83</v>
      </c>
      <c r="H5">
        <f t="shared" si="2"/>
        <v>0.33418367346938777</v>
      </c>
      <c r="I5">
        <f t="shared" si="0"/>
        <v>0.97777777777777775</v>
      </c>
      <c r="J5">
        <f t="shared" si="1"/>
        <v>0.16622222222222222</v>
      </c>
      <c r="K5">
        <f>I5*H5</f>
        <v>0.32675736961451246</v>
      </c>
    </row>
    <row r="6" spans="1:11" x14ac:dyDescent="0.25">
      <c r="A6" t="s">
        <v>8</v>
      </c>
      <c r="B6">
        <v>2009</v>
      </c>
      <c r="C6">
        <v>43</v>
      </c>
      <c r="D6">
        <v>44</v>
      </c>
      <c r="E6">
        <v>0.39</v>
      </c>
      <c r="F6">
        <v>-0.04</v>
      </c>
      <c r="G6">
        <v>0.81</v>
      </c>
      <c r="H6">
        <f t="shared" si="2"/>
        <v>0.21683673469387757</v>
      </c>
      <c r="I6">
        <f t="shared" si="0"/>
        <v>0.99115044247787609</v>
      </c>
      <c r="J6">
        <f t="shared" si="1"/>
        <v>0.38654867256637171</v>
      </c>
      <c r="K6">
        <f>I6*H6</f>
        <v>0.21491782553729458</v>
      </c>
    </row>
    <row r="7" spans="1:11" x14ac:dyDescent="0.25">
      <c r="A7" t="s">
        <v>9</v>
      </c>
      <c r="B7">
        <v>2006</v>
      </c>
      <c r="C7">
        <v>10</v>
      </c>
      <c r="D7">
        <v>10</v>
      </c>
      <c r="E7">
        <v>0.06</v>
      </c>
      <c r="F7">
        <v>-0.84</v>
      </c>
      <c r="G7">
        <v>0.96</v>
      </c>
      <c r="H7">
        <f t="shared" si="2"/>
        <v>0.45918367346938771</v>
      </c>
      <c r="I7">
        <f t="shared" si="0"/>
        <v>0.95774647887323949</v>
      </c>
      <c r="J7">
        <f t="shared" si="1"/>
        <v>5.746478873239437E-2</v>
      </c>
      <c r="K7">
        <f>I7*H7</f>
        <v>0.43978154642138545</v>
      </c>
    </row>
    <row r="8" spans="1:11" x14ac:dyDescent="0.25">
      <c r="A8" t="s">
        <v>10</v>
      </c>
      <c r="B8">
        <v>2006</v>
      </c>
      <c r="C8">
        <v>9</v>
      </c>
      <c r="D8">
        <v>10</v>
      </c>
      <c r="E8">
        <v>0.19</v>
      </c>
      <c r="F8">
        <v>-0.69</v>
      </c>
      <c r="G8">
        <v>1.07</v>
      </c>
      <c r="H8">
        <f t="shared" si="2"/>
        <v>0.44897959183673469</v>
      </c>
      <c r="I8">
        <f t="shared" si="0"/>
        <v>0.95522388059701491</v>
      </c>
      <c r="J8">
        <f t="shared" si="1"/>
        <v>0.18149253731343284</v>
      </c>
      <c r="K8">
        <f>I8*H8</f>
        <v>0.42887602802314956</v>
      </c>
    </row>
    <row r="9" spans="1:11" x14ac:dyDescent="0.25">
      <c r="A9" t="s">
        <v>11</v>
      </c>
      <c r="B9">
        <v>2013</v>
      </c>
      <c r="C9">
        <v>12</v>
      </c>
      <c r="D9">
        <v>12</v>
      </c>
      <c r="E9">
        <v>0.06</v>
      </c>
      <c r="F9">
        <v>-0.48</v>
      </c>
      <c r="G9">
        <v>0.6</v>
      </c>
      <c r="H9">
        <f t="shared" si="2"/>
        <v>0.27551020408163268</v>
      </c>
      <c r="I9">
        <f t="shared" si="0"/>
        <v>0.96551724137931039</v>
      </c>
      <c r="J9">
        <f t="shared" si="1"/>
        <v>5.7931034482758624E-2</v>
      </c>
      <c r="K9">
        <f>I9*H9</f>
        <v>0.26600985221674883</v>
      </c>
    </row>
    <row r="10" spans="1:11" x14ac:dyDescent="0.25">
      <c r="A10" t="s">
        <v>12</v>
      </c>
      <c r="B10">
        <v>2013</v>
      </c>
      <c r="C10">
        <v>15</v>
      </c>
      <c r="D10">
        <v>14</v>
      </c>
      <c r="E10">
        <v>0.22</v>
      </c>
      <c r="F10">
        <v>-0.32</v>
      </c>
      <c r="G10">
        <v>0.76</v>
      </c>
      <c r="H10">
        <f t="shared" si="2"/>
        <v>0.27551020408163268</v>
      </c>
      <c r="I10">
        <f t="shared" si="0"/>
        <v>0.9719626168224299</v>
      </c>
      <c r="J10">
        <f t="shared" si="1"/>
        <v>0.21383177570093459</v>
      </c>
      <c r="K10">
        <f>I10*H10</f>
        <v>0.26778561892046543</v>
      </c>
    </row>
    <row r="11" spans="1:11" x14ac:dyDescent="0.25">
      <c r="A11" t="s">
        <v>13</v>
      </c>
      <c r="B11">
        <v>2013</v>
      </c>
      <c r="C11">
        <v>42</v>
      </c>
      <c r="D11">
        <v>38</v>
      </c>
      <c r="E11">
        <v>0.28000000000000003</v>
      </c>
      <c r="F11">
        <v>-0.16</v>
      </c>
      <c r="G11">
        <v>0.72</v>
      </c>
      <c r="H11">
        <f t="shared" si="2"/>
        <v>0.22448979591836735</v>
      </c>
      <c r="I11">
        <f t="shared" si="0"/>
        <v>0.99035369774919613</v>
      </c>
      <c r="J11">
        <f t="shared" si="1"/>
        <v>0.27729903536977496</v>
      </c>
      <c r="K11">
        <f>I11*H11</f>
        <v>0.22232429949471749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2025-12-30T12:58:16Z</dcterms:modified>
</cp:coreProperties>
</file>