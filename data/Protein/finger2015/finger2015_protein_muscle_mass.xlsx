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finger2015\"/>
    </mc:Choice>
  </mc:AlternateContent>
  <xr:revisionPtr revIDLastSave="0" documentId="13_ncr:1_{81011056-DC3B-457B-97B2-CDD427D55FCF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J3" i="1"/>
  <c r="J4" i="1"/>
  <c r="J5" i="1"/>
  <c r="K5" i="1" s="1"/>
  <c r="J6" i="1"/>
  <c r="J7" i="1"/>
  <c r="K7" i="1" s="1"/>
  <c r="J8" i="1"/>
  <c r="K8" i="1" s="1"/>
  <c r="J9" i="1"/>
  <c r="K9" i="1" s="1"/>
  <c r="J10" i="1"/>
  <c r="K10" i="1" s="1"/>
  <c r="J11" i="1"/>
  <c r="K11" i="1" s="1"/>
  <c r="J2" i="1"/>
  <c r="K6" i="1"/>
  <c r="K3" i="1"/>
  <c r="K4" i="1"/>
  <c r="H3" i="1"/>
  <c r="I3" i="1" s="1"/>
  <c r="H4" i="1"/>
  <c r="I4" i="1" s="1"/>
  <c r="H5" i="1"/>
  <c r="I5" i="1" s="1"/>
  <c r="H6" i="1"/>
  <c r="H7" i="1"/>
  <c r="I7" i="1" s="1"/>
  <c r="H8" i="1"/>
  <c r="I8" i="1" s="1"/>
  <c r="H9" i="1"/>
  <c r="I9" i="1" s="1"/>
  <c r="H10" i="1"/>
  <c r="I10" i="1" s="1"/>
  <c r="H11" i="1"/>
  <c r="I11" i="1" s="1"/>
  <c r="H2" i="1"/>
  <c r="I2" i="1" s="1"/>
  <c r="K2" i="1" l="1"/>
  <c r="I6" i="1"/>
</calcChain>
</file>

<file path=xl/sharedStrings.xml><?xml version="1.0" encoding="utf-8"?>
<sst xmlns="http://schemas.openxmlformats.org/spreadsheetml/2006/main" count="22" uniqueCount="22">
  <si>
    <t>Author</t>
  </si>
  <si>
    <t>Year</t>
  </si>
  <si>
    <t>CI_lower</t>
  </si>
  <si>
    <t>CI_upper</t>
  </si>
  <si>
    <t>Campbell</t>
  </si>
  <si>
    <t>Verdijk</t>
  </si>
  <si>
    <t>Iglay</t>
  </si>
  <si>
    <t>Kukuljan</t>
  </si>
  <si>
    <t>Candowb</t>
  </si>
  <si>
    <t>Candowa</t>
  </si>
  <si>
    <t>Leendersw</t>
  </si>
  <si>
    <t>Leendersm</t>
  </si>
  <si>
    <t>Chale</t>
  </si>
  <si>
    <t>Kim</t>
  </si>
  <si>
    <t>N_Exp</t>
  </si>
  <si>
    <t>N_Ctrl</t>
  </si>
  <si>
    <t>pooled_sd</t>
  </si>
  <si>
    <t>d</t>
  </si>
  <si>
    <t>J</t>
  </si>
  <si>
    <t>g</t>
  </si>
  <si>
    <t>se_d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</si>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</sst>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L4" sqref="L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14</v>
      </c>
      <c r="D1" t="s">
        <v>15</v>
      </c>
      <c r="E1" t="s">
        <v>17</v>
      </c>
      <c r="F1" t="s">
        <v>2</v>
      </c>
      <c r="G1" t="s">
        <v>3</v>
      </c>
      <c r="H1" t="s">
        <v>20</v>
      </c>
      <c r="I1" t="s">
        <v>16</v>
      </c>
      <c r="J1" t="s">
        <v>18</v>
      </c>
      <c r="K1" t="s">
        <v>19</v>
      </c>
      <c r="L1" t="s">
        <v>21</v>
      </c>
    </row>
    <row r="2" spans="1:12" x14ac:dyDescent="0.25">
      <c r="A2" t="s">
        <v>4</v>
      </c>
      <c r="B2">
        <v>1995</v>
      </c>
      <c r="C2">
        <v>6</v>
      </c>
      <c r="D2">
        <v>6</v>
      </c>
      <c r="E2">
        <v>-0.19</v>
      </c>
      <c r="F2">
        <v>-1.32</v>
      </c>
      <c r="G2">
        <v>0.94</v>
      </c>
      <c r="H2">
        <f>(G2-F2)/2/1.96</f>
        <v>0.57653061224489788</v>
      </c>
      <c r="I2">
        <f>H2/(1/C2+1/D2)</f>
        <v>1.7295918367346936</v>
      </c>
      <c r="J2">
        <f>1-3/(4*(C2+D2-2)-1)</f>
        <v>0.92307692307692313</v>
      </c>
      <c r="K2">
        <f t="shared" ref="K2:K11" si="0">J2*E2</f>
        <v>-0.17538461538461539</v>
      </c>
      <c r="L2">
        <f>J2*H2</f>
        <v>0.53218210361067497</v>
      </c>
    </row>
    <row r="3" spans="1:12" x14ac:dyDescent="0.25">
      <c r="A3" t="s">
        <v>5</v>
      </c>
      <c r="B3">
        <v>2009</v>
      </c>
      <c r="C3">
        <v>13</v>
      </c>
      <c r="D3">
        <v>13</v>
      </c>
      <c r="E3">
        <v>-0.4</v>
      </c>
      <c r="F3">
        <v>-1.18</v>
      </c>
      <c r="G3">
        <v>0.38</v>
      </c>
      <c r="H3">
        <f t="shared" ref="H3:H11" si="1">(G3-F3)/2/1.96</f>
        <v>0.39795918367346939</v>
      </c>
      <c r="I3">
        <f t="shared" ref="I3:I11" si="2">H3/(1/C3+1/D3)</f>
        <v>2.5867346938775508</v>
      </c>
      <c r="J3">
        <f t="shared" ref="J3:J11" si="3">1-3/(4*(C3+D3-2)-1)</f>
        <v>0.96842105263157896</v>
      </c>
      <c r="K3">
        <f t="shared" si="0"/>
        <v>-0.38736842105263158</v>
      </c>
      <c r="L3">
        <f>J3*H3</f>
        <v>0.38539205155746509</v>
      </c>
    </row>
    <row r="4" spans="1:12" x14ac:dyDescent="0.25">
      <c r="A4" t="s">
        <v>13</v>
      </c>
      <c r="B4">
        <v>2012</v>
      </c>
      <c r="C4">
        <v>34</v>
      </c>
      <c r="D4">
        <v>36</v>
      </c>
      <c r="E4">
        <v>0.12</v>
      </c>
      <c r="F4">
        <v>-0.35</v>
      </c>
      <c r="G4">
        <v>0.59</v>
      </c>
      <c r="H4">
        <f t="shared" si="1"/>
        <v>0.23979591836734693</v>
      </c>
      <c r="I4">
        <f t="shared" si="2"/>
        <v>4.1930029154518946</v>
      </c>
      <c r="J4">
        <f t="shared" si="3"/>
        <v>0.98892988929889303</v>
      </c>
      <c r="K4">
        <f t="shared" si="0"/>
        <v>0.11867158671586715</v>
      </c>
      <c r="L4">
        <f>J4*H4</f>
        <v>0.23714135100534678</v>
      </c>
    </row>
    <row r="5" spans="1:12" x14ac:dyDescent="0.25">
      <c r="A5" t="s">
        <v>6</v>
      </c>
      <c r="B5">
        <v>2009</v>
      </c>
      <c r="C5">
        <v>18</v>
      </c>
      <c r="D5">
        <v>18</v>
      </c>
      <c r="E5">
        <v>0.4</v>
      </c>
      <c r="F5">
        <v>-0.26</v>
      </c>
      <c r="G5">
        <v>1.06</v>
      </c>
      <c r="H5">
        <f t="shared" si="1"/>
        <v>0.33673469387755106</v>
      </c>
      <c r="I5">
        <f t="shared" si="2"/>
        <v>3.0306122448979598</v>
      </c>
      <c r="J5">
        <f t="shared" si="3"/>
        <v>0.97777777777777775</v>
      </c>
      <c r="K5">
        <f t="shared" si="0"/>
        <v>0.39111111111111113</v>
      </c>
      <c r="L5">
        <f>J5*H5</f>
        <v>0.32925170068027215</v>
      </c>
    </row>
    <row r="6" spans="1:12" x14ac:dyDescent="0.25">
      <c r="A6" t="s">
        <v>8</v>
      </c>
      <c r="B6">
        <v>2006</v>
      </c>
      <c r="C6">
        <v>10</v>
      </c>
      <c r="D6">
        <v>10</v>
      </c>
      <c r="E6">
        <v>0.63</v>
      </c>
      <c r="F6">
        <v>-0.28999999999999998</v>
      </c>
      <c r="G6">
        <v>1.56</v>
      </c>
      <c r="H6">
        <f t="shared" si="1"/>
        <v>0.47193877551020413</v>
      </c>
      <c r="I6">
        <f t="shared" si="2"/>
        <v>2.3596938775510203</v>
      </c>
      <c r="J6">
        <f t="shared" si="3"/>
        <v>0.95774647887323949</v>
      </c>
      <c r="K6">
        <f t="shared" si="0"/>
        <v>0.60338028169014091</v>
      </c>
      <c r="L6">
        <f>J6*H6</f>
        <v>0.45199770048864624</v>
      </c>
    </row>
    <row r="7" spans="1:12" x14ac:dyDescent="0.25">
      <c r="A7" t="s">
        <v>9</v>
      </c>
      <c r="B7">
        <v>2006</v>
      </c>
      <c r="C7">
        <v>9</v>
      </c>
      <c r="D7">
        <v>10</v>
      </c>
      <c r="E7">
        <v>-0.16</v>
      </c>
      <c r="F7">
        <v>-1.04</v>
      </c>
      <c r="G7">
        <v>0.72</v>
      </c>
      <c r="H7">
        <f t="shared" si="1"/>
        <v>0.44897959183673469</v>
      </c>
      <c r="I7">
        <f t="shared" si="2"/>
        <v>2.1267454350161117</v>
      </c>
      <c r="J7">
        <f t="shared" si="3"/>
        <v>0.95522388059701491</v>
      </c>
      <c r="K7">
        <f t="shared" si="0"/>
        <v>-0.15283582089552239</v>
      </c>
      <c r="L7">
        <f>J7*H7</f>
        <v>0.42887602802314956</v>
      </c>
    </row>
    <row r="8" spans="1:12" x14ac:dyDescent="0.25">
      <c r="A8" t="s">
        <v>7</v>
      </c>
      <c r="B8">
        <v>2009</v>
      </c>
      <c r="C8">
        <v>43</v>
      </c>
      <c r="D8">
        <v>44</v>
      </c>
      <c r="E8">
        <v>0.2</v>
      </c>
      <c r="F8">
        <v>-0.22</v>
      </c>
      <c r="G8">
        <v>0.63</v>
      </c>
      <c r="H8">
        <f t="shared" si="1"/>
        <v>0.21683673469387754</v>
      </c>
      <c r="I8">
        <f t="shared" si="2"/>
        <v>4.7155758855266239</v>
      </c>
      <c r="J8">
        <f t="shared" si="3"/>
        <v>0.99115044247787609</v>
      </c>
      <c r="K8">
        <f t="shared" si="0"/>
        <v>0.19823008849557522</v>
      </c>
      <c r="L8">
        <f>J8*H8</f>
        <v>0.21491782553729455</v>
      </c>
    </row>
    <row r="9" spans="1:12" x14ac:dyDescent="0.25">
      <c r="A9" t="s">
        <v>10</v>
      </c>
      <c r="B9">
        <v>2013</v>
      </c>
      <c r="C9">
        <v>12</v>
      </c>
      <c r="D9">
        <v>12</v>
      </c>
      <c r="E9">
        <v>0</v>
      </c>
      <c r="F9">
        <v>-0.54</v>
      </c>
      <c r="G9">
        <v>0.54</v>
      </c>
      <c r="H9">
        <f t="shared" si="1"/>
        <v>0.27551020408163268</v>
      </c>
      <c r="I9">
        <f t="shared" si="2"/>
        <v>1.6530612244897962</v>
      </c>
      <c r="J9">
        <f t="shared" si="3"/>
        <v>0.96551724137931039</v>
      </c>
      <c r="K9">
        <f t="shared" si="0"/>
        <v>0</v>
      </c>
      <c r="L9">
        <f>J9*H9</f>
        <v>0.26600985221674883</v>
      </c>
    </row>
    <row r="10" spans="1:12" x14ac:dyDescent="0.25">
      <c r="A10" t="s">
        <v>11</v>
      </c>
      <c r="B10">
        <v>2013</v>
      </c>
      <c r="C10">
        <v>15</v>
      </c>
      <c r="D10">
        <v>14</v>
      </c>
      <c r="E10">
        <v>0</v>
      </c>
      <c r="F10">
        <v>-0.54</v>
      </c>
      <c r="G10">
        <v>0.54</v>
      </c>
      <c r="H10">
        <f t="shared" si="1"/>
        <v>0.27551020408163268</v>
      </c>
      <c r="I10">
        <f t="shared" si="2"/>
        <v>1.9950738916256159</v>
      </c>
      <c r="J10">
        <f t="shared" si="3"/>
        <v>0.9719626168224299</v>
      </c>
      <c r="K10">
        <f t="shared" si="0"/>
        <v>0</v>
      </c>
      <c r="L10">
        <f>J10*H10</f>
        <v>0.26778561892046543</v>
      </c>
    </row>
    <row r="11" spans="1:12" x14ac:dyDescent="0.25">
      <c r="A11" t="s">
        <v>12</v>
      </c>
      <c r="B11">
        <v>2013</v>
      </c>
      <c r="C11">
        <v>42</v>
      </c>
      <c r="D11">
        <v>38</v>
      </c>
      <c r="E11">
        <v>0.32</v>
      </c>
      <c r="F11">
        <v>-0.12</v>
      </c>
      <c r="G11">
        <v>0.76</v>
      </c>
      <c r="H11">
        <f t="shared" si="1"/>
        <v>0.22448979591836735</v>
      </c>
      <c r="I11">
        <f t="shared" si="2"/>
        <v>4.4785714285714286</v>
      </c>
      <c r="J11">
        <f t="shared" si="3"/>
        <v>0.99035369774919613</v>
      </c>
      <c r="K11">
        <f t="shared" si="0"/>
        <v>0.31691318327974277</v>
      </c>
      <c r="L11">
        <f>J11*H11</f>
        <v>0.22232429949471749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2025-12-30T12:56:53Z</dcterms:modified>
</cp:coreProperties>
</file>