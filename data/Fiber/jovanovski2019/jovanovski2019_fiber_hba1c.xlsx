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jovanovski2019\"/>
    </mc:Choice>
  </mc:AlternateContent>
  <xr:revisionPtr revIDLastSave="0" documentId="13_ncr:1_{81E94478-2EC6-455C-827F-D111B276D678}" xr6:coauthVersionLast="47" xr6:coauthVersionMax="47" xr10:uidLastSave="{00000000-0000-0000-0000-000000000000}"/>
  <bookViews>
    <workbookView xWindow="38280" yWindow="2820" windowWidth="29040" windowHeight="16440" xr2:uid="{273EEC5E-24DF-45E3-B934-4CACADC3B593}"/>
  </bookViews>
  <sheets>
    <sheet name="jovanovski19_fiber_h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  <c r="P17" i="1" l="1"/>
  <c r="P14" i="1"/>
  <c r="P18" i="1"/>
  <c r="P9" i="1"/>
  <c r="P5" i="1"/>
  <c r="P20" i="1"/>
  <c r="P4" i="1"/>
  <c r="P15" i="1"/>
  <c r="P11" i="1"/>
  <c r="P6" i="1"/>
  <c r="P2" i="1"/>
  <c r="P13" i="1"/>
  <c r="P12" i="1"/>
  <c r="P19" i="1"/>
  <c r="P16" i="1"/>
  <c r="P8" i="1"/>
  <c r="P7" i="1"/>
  <c r="P10" i="1"/>
  <c r="P3" i="1"/>
</calcChain>
</file>

<file path=xl/sharedStrings.xml><?xml version="1.0" encoding="utf-8"?>
<sst xmlns="http://schemas.openxmlformats.org/spreadsheetml/2006/main" count="36" uniqueCount="36">
  <si>
    <t>Author</t>
  </si>
  <si>
    <t>Year</t>
  </si>
  <si>
    <t>n_treatment</t>
  </si>
  <si>
    <t>n_control</t>
  </si>
  <si>
    <t>weight</t>
  </si>
  <si>
    <t>ES_neg</t>
  </si>
  <si>
    <t>CI_lower_neg</t>
  </si>
  <si>
    <t>CI_upper_neg</t>
  </si>
  <si>
    <t>CI_lower</t>
  </si>
  <si>
    <t>CI_upper</t>
  </si>
  <si>
    <t>pooled_sd</t>
  </si>
  <si>
    <t>Abutair</t>
  </si>
  <si>
    <t>Baker</t>
  </si>
  <si>
    <t>Chuang</t>
  </si>
  <si>
    <t>Cugnet-Anceau</t>
  </si>
  <si>
    <t>Dall'Alba</t>
  </si>
  <si>
    <t>Feinglos</t>
  </si>
  <si>
    <t>Fuessl</t>
  </si>
  <si>
    <t>Holman</t>
  </si>
  <si>
    <t>Laajam</t>
  </si>
  <si>
    <t>Li</t>
  </si>
  <si>
    <t>Liatis</t>
  </si>
  <si>
    <t>Ma</t>
  </si>
  <si>
    <t>McGeoch</t>
  </si>
  <si>
    <t>Niemi</t>
  </si>
  <si>
    <t>Peterson</t>
  </si>
  <si>
    <t>Uusitupa</t>
  </si>
  <si>
    <t>Wolffenbuttel</t>
  </si>
  <si>
    <t>Ziai</t>
  </si>
  <si>
    <t>d</t>
  </si>
  <si>
    <t>J</t>
  </si>
  <si>
    <t>g</t>
  </si>
  <si>
    <t>se_pct</t>
  </si>
  <si>
    <t>md_pct</t>
  </si>
  <si>
    <t>Sels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</si>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</sst>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B3F3-182A-44CE-B49B-F1B86546FC9F}">
  <dimension ref="A1:Q20"/>
  <sheetViews>
    <sheetView tabSelected="1" workbookViewId="0">
      <selection activeCell="M5" sqref="M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</v>
      </c>
      <c r="J1" t="s">
        <v>8</v>
      </c>
      <c r="K1" t="s">
        <v>9</v>
      </c>
      <c r="L1" t="s">
        <v>32</v>
      </c>
      <c r="M1" t="s">
        <v>10</v>
      </c>
      <c r="N1" t="s">
        <v>29</v>
      </c>
      <c r="O1" t="s">
        <v>30</v>
      </c>
      <c r="P1" t="s">
        <v>31</v>
      </c>
      <c r="Q1" t="s">
        <v>35</v>
      </c>
    </row>
    <row r="2" spans="1:17" x14ac:dyDescent="0.25">
      <c r="A2" t="s">
        <v>11</v>
      </c>
      <c r="B2">
        <v>2016</v>
      </c>
      <c r="C2">
        <v>18</v>
      </c>
      <c r="D2">
        <v>18</v>
      </c>
      <c r="E2" s="1">
        <v>6.6000000000000003E-2</v>
      </c>
      <c r="F2">
        <v>-1</v>
      </c>
      <c r="G2">
        <v>-1.28</v>
      </c>
      <c r="H2">
        <v>-0.72</v>
      </c>
      <c r="I2">
        <v>1</v>
      </c>
      <c r="J2">
        <v>0.72</v>
      </c>
      <c r="K2">
        <v>1.28</v>
      </c>
      <c r="L2">
        <v>0.14285714299999999</v>
      </c>
      <c r="M2">
        <v>0.428571429</v>
      </c>
      <c r="N2">
        <f t="shared" ref="N2:N20" si="0">I2/M2</f>
        <v>2.333333331</v>
      </c>
      <c r="O2">
        <f t="shared" ref="O2:O20" si="1">1-3/(4*(C2+D2-2)-1)</f>
        <v>0.97777777777777775</v>
      </c>
      <c r="P2">
        <f t="shared" ref="P2:P20" si="2">O2*N2</f>
        <v>2.2814814792</v>
      </c>
      <c r="Q2">
        <f>O2*L2/M2</f>
        <v>0.3259259259259259</v>
      </c>
    </row>
    <row r="3" spans="1:17" x14ac:dyDescent="0.25">
      <c r="A3" t="s">
        <v>12</v>
      </c>
      <c r="B3">
        <v>1988</v>
      </c>
      <c r="C3">
        <v>15</v>
      </c>
      <c r="D3">
        <v>15</v>
      </c>
      <c r="E3" s="1">
        <v>5.0999999999999997E-2</v>
      </c>
      <c r="F3">
        <v>0</v>
      </c>
      <c r="G3">
        <v>-0.71</v>
      </c>
      <c r="H3">
        <v>0.71</v>
      </c>
      <c r="I3">
        <v>0</v>
      </c>
      <c r="J3">
        <v>-0.71</v>
      </c>
      <c r="K3">
        <v>0.71</v>
      </c>
      <c r="L3">
        <v>0.36224489799999998</v>
      </c>
      <c r="M3">
        <v>0.99204851000000005</v>
      </c>
      <c r="N3">
        <f t="shared" si="0"/>
        <v>0</v>
      </c>
      <c r="O3">
        <f t="shared" si="1"/>
        <v>0.97297297297297303</v>
      </c>
      <c r="P3">
        <f t="shared" si="2"/>
        <v>0</v>
      </c>
      <c r="Q3">
        <f>O3*L3/M3</f>
        <v>0.35527949671669923</v>
      </c>
    </row>
    <row r="4" spans="1:17" x14ac:dyDescent="0.25">
      <c r="A4" t="s">
        <v>13</v>
      </c>
      <c r="B4">
        <v>1992</v>
      </c>
      <c r="C4">
        <v>29</v>
      </c>
      <c r="D4">
        <v>24</v>
      </c>
      <c r="E4" s="1">
        <v>5.8000000000000003E-2</v>
      </c>
      <c r="F4">
        <v>-0.3</v>
      </c>
      <c r="G4">
        <v>-0.82</v>
      </c>
      <c r="H4">
        <v>0.22</v>
      </c>
      <c r="I4">
        <v>0.3</v>
      </c>
      <c r="J4">
        <v>-0.22</v>
      </c>
      <c r="K4">
        <v>0.82</v>
      </c>
      <c r="L4">
        <v>0.26530612199999998</v>
      </c>
      <c r="M4">
        <v>0.96142178199999995</v>
      </c>
      <c r="N4">
        <f t="shared" si="0"/>
        <v>0.31203786477140583</v>
      </c>
      <c r="O4">
        <f t="shared" si="1"/>
        <v>0.98522167487684731</v>
      </c>
      <c r="P4">
        <f t="shared" si="2"/>
        <v>0.30742646775507965</v>
      </c>
      <c r="Q4">
        <f>O4*L4/M4</f>
        <v>0.27187374653419405</v>
      </c>
    </row>
    <row r="5" spans="1:17" x14ac:dyDescent="0.25">
      <c r="A5" t="s">
        <v>14</v>
      </c>
      <c r="B5">
        <v>2010</v>
      </c>
      <c r="C5">
        <v>29</v>
      </c>
      <c r="D5">
        <v>24</v>
      </c>
      <c r="E5" s="1">
        <v>6.6000000000000003E-2</v>
      </c>
      <c r="F5">
        <v>-0.17</v>
      </c>
      <c r="G5">
        <v>-0.44</v>
      </c>
      <c r="H5">
        <v>0.1</v>
      </c>
      <c r="I5">
        <v>0.17</v>
      </c>
      <c r="J5">
        <v>-0.1</v>
      </c>
      <c r="K5">
        <v>0.44</v>
      </c>
      <c r="L5">
        <v>0.13775510199999999</v>
      </c>
      <c r="M5">
        <v>0.49919977100000001</v>
      </c>
      <c r="N5">
        <f t="shared" si="0"/>
        <v>0.34054502801444597</v>
      </c>
      <c r="O5">
        <f t="shared" si="1"/>
        <v>0.98522167487684731</v>
      </c>
      <c r="P5">
        <f t="shared" si="2"/>
        <v>0.33551234287137532</v>
      </c>
      <c r="Q5">
        <f>O5*L5/M5</f>
        <v>0.27187374714414869</v>
      </c>
    </row>
    <row r="6" spans="1:17" x14ac:dyDescent="0.25">
      <c r="A6" t="s">
        <v>15</v>
      </c>
      <c r="B6">
        <v>2013</v>
      </c>
      <c r="C6">
        <v>23</v>
      </c>
      <c r="D6">
        <v>21</v>
      </c>
      <c r="E6" s="1">
        <v>6.4000000000000001E-2</v>
      </c>
      <c r="F6">
        <v>-0.2</v>
      </c>
      <c r="G6">
        <v>-0.54</v>
      </c>
      <c r="H6">
        <v>0.14000000000000001</v>
      </c>
      <c r="I6">
        <v>0.2</v>
      </c>
      <c r="J6">
        <v>-0.14000000000000001</v>
      </c>
      <c r="K6">
        <v>0.54</v>
      </c>
      <c r="L6">
        <v>0.173469388</v>
      </c>
      <c r="M6">
        <v>0.57473821199999997</v>
      </c>
      <c r="N6">
        <f t="shared" si="0"/>
        <v>0.34798451855851203</v>
      </c>
      <c r="O6">
        <f t="shared" si="1"/>
        <v>0.98203592814371254</v>
      </c>
      <c r="P6">
        <f t="shared" si="2"/>
        <v>0.34173329966225136</v>
      </c>
      <c r="Q6">
        <f>O6*L6/M6</f>
        <v>0.29640133175815669</v>
      </c>
    </row>
    <row r="7" spans="1:17" x14ac:dyDescent="0.25">
      <c r="A7" t="s">
        <v>16</v>
      </c>
      <c r="B7">
        <v>2013</v>
      </c>
      <c r="C7">
        <v>25</v>
      </c>
      <c r="D7">
        <v>8</v>
      </c>
      <c r="E7" s="1">
        <v>6.7000000000000004E-2</v>
      </c>
      <c r="F7">
        <v>-0.59</v>
      </c>
      <c r="G7">
        <v>-0.8</v>
      </c>
      <c r="H7">
        <v>-0.37</v>
      </c>
      <c r="I7">
        <v>0.59</v>
      </c>
      <c r="J7">
        <v>0.37</v>
      </c>
      <c r="K7">
        <v>0.8</v>
      </c>
      <c r="L7">
        <v>0.10969387799999999</v>
      </c>
      <c r="M7">
        <v>0.270047659</v>
      </c>
      <c r="N7">
        <f t="shared" si="0"/>
        <v>2.1847995356997334</v>
      </c>
      <c r="O7">
        <f t="shared" si="1"/>
        <v>0.97560975609756095</v>
      </c>
      <c r="P7">
        <f t="shared" si="2"/>
        <v>2.1315117421460812</v>
      </c>
      <c r="Q7">
        <f>O7*L7/M7</f>
        <v>0.39629455762464361</v>
      </c>
    </row>
    <row r="8" spans="1:17" x14ac:dyDescent="0.25">
      <c r="A8" t="s">
        <v>17</v>
      </c>
      <c r="B8">
        <v>1987</v>
      </c>
      <c r="C8">
        <v>18</v>
      </c>
      <c r="D8">
        <v>18</v>
      </c>
      <c r="E8" s="1">
        <v>4.9000000000000002E-2</v>
      </c>
      <c r="F8">
        <v>-0.79</v>
      </c>
      <c r="G8">
        <v>-1.57</v>
      </c>
      <c r="H8">
        <v>-0.01</v>
      </c>
      <c r="I8">
        <v>0.79</v>
      </c>
      <c r="J8">
        <v>0.01</v>
      </c>
      <c r="K8">
        <v>1.57</v>
      </c>
      <c r="L8">
        <v>0.39795918400000002</v>
      </c>
      <c r="M8">
        <v>1.1938775509999999</v>
      </c>
      <c r="N8">
        <f t="shared" si="0"/>
        <v>0.66170940172071302</v>
      </c>
      <c r="O8">
        <f t="shared" si="1"/>
        <v>0.97777777777777775</v>
      </c>
      <c r="P8">
        <f t="shared" si="2"/>
        <v>0.64700474834914157</v>
      </c>
      <c r="Q8">
        <f>O8*L8/M8</f>
        <v>0.32592592619892374</v>
      </c>
    </row>
    <row r="9" spans="1:17" x14ac:dyDescent="0.25">
      <c r="A9" t="s">
        <v>18</v>
      </c>
      <c r="B9">
        <v>1987</v>
      </c>
      <c r="C9">
        <v>29</v>
      </c>
      <c r="D9">
        <v>29</v>
      </c>
      <c r="E9" s="1">
        <v>5.3999999999999999E-2</v>
      </c>
      <c r="F9">
        <v>0.2</v>
      </c>
      <c r="G9">
        <v>-0.44</v>
      </c>
      <c r="H9">
        <v>0.84</v>
      </c>
      <c r="I9">
        <v>-0.2</v>
      </c>
      <c r="J9">
        <v>-0.84</v>
      </c>
      <c r="K9">
        <v>0.44</v>
      </c>
      <c r="L9">
        <v>0.326530612</v>
      </c>
      <c r="M9">
        <v>1.243391527</v>
      </c>
      <c r="N9">
        <f t="shared" si="0"/>
        <v>-0.16085038031628796</v>
      </c>
      <c r="O9">
        <f t="shared" si="1"/>
        <v>0.98654708520179368</v>
      </c>
      <c r="P9">
        <f t="shared" si="2"/>
        <v>-0.15868647385463386</v>
      </c>
      <c r="Q9">
        <f>O9*L9/M9</f>
        <v>0.25907995711937792</v>
      </c>
    </row>
    <row r="10" spans="1:17" x14ac:dyDescent="0.25">
      <c r="A10" t="s">
        <v>19</v>
      </c>
      <c r="B10">
        <v>1990</v>
      </c>
      <c r="C10">
        <v>39</v>
      </c>
      <c r="D10">
        <v>39</v>
      </c>
      <c r="E10" s="1">
        <v>5.0999999999999997E-2</v>
      </c>
      <c r="F10">
        <v>-1.6</v>
      </c>
      <c r="G10">
        <v>-2.31</v>
      </c>
      <c r="H10">
        <v>-0.89</v>
      </c>
      <c r="I10">
        <v>1.6</v>
      </c>
      <c r="J10">
        <v>0.89</v>
      </c>
      <c r="K10">
        <v>2.31</v>
      </c>
      <c r="L10">
        <v>0.36224489799999998</v>
      </c>
      <c r="M10">
        <v>1.599630157</v>
      </c>
      <c r="N10">
        <f t="shared" si="0"/>
        <v>1.0002312053185429</v>
      </c>
      <c r="O10">
        <f t="shared" si="1"/>
        <v>0.99009900990099009</v>
      </c>
      <c r="P10">
        <f t="shared" si="2"/>
        <v>0.99032792605796327</v>
      </c>
      <c r="Q10">
        <f>O10*L10/M10</f>
        <v>0.22421327410088651</v>
      </c>
    </row>
    <row r="11" spans="1:17" x14ac:dyDescent="0.25">
      <c r="A11" t="s">
        <v>20</v>
      </c>
      <c r="B11">
        <v>2016</v>
      </c>
      <c r="C11">
        <v>152</v>
      </c>
      <c r="D11">
        <v>76</v>
      </c>
      <c r="E11" s="1">
        <v>6.5000000000000002E-2</v>
      </c>
      <c r="F11">
        <v>-0.56000000000000005</v>
      </c>
      <c r="G11">
        <v>-0.85</v>
      </c>
      <c r="H11">
        <v>-0.26</v>
      </c>
      <c r="I11">
        <v>0.56000000000000005</v>
      </c>
      <c r="J11">
        <v>0.26</v>
      </c>
      <c r="K11">
        <v>0.85</v>
      </c>
      <c r="L11">
        <v>0.15051020400000001</v>
      </c>
      <c r="M11">
        <v>1.0713394839999999</v>
      </c>
      <c r="N11">
        <f t="shared" si="0"/>
        <v>0.52271012910787118</v>
      </c>
      <c r="O11">
        <f t="shared" si="1"/>
        <v>0.99667774086378735</v>
      </c>
      <c r="P11">
        <f t="shared" si="2"/>
        <v>0.52097355060585171</v>
      </c>
      <c r="Q11">
        <f>O11*L11/M11</f>
        <v>0.14002113460766261</v>
      </c>
    </row>
    <row r="12" spans="1:17" x14ac:dyDescent="0.25">
      <c r="A12" t="s">
        <v>21</v>
      </c>
      <c r="B12">
        <v>2009</v>
      </c>
      <c r="C12">
        <v>23</v>
      </c>
      <c r="D12">
        <v>18</v>
      </c>
      <c r="E12" s="1">
        <v>6.8000000000000005E-2</v>
      </c>
      <c r="F12">
        <v>-0.15</v>
      </c>
      <c r="G12">
        <v>-0.32</v>
      </c>
      <c r="H12">
        <v>0.02</v>
      </c>
      <c r="I12">
        <v>0.15</v>
      </c>
      <c r="J12">
        <v>-0.02</v>
      </c>
      <c r="K12">
        <v>0.32</v>
      </c>
      <c r="L12">
        <v>8.6734694000000001E-2</v>
      </c>
      <c r="M12">
        <v>0.275613885</v>
      </c>
      <c r="N12">
        <f t="shared" si="0"/>
        <v>0.54423963437110578</v>
      </c>
      <c r="O12">
        <f t="shared" si="1"/>
        <v>0.98064516129032253</v>
      </c>
      <c r="P12">
        <f t="shared" si="2"/>
        <v>0.53370596402843917</v>
      </c>
      <c r="Q12">
        <f>O12*L12/M12</f>
        <v>0.30860548983987784</v>
      </c>
    </row>
    <row r="13" spans="1:17" x14ac:dyDescent="0.25">
      <c r="A13" t="s">
        <v>22</v>
      </c>
      <c r="B13">
        <v>2013</v>
      </c>
      <c r="C13">
        <v>127</v>
      </c>
      <c r="D13">
        <v>59</v>
      </c>
      <c r="E13" s="1">
        <v>6.6000000000000003E-2</v>
      </c>
      <c r="F13">
        <v>-2</v>
      </c>
      <c r="G13">
        <v>-2.2799999999999998</v>
      </c>
      <c r="H13">
        <v>-1.71</v>
      </c>
      <c r="I13">
        <v>2</v>
      </c>
      <c r="J13">
        <v>1.71</v>
      </c>
      <c r="K13">
        <v>2.2799999999999998</v>
      </c>
      <c r="L13">
        <v>0.14540816300000001</v>
      </c>
      <c r="M13">
        <v>0.92291176600000002</v>
      </c>
      <c r="N13">
        <f t="shared" si="0"/>
        <v>2.1670543964004465</v>
      </c>
      <c r="O13">
        <f t="shared" si="1"/>
        <v>0.99591836734693873</v>
      </c>
      <c r="P13">
        <f t="shared" si="2"/>
        <v>2.1582092764151386</v>
      </c>
      <c r="Q13">
        <f>O13*L13/M13</f>
        <v>0.15691062312654225</v>
      </c>
    </row>
    <row r="14" spans="1:17" x14ac:dyDescent="0.25">
      <c r="A14" t="s">
        <v>23</v>
      </c>
      <c r="B14">
        <v>2013</v>
      </c>
      <c r="C14">
        <v>27</v>
      </c>
      <c r="D14">
        <v>27</v>
      </c>
      <c r="E14" s="1">
        <v>6.6000000000000003E-2</v>
      </c>
      <c r="F14">
        <v>0.1</v>
      </c>
      <c r="G14">
        <v>-0.14000000000000001</v>
      </c>
      <c r="H14">
        <v>0.34</v>
      </c>
      <c r="I14">
        <v>-0.1</v>
      </c>
      <c r="J14">
        <v>-0.34</v>
      </c>
      <c r="K14">
        <v>0.14000000000000001</v>
      </c>
      <c r="L14">
        <v>0.12244898</v>
      </c>
      <c r="M14">
        <v>0.44990627900000002</v>
      </c>
      <c r="N14">
        <f t="shared" si="0"/>
        <v>-0.22226851383863439</v>
      </c>
      <c r="O14">
        <f t="shared" si="1"/>
        <v>0.98550724637681164</v>
      </c>
      <c r="P14">
        <f t="shared" si="2"/>
        <v>-0.21904723102937881</v>
      </c>
      <c r="Q14">
        <f>O14*L14/M14</f>
        <v>0.26822110011371786</v>
      </c>
    </row>
    <row r="15" spans="1:17" x14ac:dyDescent="0.25">
      <c r="A15" t="s">
        <v>24</v>
      </c>
      <c r="B15">
        <v>1988</v>
      </c>
      <c r="C15">
        <v>18</v>
      </c>
      <c r="D15">
        <v>18</v>
      </c>
      <c r="E15" s="1">
        <v>4.2000000000000003E-2</v>
      </c>
      <c r="F15">
        <v>-1.1000000000000001</v>
      </c>
      <c r="G15">
        <v>-2.08</v>
      </c>
      <c r="H15">
        <v>-0.12</v>
      </c>
      <c r="I15">
        <v>1.1000000000000001</v>
      </c>
      <c r="J15">
        <v>0.12</v>
      </c>
      <c r="K15">
        <v>2.08</v>
      </c>
      <c r="L15">
        <v>0.5</v>
      </c>
      <c r="M15">
        <v>1.5</v>
      </c>
      <c r="N15">
        <f t="shared" si="0"/>
        <v>0.73333333333333339</v>
      </c>
      <c r="O15">
        <f t="shared" si="1"/>
        <v>0.97777777777777775</v>
      </c>
      <c r="P15">
        <f t="shared" si="2"/>
        <v>0.71703703703703703</v>
      </c>
      <c r="Q15">
        <f>O15*L15/M15</f>
        <v>0.3259259259259259</v>
      </c>
    </row>
    <row r="16" spans="1:17" x14ac:dyDescent="0.25">
      <c r="A16" t="s">
        <v>25</v>
      </c>
      <c r="B16">
        <v>1987</v>
      </c>
      <c r="C16">
        <v>16</v>
      </c>
      <c r="D16">
        <v>16</v>
      </c>
      <c r="E16" s="1">
        <v>2.7E-2</v>
      </c>
      <c r="F16">
        <v>-0.5</v>
      </c>
      <c r="G16">
        <v>-2.0299999999999998</v>
      </c>
      <c r="H16">
        <v>1.03</v>
      </c>
      <c r="I16">
        <v>0.5</v>
      </c>
      <c r="J16">
        <v>-1.03</v>
      </c>
      <c r="K16">
        <v>2.0299999999999998</v>
      </c>
      <c r="L16">
        <v>0.78061224500000004</v>
      </c>
      <c r="M16">
        <v>2.207904847</v>
      </c>
      <c r="N16">
        <f t="shared" si="0"/>
        <v>0.22645903453646432</v>
      </c>
      <c r="O16">
        <f t="shared" si="1"/>
        <v>0.97478991596638653</v>
      </c>
      <c r="P16">
        <f t="shared" si="2"/>
        <v>0.22074998324562908</v>
      </c>
      <c r="Q16">
        <f>O16*L16/M16</f>
        <v>0.34464028001016583</v>
      </c>
    </row>
    <row r="17" spans="1:17" x14ac:dyDescent="0.25">
      <c r="A17" t="s">
        <v>34</v>
      </c>
      <c r="B17">
        <v>1993</v>
      </c>
      <c r="C17">
        <v>9</v>
      </c>
      <c r="D17">
        <v>9</v>
      </c>
      <c r="E17" s="1">
        <v>2.4E-2</v>
      </c>
      <c r="F17">
        <v>0.2</v>
      </c>
      <c r="G17">
        <v>-1.47</v>
      </c>
      <c r="H17">
        <v>1.87</v>
      </c>
      <c r="I17">
        <v>-0.2</v>
      </c>
      <c r="J17">
        <v>-1.87</v>
      </c>
      <c r="K17">
        <v>1.47</v>
      </c>
      <c r="L17">
        <v>0.85204081600000003</v>
      </c>
      <c r="M17">
        <v>1.8074515170000001</v>
      </c>
      <c r="N17">
        <f t="shared" si="0"/>
        <v>-0.11065303722888187</v>
      </c>
      <c r="O17">
        <f t="shared" si="1"/>
        <v>0.95238095238095233</v>
      </c>
      <c r="P17">
        <f t="shared" si="2"/>
        <v>-0.10538384497988748</v>
      </c>
      <c r="Q17">
        <f>O17*L17/M17</f>
        <v>0.44895668634940422</v>
      </c>
    </row>
    <row r="18" spans="1:17" x14ac:dyDescent="0.25">
      <c r="A18" t="s">
        <v>26</v>
      </c>
      <c r="B18">
        <v>1989</v>
      </c>
      <c r="C18">
        <v>20</v>
      </c>
      <c r="D18">
        <v>19</v>
      </c>
      <c r="E18" s="1">
        <v>5.2999999999999999E-2</v>
      </c>
      <c r="F18">
        <v>-0.44</v>
      </c>
      <c r="G18">
        <v>-1.1100000000000001</v>
      </c>
      <c r="H18">
        <v>0.23</v>
      </c>
      <c r="I18">
        <v>0.44</v>
      </c>
      <c r="J18">
        <v>-0.23</v>
      </c>
      <c r="K18">
        <v>1.1100000000000001</v>
      </c>
      <c r="L18">
        <v>0.341836735</v>
      </c>
      <c r="M18">
        <v>1.067033922</v>
      </c>
      <c r="N18">
        <f t="shared" si="0"/>
        <v>0.4123580243590419</v>
      </c>
      <c r="O18">
        <f t="shared" si="1"/>
        <v>0.97959183673469385</v>
      </c>
      <c r="P18">
        <f t="shared" si="2"/>
        <v>0.4039425544741635</v>
      </c>
      <c r="Q18">
        <f>O18*L18/M18</f>
        <v>0.31382364533865381</v>
      </c>
    </row>
    <row r="19" spans="1:17" x14ac:dyDescent="0.25">
      <c r="A19" t="s">
        <v>27</v>
      </c>
      <c r="B19">
        <v>1992</v>
      </c>
      <c r="C19">
        <v>12</v>
      </c>
      <c r="D19">
        <v>12</v>
      </c>
      <c r="E19" s="1">
        <v>2.8000000000000001E-2</v>
      </c>
      <c r="F19">
        <v>0.2</v>
      </c>
      <c r="G19">
        <v>-1.25</v>
      </c>
      <c r="H19">
        <v>1.65</v>
      </c>
      <c r="I19">
        <v>-0.2</v>
      </c>
      <c r="J19">
        <v>-1.65</v>
      </c>
      <c r="K19">
        <v>1.25</v>
      </c>
      <c r="L19">
        <v>0.739795918</v>
      </c>
      <c r="M19">
        <v>1.8121225139999999</v>
      </c>
      <c r="N19">
        <f t="shared" si="0"/>
        <v>-0.11036781368525066</v>
      </c>
      <c r="O19">
        <f t="shared" si="1"/>
        <v>0.96551724137931039</v>
      </c>
      <c r="P19">
        <f t="shared" si="2"/>
        <v>-0.10656202700644891</v>
      </c>
      <c r="Q19">
        <f>O19*L19/M19</f>
        <v>0.39417076296588327</v>
      </c>
    </row>
    <row r="20" spans="1:17" x14ac:dyDescent="0.25">
      <c r="A20" t="s">
        <v>28</v>
      </c>
      <c r="B20">
        <v>2005</v>
      </c>
      <c r="C20">
        <v>21</v>
      </c>
      <c r="D20">
        <v>15</v>
      </c>
      <c r="E20" s="1">
        <v>3.5999999999999997E-2</v>
      </c>
      <c r="F20">
        <v>-3</v>
      </c>
      <c r="G20">
        <v>-4.17</v>
      </c>
      <c r="H20">
        <v>-1.83</v>
      </c>
      <c r="I20">
        <v>3</v>
      </c>
      <c r="J20">
        <v>1.83</v>
      </c>
      <c r="K20">
        <v>4.17</v>
      </c>
      <c r="L20">
        <v>0.596938776</v>
      </c>
      <c r="M20">
        <v>1.765768711</v>
      </c>
      <c r="N20">
        <f t="shared" si="0"/>
        <v>1.6989767580041801</v>
      </c>
      <c r="O20">
        <f t="shared" si="1"/>
        <v>0.97777777777777775</v>
      </c>
      <c r="P20">
        <f t="shared" si="2"/>
        <v>1.6612217189374205</v>
      </c>
      <c r="Q20">
        <f>O20*L20/M20</f>
        <v>0.33054921985570662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jovanovski19_fiber_hba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2025-10-18T20:17:00Z</dcterms:created>
  <dcterms:modified xsi:type="dcterms:W3CDTF">2025-12-30T01:07:43Z</dcterms:modified>
</cp:coreProperties>
</file>