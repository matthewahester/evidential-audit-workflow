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jovanovski2019\"/>
    </mc:Choice>
  </mc:AlternateContent>
  <xr:revisionPtr revIDLastSave="0" documentId="13_ncr:1_{0A54C912-3A21-4C1F-9D4D-6CD7AC573330}" xr6:coauthVersionLast="47" xr6:coauthVersionMax="47" xr10:uidLastSave="{00000000-0000-0000-0000-000000000000}"/>
  <bookViews>
    <workbookView xWindow="38280" yWindow="2820" windowWidth="29040" windowHeight="16440" xr2:uid="{5844F490-B18D-4146-B4DA-8920039CCBA5}"/>
  </bookViews>
  <sheets>
    <sheet name="jovanovski19_fiber_fb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N2" i="1"/>
  <c r="N3" i="1"/>
  <c r="O3" i="1"/>
  <c r="P3" i="1" s="1"/>
  <c r="N4" i="1"/>
  <c r="O4" i="1"/>
  <c r="P4" i="1" s="1"/>
  <c r="N5" i="1"/>
  <c r="O5" i="1"/>
  <c r="N6" i="1"/>
  <c r="O6" i="1"/>
  <c r="N7" i="1"/>
  <c r="O7" i="1"/>
  <c r="P7" i="1" s="1"/>
  <c r="N8" i="1"/>
  <c r="P8" i="1" s="1"/>
  <c r="O8" i="1"/>
  <c r="N9" i="1"/>
  <c r="O9" i="1"/>
  <c r="P9" i="1" s="1"/>
  <c r="N10" i="1"/>
  <c r="O10" i="1"/>
  <c r="N11" i="1"/>
  <c r="O11" i="1"/>
  <c r="N12" i="1"/>
  <c r="O12" i="1"/>
  <c r="N13" i="1"/>
  <c r="O13" i="1"/>
  <c r="P13" i="1" s="1"/>
  <c r="N14" i="1"/>
  <c r="O14" i="1"/>
  <c r="N15" i="1"/>
  <c r="O15" i="1"/>
  <c r="N16" i="1"/>
  <c r="O16" i="1"/>
  <c r="P16" i="1" s="1"/>
  <c r="N17" i="1"/>
  <c r="O17" i="1"/>
  <c r="N18" i="1"/>
  <c r="O18" i="1"/>
  <c r="P18" i="1" s="1"/>
  <c r="N19" i="1"/>
  <c r="O19" i="1"/>
  <c r="P19" i="1" s="1"/>
  <c r="N20" i="1"/>
  <c r="O20" i="1"/>
  <c r="N21" i="1"/>
  <c r="O21" i="1"/>
  <c r="N22" i="1"/>
  <c r="O22" i="1"/>
  <c r="N23" i="1"/>
  <c r="O23" i="1"/>
  <c r="P23" i="1" s="1"/>
  <c r="N24" i="1"/>
  <c r="O24" i="1"/>
  <c r="P24" i="1" s="1"/>
  <c r="N25" i="1"/>
  <c r="O25" i="1"/>
  <c r="N26" i="1"/>
  <c r="O26" i="1"/>
  <c r="N27" i="1"/>
  <c r="O27" i="1"/>
  <c r="P27" i="1" s="1"/>
  <c r="N28" i="1"/>
  <c r="O28" i="1"/>
  <c r="O2" i="1"/>
  <c r="P21" i="1" l="1"/>
  <c r="P26" i="1"/>
  <c r="P20" i="1"/>
  <c r="P12" i="1"/>
  <c r="P17" i="1"/>
  <c r="P15" i="1"/>
  <c r="P11" i="1"/>
  <c r="P14" i="1"/>
  <c r="P10" i="1"/>
  <c r="P6" i="1"/>
  <c r="P5" i="1"/>
  <c r="P2" i="1"/>
  <c r="P25" i="1"/>
  <c r="P22" i="1"/>
  <c r="P28" i="1"/>
</calcChain>
</file>

<file path=xl/sharedStrings.xml><?xml version="1.0" encoding="utf-8"?>
<sst xmlns="http://schemas.openxmlformats.org/spreadsheetml/2006/main" count="44" uniqueCount="41">
  <si>
    <t>Author</t>
  </si>
  <si>
    <t>Year</t>
  </si>
  <si>
    <t>n_treatment</t>
  </si>
  <si>
    <t>n_control</t>
  </si>
  <si>
    <t>weight</t>
  </si>
  <si>
    <t>ES_neg</t>
  </si>
  <si>
    <t>CI_lower_neg</t>
  </si>
  <si>
    <t>CI_upper_neg</t>
  </si>
  <si>
    <t>ES</t>
  </si>
  <si>
    <t>CI_lower</t>
  </si>
  <si>
    <t>CI_upper</t>
  </si>
  <si>
    <t>SE</t>
  </si>
  <si>
    <t>pooled_sd</t>
  </si>
  <si>
    <t>Abutair</t>
  </si>
  <si>
    <t>Aro</t>
  </si>
  <si>
    <t>Baker</t>
  </si>
  <si>
    <t>Chen</t>
  </si>
  <si>
    <t>Chuang</t>
  </si>
  <si>
    <t>Cugnet-Anceau</t>
  </si>
  <si>
    <t>Dall'Alba</t>
  </si>
  <si>
    <t>Feinglos</t>
  </si>
  <si>
    <t>Fuessl</t>
  </si>
  <si>
    <t>Holman</t>
  </si>
  <si>
    <t>Laajam</t>
  </si>
  <si>
    <t>Lalor</t>
  </si>
  <si>
    <t>Li</t>
  </si>
  <si>
    <t>Liatis</t>
  </si>
  <si>
    <t>Ma</t>
  </si>
  <si>
    <t>McGeoch</t>
  </si>
  <si>
    <t>Niemi</t>
  </si>
  <si>
    <t>Peterson</t>
  </si>
  <si>
    <t>Rodriguez-Moran</t>
  </si>
  <si>
    <t>Sels</t>
  </si>
  <si>
    <t>Uusitupa</t>
  </si>
  <si>
    <t>Vuksan</t>
  </si>
  <si>
    <t>Wolffenbuttel</t>
  </si>
  <si>
    <t>Ziai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</si>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</sst>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38A7-1A3B-4BC2-B144-9F31D572ED67}">
  <dimension ref="A1:Q28"/>
  <sheetViews>
    <sheetView tabSelected="1" topLeftCell="F1" workbookViewId="0">
      <selection activeCell="Q8" sqref="Q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  <c r="O1" t="s">
        <v>38</v>
      </c>
      <c r="P1" t="s">
        <v>39</v>
      </c>
      <c r="Q1" t="s">
        <v>40</v>
      </c>
    </row>
    <row r="2" spans="1:17" x14ac:dyDescent="0.25">
      <c r="A2" t="s">
        <v>13</v>
      </c>
      <c r="B2">
        <v>2016</v>
      </c>
      <c r="C2">
        <v>18</v>
      </c>
      <c r="D2">
        <v>18</v>
      </c>
      <c r="E2">
        <v>4.4999999999999998E-2</v>
      </c>
      <c r="F2">
        <v>-2.08</v>
      </c>
      <c r="G2">
        <v>-2.5</v>
      </c>
      <c r="H2">
        <v>-1.66</v>
      </c>
      <c r="I2">
        <v>2.08</v>
      </c>
      <c r="J2">
        <v>1.66</v>
      </c>
      <c r="K2">
        <v>2.5</v>
      </c>
      <c r="L2">
        <v>0.21428571399999999</v>
      </c>
      <c r="M2">
        <v>0.64285714299999996</v>
      </c>
      <c r="N2">
        <f>I2/M2</f>
        <v>3.2355555548365436</v>
      </c>
      <c r="O2">
        <f t="shared" ref="O2:O28" si="0">1-3/(4*(C2+D2-2)-1)</f>
        <v>0.97777777777777775</v>
      </c>
      <c r="P2">
        <f t="shared" ref="P2:P28" si="1">O2*N2</f>
        <v>3.1636543202846203</v>
      </c>
      <c r="Q2">
        <f>O2*L2/M2</f>
        <v>0.32592592541893001</v>
      </c>
    </row>
    <row r="3" spans="1:17" x14ac:dyDescent="0.25">
      <c r="A3" t="s">
        <v>13</v>
      </c>
      <c r="B3">
        <v>2018</v>
      </c>
      <c r="C3">
        <v>18</v>
      </c>
      <c r="D3">
        <v>18</v>
      </c>
      <c r="E3">
        <v>4.3999999999999997E-2</v>
      </c>
      <c r="F3">
        <v>2.2599999999999998</v>
      </c>
      <c r="G3">
        <v>1.72</v>
      </c>
      <c r="H3">
        <v>2.8</v>
      </c>
      <c r="I3">
        <v>-2.2599999999999998</v>
      </c>
      <c r="J3">
        <v>-2.8</v>
      </c>
      <c r="K3">
        <v>-1.72</v>
      </c>
      <c r="L3">
        <v>0.27551020399999998</v>
      </c>
      <c r="M3">
        <v>0.826530612</v>
      </c>
      <c r="N3">
        <f t="shared" ref="N3:N28" si="2">I3/M3</f>
        <v>-2.7343209884644901</v>
      </c>
      <c r="O3">
        <f t="shared" si="0"/>
        <v>0.97777777777777775</v>
      </c>
      <c r="P3">
        <f t="shared" si="1"/>
        <v>-2.6735582998319458</v>
      </c>
      <c r="Q3">
        <f>O3*L3/M3</f>
        <v>0.3259259259259259</v>
      </c>
    </row>
    <row r="4" spans="1:17" x14ac:dyDescent="0.25">
      <c r="A4" t="s">
        <v>14</v>
      </c>
      <c r="B4">
        <v>1981</v>
      </c>
      <c r="C4">
        <v>9</v>
      </c>
      <c r="D4">
        <v>9</v>
      </c>
      <c r="E4">
        <v>2.5999999999999999E-2</v>
      </c>
      <c r="F4">
        <v>-1.2</v>
      </c>
      <c r="G4">
        <v>-3.35</v>
      </c>
      <c r="H4">
        <v>0.95</v>
      </c>
      <c r="I4">
        <v>1.2</v>
      </c>
      <c r="J4">
        <v>-0.95</v>
      </c>
      <c r="K4">
        <v>3.35</v>
      </c>
      <c r="L4">
        <v>1.096938776</v>
      </c>
      <c r="M4">
        <v>2.3269585400000001</v>
      </c>
      <c r="N4">
        <f t="shared" si="2"/>
        <v>0.51569461998235688</v>
      </c>
      <c r="O4">
        <f t="shared" si="0"/>
        <v>0.95238095238095233</v>
      </c>
      <c r="P4">
        <f t="shared" si="1"/>
        <v>0.49113773331653032</v>
      </c>
      <c r="Q4">
        <f>O4*L4/M4</f>
        <v>0.44895668669304095</v>
      </c>
    </row>
    <row r="5" spans="1:17" x14ac:dyDescent="0.25">
      <c r="A5" t="s">
        <v>15</v>
      </c>
      <c r="B5">
        <v>1988</v>
      </c>
      <c r="C5">
        <v>15</v>
      </c>
      <c r="D5">
        <v>15</v>
      </c>
      <c r="E5">
        <v>2.5999999999999999E-2</v>
      </c>
      <c r="F5">
        <v>0.9</v>
      </c>
      <c r="G5">
        <v>-1.26</v>
      </c>
      <c r="H5">
        <v>3.06</v>
      </c>
      <c r="I5">
        <v>-0.9</v>
      </c>
      <c r="J5">
        <v>-3.06</v>
      </c>
      <c r="K5">
        <v>1.26</v>
      </c>
      <c r="L5">
        <v>1.1020408159999999</v>
      </c>
      <c r="M5">
        <v>3.0180630719999999</v>
      </c>
      <c r="N5">
        <f t="shared" si="2"/>
        <v>-0.29820450352735373</v>
      </c>
      <c r="O5">
        <f t="shared" si="0"/>
        <v>0.97297297297297303</v>
      </c>
      <c r="P5">
        <f t="shared" si="1"/>
        <v>-0.29014492235093875</v>
      </c>
      <c r="Q5">
        <f>O5*L5/M5</f>
        <v>0.35527949665098357</v>
      </c>
    </row>
    <row r="6" spans="1:17" x14ac:dyDescent="0.25">
      <c r="A6" t="s">
        <v>16</v>
      </c>
      <c r="B6">
        <v>2003</v>
      </c>
      <c r="C6">
        <v>22</v>
      </c>
      <c r="D6">
        <v>22</v>
      </c>
      <c r="E6">
        <v>4.1000000000000002E-2</v>
      </c>
      <c r="F6">
        <v>-2.2999999999999998</v>
      </c>
      <c r="G6">
        <v>-3.19</v>
      </c>
      <c r="H6">
        <v>-1.41</v>
      </c>
      <c r="I6">
        <v>2.2999999999999998</v>
      </c>
      <c r="J6">
        <v>1.41</v>
      </c>
      <c r="K6">
        <v>3.19</v>
      </c>
      <c r="L6">
        <v>0.45408163299999998</v>
      </c>
      <c r="M6">
        <v>1.5060184000000001</v>
      </c>
      <c r="N6">
        <f t="shared" si="2"/>
        <v>1.5272057765031288</v>
      </c>
      <c r="O6">
        <f t="shared" si="0"/>
        <v>0.98203592814371254</v>
      </c>
      <c r="P6">
        <f t="shared" si="1"/>
        <v>1.4997709421946894</v>
      </c>
      <c r="Q6">
        <f>O6*L6/M6</f>
        <v>0.29609497328596224</v>
      </c>
    </row>
    <row r="7" spans="1:17" x14ac:dyDescent="0.25">
      <c r="A7" t="s">
        <v>17</v>
      </c>
      <c r="B7">
        <v>1992</v>
      </c>
      <c r="C7">
        <v>13</v>
      </c>
      <c r="D7">
        <v>13</v>
      </c>
      <c r="E7">
        <v>3.7999999999999999E-2</v>
      </c>
      <c r="F7">
        <v>-0.94</v>
      </c>
      <c r="G7">
        <v>-2.02</v>
      </c>
      <c r="H7">
        <v>0.14000000000000001</v>
      </c>
      <c r="I7">
        <v>0.94</v>
      </c>
      <c r="J7">
        <v>-0.14000000000000001</v>
      </c>
      <c r="K7">
        <v>2.02</v>
      </c>
      <c r="L7">
        <v>0.55102040799999996</v>
      </c>
      <c r="M7">
        <v>1.4048319069999999</v>
      </c>
      <c r="N7">
        <f t="shared" si="2"/>
        <v>0.66911919875692283</v>
      </c>
      <c r="O7">
        <f t="shared" si="0"/>
        <v>0.96842105263157896</v>
      </c>
      <c r="P7">
        <f t="shared" si="1"/>
        <v>0.64798911879617793</v>
      </c>
      <c r="Q7">
        <f>O7*L7/M7</f>
        <v>0.37984598789216001</v>
      </c>
    </row>
    <row r="8" spans="1:17" x14ac:dyDescent="0.25">
      <c r="A8" t="s">
        <v>18</v>
      </c>
      <c r="B8">
        <v>2010</v>
      </c>
      <c r="C8">
        <v>29</v>
      </c>
      <c r="D8">
        <v>24</v>
      </c>
      <c r="E8">
        <v>4.2000000000000003E-2</v>
      </c>
      <c r="F8">
        <v>-0.69</v>
      </c>
      <c r="G8">
        <v>-1.41</v>
      </c>
      <c r="H8">
        <v>0.03</v>
      </c>
      <c r="I8">
        <v>0.69</v>
      </c>
      <c r="J8">
        <v>-0.03</v>
      </c>
      <c r="K8">
        <v>1.41</v>
      </c>
      <c r="L8">
        <v>0.36734693899999998</v>
      </c>
      <c r="M8">
        <v>1.3311993900000001</v>
      </c>
      <c r="N8">
        <f t="shared" si="2"/>
        <v>0.5183295644388779</v>
      </c>
      <c r="O8">
        <f t="shared" si="0"/>
        <v>0.98522167487684731</v>
      </c>
      <c r="P8">
        <f t="shared" si="1"/>
        <v>0.51066952161465806</v>
      </c>
      <c r="Q8">
        <f>O8*L8/M8</f>
        <v>0.27187374725469415</v>
      </c>
    </row>
    <row r="9" spans="1:17" x14ac:dyDescent="0.25">
      <c r="A9" t="s">
        <v>19</v>
      </c>
      <c r="B9">
        <v>2013</v>
      </c>
      <c r="C9">
        <v>23</v>
      </c>
      <c r="D9">
        <v>21</v>
      </c>
      <c r="E9">
        <v>3.9E-2</v>
      </c>
      <c r="F9">
        <v>0.5</v>
      </c>
      <c r="G9">
        <v>-0.51</v>
      </c>
      <c r="H9">
        <v>1.51</v>
      </c>
      <c r="I9">
        <v>-0.5</v>
      </c>
      <c r="J9">
        <v>-1.51</v>
      </c>
      <c r="K9">
        <v>0.51</v>
      </c>
      <c r="L9">
        <v>0.51530612200000003</v>
      </c>
      <c r="M9">
        <v>1.7073105719999999</v>
      </c>
      <c r="N9">
        <f t="shared" si="2"/>
        <v>-0.29285825801118509</v>
      </c>
      <c r="O9">
        <f t="shared" si="0"/>
        <v>0.98203592814371254</v>
      </c>
      <c r="P9">
        <f t="shared" si="1"/>
        <v>-0.28759733122056497</v>
      </c>
      <c r="Q9">
        <f>O9*L9/M9</f>
        <v>0.29640133089763776</v>
      </c>
    </row>
    <row r="10" spans="1:17" x14ac:dyDescent="0.25">
      <c r="A10" t="s">
        <v>20</v>
      </c>
      <c r="B10">
        <v>2013</v>
      </c>
      <c r="C10">
        <v>25</v>
      </c>
      <c r="D10">
        <v>8</v>
      </c>
      <c r="E10">
        <v>4.1000000000000002E-2</v>
      </c>
      <c r="F10">
        <v>-1.97</v>
      </c>
      <c r="G10">
        <v>-2.77</v>
      </c>
      <c r="H10">
        <v>-1.17</v>
      </c>
      <c r="I10">
        <v>1.97</v>
      </c>
      <c r="J10">
        <v>1.17</v>
      </c>
      <c r="K10">
        <v>2.77</v>
      </c>
      <c r="L10">
        <v>0.408163265</v>
      </c>
      <c r="M10">
        <v>1.004828498</v>
      </c>
      <c r="N10">
        <f t="shared" si="2"/>
        <v>1.9605335675899591</v>
      </c>
      <c r="O10">
        <f t="shared" si="0"/>
        <v>0.97560975609756095</v>
      </c>
      <c r="P10">
        <f t="shared" si="1"/>
        <v>1.912715675697521</v>
      </c>
      <c r="Q10">
        <f>O10*L10/M10</f>
        <v>0.39629455594384844</v>
      </c>
    </row>
    <row r="11" spans="1:17" x14ac:dyDescent="0.25">
      <c r="A11" t="s">
        <v>21</v>
      </c>
      <c r="B11">
        <v>1987</v>
      </c>
      <c r="C11">
        <v>18</v>
      </c>
      <c r="D11">
        <v>18</v>
      </c>
      <c r="E11">
        <v>3.9E-2</v>
      </c>
      <c r="F11">
        <v>-1.06</v>
      </c>
      <c r="G11">
        <v>-2.0499999999999998</v>
      </c>
      <c r="H11">
        <v>-7.0000000000000007E-2</v>
      </c>
      <c r="I11">
        <v>1.06</v>
      </c>
      <c r="J11">
        <v>7.0000000000000007E-2</v>
      </c>
      <c r="K11">
        <v>2.0499999999999998</v>
      </c>
      <c r="L11">
        <v>0.505102041</v>
      </c>
      <c r="M11">
        <v>1.5153061219999999</v>
      </c>
      <c r="N11">
        <f t="shared" si="2"/>
        <v>0.69952861973588731</v>
      </c>
      <c r="O11">
        <f t="shared" si="0"/>
        <v>0.97777777777777775</v>
      </c>
      <c r="P11">
        <f t="shared" si="1"/>
        <v>0.68398353929731204</v>
      </c>
      <c r="Q11">
        <f>O11*L11/M11</f>
        <v>0.32592592614101512</v>
      </c>
    </row>
    <row r="12" spans="1:17" x14ac:dyDescent="0.25">
      <c r="A12" t="s">
        <v>22</v>
      </c>
      <c r="B12">
        <v>1987</v>
      </c>
      <c r="C12">
        <v>29</v>
      </c>
      <c r="D12">
        <v>29</v>
      </c>
      <c r="E12">
        <v>4.3999999999999997E-2</v>
      </c>
      <c r="F12">
        <v>0</v>
      </c>
      <c r="G12">
        <v>-0.53</v>
      </c>
      <c r="H12">
        <v>0.53</v>
      </c>
      <c r="I12">
        <v>0</v>
      </c>
      <c r="J12">
        <v>-0.53</v>
      </c>
      <c r="K12">
        <v>0.53</v>
      </c>
      <c r="L12">
        <v>0.27040816299999998</v>
      </c>
      <c r="M12">
        <v>1.0296836090000001</v>
      </c>
      <c r="N12">
        <f t="shared" si="2"/>
        <v>0</v>
      </c>
      <c r="O12">
        <f t="shared" si="0"/>
        <v>0.98654708520179368</v>
      </c>
      <c r="P12">
        <f t="shared" si="1"/>
        <v>0</v>
      </c>
      <c r="Q12">
        <f>O12*L12/M12</f>
        <v>0.25907995688258206</v>
      </c>
    </row>
    <row r="13" spans="1:17" x14ac:dyDescent="0.25">
      <c r="A13" t="s">
        <v>23</v>
      </c>
      <c r="B13">
        <v>1990</v>
      </c>
      <c r="C13">
        <v>39</v>
      </c>
      <c r="D13">
        <v>39</v>
      </c>
      <c r="E13">
        <v>0.04</v>
      </c>
      <c r="F13">
        <v>-1.8</v>
      </c>
      <c r="G13">
        <v>-2.74</v>
      </c>
      <c r="H13">
        <v>-0.86</v>
      </c>
      <c r="I13">
        <v>1.8</v>
      </c>
      <c r="J13">
        <v>0.86</v>
      </c>
      <c r="K13">
        <v>2.74</v>
      </c>
      <c r="L13">
        <v>0.47959183700000002</v>
      </c>
      <c r="M13">
        <v>2.1178202079999999</v>
      </c>
      <c r="N13">
        <f t="shared" si="2"/>
        <v>0.84993050552665239</v>
      </c>
      <c r="O13">
        <f t="shared" si="0"/>
        <v>0.99009900990099009</v>
      </c>
      <c r="P13">
        <f t="shared" si="1"/>
        <v>0.84151535200658656</v>
      </c>
      <c r="Q13">
        <f>O13*L13/M13</f>
        <v>0.22421327418474471</v>
      </c>
    </row>
    <row r="14" spans="1:17" x14ac:dyDescent="0.25">
      <c r="A14" t="s">
        <v>24</v>
      </c>
      <c r="B14">
        <v>1990</v>
      </c>
      <c r="C14">
        <v>19</v>
      </c>
      <c r="D14">
        <v>19</v>
      </c>
      <c r="E14">
        <v>3.2000000000000001E-2</v>
      </c>
      <c r="F14">
        <v>-1.9</v>
      </c>
      <c r="G14">
        <v>-3.55</v>
      </c>
      <c r="H14">
        <v>-0.25</v>
      </c>
      <c r="I14">
        <v>1.9</v>
      </c>
      <c r="J14">
        <v>0.25</v>
      </c>
      <c r="K14">
        <v>3.55</v>
      </c>
      <c r="L14">
        <v>0.841836735</v>
      </c>
      <c r="M14">
        <v>2.5947150780000001</v>
      </c>
      <c r="N14">
        <f t="shared" si="2"/>
        <v>0.73225766332098208</v>
      </c>
      <c r="O14">
        <f t="shared" si="0"/>
        <v>0.97902097902097907</v>
      </c>
      <c r="P14">
        <f t="shared" si="1"/>
        <v>0.7168956144401224</v>
      </c>
      <c r="Q14">
        <f>O14*L14/M14</f>
        <v>0.31763634915583761</v>
      </c>
    </row>
    <row r="15" spans="1:17" x14ac:dyDescent="0.25">
      <c r="A15" t="s">
        <v>25</v>
      </c>
      <c r="B15">
        <v>2016</v>
      </c>
      <c r="C15">
        <v>152</v>
      </c>
      <c r="D15">
        <v>76</v>
      </c>
      <c r="E15">
        <v>4.3999999999999997E-2</v>
      </c>
      <c r="F15">
        <v>-0.09</v>
      </c>
      <c r="G15">
        <v>-0.54</v>
      </c>
      <c r="H15">
        <v>0.35</v>
      </c>
      <c r="I15">
        <v>0.09</v>
      </c>
      <c r="J15">
        <v>-0.35</v>
      </c>
      <c r="K15">
        <v>0.54</v>
      </c>
      <c r="L15">
        <v>0.22704081600000001</v>
      </c>
      <c r="M15">
        <v>1.6160883749999999</v>
      </c>
      <c r="N15">
        <f t="shared" si="2"/>
        <v>5.5690023758756389E-2</v>
      </c>
      <c r="O15">
        <f t="shared" si="0"/>
        <v>0.99667774086378735</v>
      </c>
      <c r="P15">
        <f t="shared" si="1"/>
        <v>5.5505007068527963E-2</v>
      </c>
      <c r="Q15">
        <f>O15*L15/M15</f>
        <v>0.14002113441027064</v>
      </c>
    </row>
    <row r="16" spans="1:17" x14ac:dyDescent="0.25">
      <c r="A16" t="s">
        <v>26</v>
      </c>
      <c r="B16">
        <v>2009</v>
      </c>
      <c r="C16">
        <v>23</v>
      </c>
      <c r="D16">
        <v>18</v>
      </c>
      <c r="E16">
        <v>4.3999999999999997E-2</v>
      </c>
      <c r="F16">
        <v>-0.65</v>
      </c>
      <c r="G16">
        <v>-1.17</v>
      </c>
      <c r="H16">
        <v>-0.13</v>
      </c>
      <c r="I16">
        <v>0.65</v>
      </c>
      <c r="J16">
        <v>0.13</v>
      </c>
      <c r="K16">
        <v>1.17</v>
      </c>
      <c r="L16">
        <v>0.26530612199999998</v>
      </c>
      <c r="M16">
        <v>0.84305423499999999</v>
      </c>
      <c r="N16">
        <f t="shared" si="2"/>
        <v>0.77100615003731054</v>
      </c>
      <c r="O16">
        <f t="shared" si="0"/>
        <v>0.98064516129032253</v>
      </c>
      <c r="P16">
        <f t="shared" si="1"/>
        <v>0.75608345035916902</v>
      </c>
      <c r="Q16">
        <f>O16*L16/M16</f>
        <v>0.30860548942026245</v>
      </c>
    </row>
    <row r="17" spans="1:17" x14ac:dyDescent="0.25">
      <c r="A17" t="s">
        <v>27</v>
      </c>
      <c r="B17">
        <v>2013</v>
      </c>
      <c r="C17">
        <v>127</v>
      </c>
      <c r="D17">
        <v>59</v>
      </c>
      <c r="E17">
        <v>4.4999999999999998E-2</v>
      </c>
      <c r="F17">
        <v>-1.56</v>
      </c>
      <c r="G17">
        <v>-1.91</v>
      </c>
      <c r="H17">
        <v>-1.21</v>
      </c>
      <c r="I17">
        <v>1.56</v>
      </c>
      <c r="J17">
        <v>1.21</v>
      </c>
      <c r="K17">
        <v>1.91</v>
      </c>
      <c r="L17">
        <v>0.178571429</v>
      </c>
      <c r="M17">
        <v>1.1334004150000001</v>
      </c>
      <c r="N17">
        <f t="shared" si="2"/>
        <v>1.3763891201680916</v>
      </c>
      <c r="O17">
        <f t="shared" si="0"/>
        <v>0.99591836734693873</v>
      </c>
      <c r="P17">
        <f t="shared" si="1"/>
        <v>1.3707712053918952</v>
      </c>
      <c r="Q17">
        <f>O17*L17/M17</f>
        <v>0.15691062370441233</v>
      </c>
    </row>
    <row r="18" spans="1:17" x14ac:dyDescent="0.25">
      <c r="A18" t="s">
        <v>28</v>
      </c>
      <c r="B18">
        <v>2013</v>
      </c>
      <c r="C18">
        <v>27</v>
      </c>
      <c r="D18">
        <v>27</v>
      </c>
      <c r="E18">
        <v>4.3999999999999997E-2</v>
      </c>
      <c r="F18">
        <v>0.3</v>
      </c>
      <c r="G18">
        <v>-0.2</v>
      </c>
      <c r="H18">
        <v>0.8</v>
      </c>
      <c r="I18">
        <v>-0.3</v>
      </c>
      <c r="J18">
        <v>-0.8</v>
      </c>
      <c r="K18">
        <v>0.2</v>
      </c>
      <c r="L18">
        <v>0.255102041</v>
      </c>
      <c r="M18">
        <v>0.93730474900000005</v>
      </c>
      <c r="N18">
        <f t="shared" si="2"/>
        <v>-0.32006665955770164</v>
      </c>
      <c r="O18">
        <f t="shared" si="0"/>
        <v>0.98550724637681164</v>
      </c>
      <c r="P18">
        <f t="shared" si="1"/>
        <v>-0.31542801231773498</v>
      </c>
      <c r="Q18">
        <f>O18*L18/M18</f>
        <v>0.26822109910275777</v>
      </c>
    </row>
    <row r="19" spans="1:17" x14ac:dyDescent="0.25">
      <c r="A19" t="s">
        <v>29</v>
      </c>
      <c r="B19">
        <v>1988</v>
      </c>
      <c r="C19">
        <v>18</v>
      </c>
      <c r="D19">
        <v>18</v>
      </c>
      <c r="E19">
        <v>3.6999999999999998E-2</v>
      </c>
      <c r="F19">
        <v>0.5</v>
      </c>
      <c r="G19">
        <v>-0.72</v>
      </c>
      <c r="H19">
        <v>1.72</v>
      </c>
      <c r="I19">
        <v>-0.5</v>
      </c>
      <c r="J19">
        <v>-1.72</v>
      </c>
      <c r="K19">
        <v>0.72</v>
      </c>
      <c r="L19">
        <v>0.62244898000000004</v>
      </c>
      <c r="M19">
        <v>1.8673469389999999</v>
      </c>
      <c r="N19">
        <f t="shared" si="2"/>
        <v>-0.26775956280934038</v>
      </c>
      <c r="O19">
        <f t="shared" si="0"/>
        <v>0.97777777777777775</v>
      </c>
      <c r="P19">
        <f t="shared" si="1"/>
        <v>-0.26180935030246616</v>
      </c>
      <c r="Q19">
        <f>O19*L19/M19</f>
        <v>0.3259259261004655</v>
      </c>
    </row>
    <row r="20" spans="1:17" x14ac:dyDescent="0.25">
      <c r="A20" t="s">
        <v>30</v>
      </c>
      <c r="B20">
        <v>1987</v>
      </c>
      <c r="C20">
        <v>16</v>
      </c>
      <c r="D20">
        <v>16</v>
      </c>
      <c r="E20">
        <v>3.2000000000000001E-2</v>
      </c>
      <c r="F20">
        <v>-0.2</v>
      </c>
      <c r="G20">
        <v>-1.79</v>
      </c>
      <c r="H20">
        <v>1.39</v>
      </c>
      <c r="I20">
        <v>0.2</v>
      </c>
      <c r="J20">
        <v>-1.39</v>
      </c>
      <c r="K20">
        <v>1.79</v>
      </c>
      <c r="L20">
        <v>0.81122448999999996</v>
      </c>
      <c r="M20">
        <v>2.2944893510000002</v>
      </c>
      <c r="N20">
        <f t="shared" si="2"/>
        <v>8.7165364229228007E-2</v>
      </c>
      <c r="O20">
        <f t="shared" si="0"/>
        <v>0.97478991596638653</v>
      </c>
      <c r="P20">
        <f t="shared" si="1"/>
        <v>8.4967918072188647E-2</v>
      </c>
      <c r="Q20">
        <f>O20*L20/M20</f>
        <v>0.34464028002236508</v>
      </c>
    </row>
    <row r="21" spans="1:17" x14ac:dyDescent="0.25">
      <c r="A21" t="s">
        <v>31</v>
      </c>
      <c r="B21">
        <v>1998</v>
      </c>
      <c r="C21">
        <v>60</v>
      </c>
      <c r="D21">
        <v>63</v>
      </c>
      <c r="E21">
        <v>4.4999999999999998E-2</v>
      </c>
      <c r="F21">
        <v>-2.17</v>
      </c>
      <c r="G21">
        <v>-2.54</v>
      </c>
      <c r="H21">
        <v>-1.8</v>
      </c>
      <c r="I21">
        <v>2.17</v>
      </c>
      <c r="J21">
        <v>1.8</v>
      </c>
      <c r="K21">
        <v>2.54</v>
      </c>
      <c r="L21">
        <v>0.18877551000000001</v>
      </c>
      <c r="M21">
        <v>1.0464994320000001</v>
      </c>
      <c r="N21">
        <f t="shared" si="2"/>
        <v>2.0735797207771438</v>
      </c>
      <c r="O21">
        <f t="shared" si="0"/>
        <v>0.99378881987577639</v>
      </c>
      <c r="P21">
        <f t="shared" si="1"/>
        <v>2.0607003436294598</v>
      </c>
      <c r="Q21">
        <f>O21*L21/M21</f>
        <v>0.17926716973540394</v>
      </c>
    </row>
    <row r="22" spans="1:17" x14ac:dyDescent="0.25">
      <c r="A22" t="s">
        <v>32</v>
      </c>
      <c r="B22">
        <v>1993</v>
      </c>
      <c r="C22">
        <v>12</v>
      </c>
      <c r="D22">
        <v>12</v>
      </c>
      <c r="E22">
        <v>2.8000000000000001E-2</v>
      </c>
      <c r="F22">
        <v>0.2</v>
      </c>
      <c r="G22">
        <v>-1.81</v>
      </c>
      <c r="H22">
        <v>2.21</v>
      </c>
      <c r="I22">
        <v>-0.2</v>
      </c>
      <c r="J22">
        <v>-2.21</v>
      </c>
      <c r="K22">
        <v>1.81</v>
      </c>
      <c r="L22">
        <v>1.0255102039999999</v>
      </c>
      <c r="M22">
        <v>2.5119767259999999</v>
      </c>
      <c r="N22">
        <f t="shared" si="2"/>
        <v>-7.9618572071117194E-2</v>
      </c>
      <c r="O22">
        <f t="shared" si="0"/>
        <v>0.96551724137931039</v>
      </c>
      <c r="P22">
        <f t="shared" si="1"/>
        <v>-7.6873104068664877E-2</v>
      </c>
      <c r="Q22">
        <f>O22*L22/M22</f>
        <v>0.39417076317784877</v>
      </c>
    </row>
    <row r="23" spans="1:17" x14ac:dyDescent="0.25">
      <c r="A23" t="s">
        <v>33</v>
      </c>
      <c r="B23">
        <v>1984</v>
      </c>
      <c r="C23">
        <v>17</v>
      </c>
      <c r="D23">
        <v>17</v>
      </c>
      <c r="E23">
        <v>3.2000000000000001E-2</v>
      </c>
      <c r="F23">
        <v>-0.8</v>
      </c>
      <c r="G23">
        <v>-2.42</v>
      </c>
      <c r="H23">
        <v>0.82</v>
      </c>
      <c r="I23">
        <v>0.8</v>
      </c>
      <c r="J23">
        <v>-0.82</v>
      </c>
      <c r="K23">
        <v>2.42</v>
      </c>
      <c r="L23">
        <v>0.826530612</v>
      </c>
      <c r="M23">
        <v>2.4097301199999999</v>
      </c>
      <c r="N23">
        <f t="shared" si="2"/>
        <v>0.33198738454578475</v>
      </c>
      <c r="O23">
        <f t="shared" si="0"/>
        <v>0.97637795275590555</v>
      </c>
      <c r="P23">
        <f t="shared" si="1"/>
        <v>0.32414516286360084</v>
      </c>
      <c r="Q23">
        <f>O23*L23/M23</f>
        <v>0.33489487479811464</v>
      </c>
    </row>
    <row r="24" spans="1:17" x14ac:dyDescent="0.25">
      <c r="A24" t="s">
        <v>33</v>
      </c>
      <c r="B24">
        <v>1989</v>
      </c>
      <c r="C24">
        <v>20</v>
      </c>
      <c r="D24">
        <v>19</v>
      </c>
      <c r="E24">
        <v>3.6999999999999998E-2</v>
      </c>
      <c r="F24">
        <v>-1.3</v>
      </c>
      <c r="G24">
        <v>-2.54</v>
      </c>
      <c r="H24">
        <v>-0.06</v>
      </c>
      <c r="I24">
        <v>1.3</v>
      </c>
      <c r="J24">
        <v>0.06</v>
      </c>
      <c r="K24">
        <v>2.54</v>
      </c>
      <c r="L24">
        <v>0.63265306099999996</v>
      </c>
      <c r="M24">
        <v>1.9748090490000001</v>
      </c>
      <c r="N24">
        <f t="shared" si="2"/>
        <v>0.65829149438944057</v>
      </c>
      <c r="O24">
        <f t="shared" si="0"/>
        <v>0.97959183673469385</v>
      </c>
      <c r="P24">
        <f t="shared" si="1"/>
        <v>0.64485697409577847</v>
      </c>
      <c r="Q24">
        <f>O24*L24/M24</f>
        <v>0.31382364505299382</v>
      </c>
    </row>
    <row r="25" spans="1:17" x14ac:dyDescent="0.25">
      <c r="A25" t="s">
        <v>33</v>
      </c>
      <c r="B25">
        <v>1990</v>
      </c>
      <c r="C25">
        <v>9</v>
      </c>
      <c r="D25">
        <v>9</v>
      </c>
      <c r="E25">
        <v>2.5999999999999999E-2</v>
      </c>
      <c r="F25">
        <v>-1.6</v>
      </c>
      <c r="G25">
        <v>-3.71</v>
      </c>
      <c r="H25">
        <v>0.51</v>
      </c>
      <c r="I25">
        <v>1.6</v>
      </c>
      <c r="J25">
        <v>-0.51</v>
      </c>
      <c r="K25">
        <v>3.71</v>
      </c>
      <c r="L25">
        <v>1.076530612</v>
      </c>
      <c r="M25">
        <v>2.283666288</v>
      </c>
      <c r="N25">
        <f t="shared" si="2"/>
        <v>0.70062776177392172</v>
      </c>
      <c r="O25">
        <f t="shared" si="0"/>
        <v>0.95238095238095233</v>
      </c>
      <c r="P25">
        <f t="shared" si="1"/>
        <v>0.6672645350227826</v>
      </c>
      <c r="Q25">
        <f>O25*L25/M25</f>
        <v>0.44895668640873221</v>
      </c>
    </row>
    <row r="26" spans="1:17" x14ac:dyDescent="0.25">
      <c r="A26" t="s">
        <v>34</v>
      </c>
      <c r="B26">
        <v>1999</v>
      </c>
      <c r="C26">
        <v>11</v>
      </c>
      <c r="D26">
        <v>11</v>
      </c>
      <c r="E26">
        <v>3.1E-2</v>
      </c>
      <c r="F26">
        <v>-0.71</v>
      </c>
      <c r="G26">
        <v>-2.38</v>
      </c>
      <c r="H26">
        <v>0.96</v>
      </c>
      <c r="I26">
        <v>0.71</v>
      </c>
      <c r="J26">
        <v>-0.96</v>
      </c>
      <c r="K26">
        <v>2.38</v>
      </c>
      <c r="L26">
        <v>0.85204081600000003</v>
      </c>
      <c r="M26">
        <v>1.998212836</v>
      </c>
      <c r="N26">
        <f t="shared" si="2"/>
        <v>0.35531750532704515</v>
      </c>
      <c r="O26">
        <f t="shared" si="0"/>
        <v>0.96202531645569622</v>
      </c>
      <c r="P26">
        <f t="shared" si="1"/>
        <v>0.34182443550449915</v>
      </c>
      <c r="Q26">
        <f>O26*L26/M26</f>
        <v>0.41020897317745469</v>
      </c>
    </row>
    <row r="27" spans="1:17" x14ac:dyDescent="0.25">
      <c r="A27" t="s">
        <v>35</v>
      </c>
      <c r="B27">
        <v>1992</v>
      </c>
      <c r="C27">
        <v>12</v>
      </c>
      <c r="D27">
        <v>12</v>
      </c>
      <c r="E27">
        <v>2.8000000000000001E-2</v>
      </c>
      <c r="F27">
        <v>0.2</v>
      </c>
      <c r="G27">
        <v>-1.81</v>
      </c>
      <c r="H27">
        <v>2.21</v>
      </c>
      <c r="I27">
        <v>-0.2</v>
      </c>
      <c r="J27">
        <v>-2.21</v>
      </c>
      <c r="K27">
        <v>1.81</v>
      </c>
      <c r="L27">
        <v>1.0255102039999999</v>
      </c>
      <c r="M27">
        <v>2.5119767259999999</v>
      </c>
      <c r="N27">
        <f t="shared" si="2"/>
        <v>-7.9618572071117194E-2</v>
      </c>
      <c r="O27">
        <f t="shared" si="0"/>
        <v>0.96551724137931039</v>
      </c>
      <c r="P27">
        <f t="shared" si="1"/>
        <v>-7.6873104068664877E-2</v>
      </c>
      <c r="Q27">
        <f>O27*L27/M27</f>
        <v>0.39417076317784877</v>
      </c>
    </row>
    <row r="28" spans="1:17" x14ac:dyDescent="0.25">
      <c r="A28" t="s">
        <v>36</v>
      </c>
      <c r="B28">
        <v>2005</v>
      </c>
      <c r="C28">
        <v>21</v>
      </c>
      <c r="D28">
        <v>15</v>
      </c>
      <c r="E28">
        <v>0.03</v>
      </c>
      <c r="F28">
        <v>-4.9800000000000004</v>
      </c>
      <c r="G28">
        <v>-6.79</v>
      </c>
      <c r="H28">
        <v>-3.17</v>
      </c>
      <c r="I28">
        <v>4.9800000000000004</v>
      </c>
      <c r="J28">
        <v>3.17</v>
      </c>
      <c r="K28">
        <v>6.79</v>
      </c>
      <c r="L28">
        <v>0.923469388</v>
      </c>
      <c r="M28">
        <v>2.7316592879999999</v>
      </c>
      <c r="N28">
        <f t="shared" si="2"/>
        <v>1.8230677675934235</v>
      </c>
      <c r="O28">
        <f t="shared" si="0"/>
        <v>0.97777777777777775</v>
      </c>
      <c r="P28">
        <f t="shared" si="1"/>
        <v>1.7825551505357917</v>
      </c>
      <c r="Q28">
        <f>O28*L28/M28</f>
        <v>0.33054921966697498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jovanovski19_fiber_fbg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2025-10-18T19:42:34Z</dcterms:created>
  <dcterms:modified xsi:type="dcterms:W3CDTF">2025-12-30T01:07:08Z</dcterms:modified>
</cp:coreProperties>
</file>