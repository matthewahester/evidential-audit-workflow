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jovanovski2019\"/>
    </mc:Choice>
  </mc:AlternateContent>
  <xr:revisionPtr revIDLastSave="0" documentId="13_ncr:1_{4B5E9EE2-FBD9-4986-ABF0-67D5F1A20BBC}" xr6:coauthVersionLast="47" xr6:coauthVersionMax="47" xr10:uidLastSave="{00000000-0000-0000-0000-000000000000}"/>
  <bookViews>
    <workbookView xWindow="38280" yWindow="2820" windowWidth="29040" windowHeight="16440" xr2:uid="{1F2D6DAF-01D0-4CA6-8AEE-93640CF8B9C8}"/>
  </bookViews>
  <sheets>
    <sheet name="jovanovski19_fiber_h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2" i="1"/>
  <c r="O2" i="1"/>
  <c r="N2" i="1"/>
  <c r="N3" i="1"/>
  <c r="O3" i="1"/>
  <c r="P3" i="1" s="1"/>
  <c r="N4" i="1"/>
  <c r="O4" i="1"/>
  <c r="N5" i="1"/>
  <c r="O5" i="1"/>
  <c r="P5" i="1" s="1"/>
  <c r="N6" i="1"/>
  <c r="O6" i="1"/>
  <c r="N7" i="1"/>
  <c r="O7" i="1"/>
  <c r="P7" i="1" s="1"/>
  <c r="N8" i="1"/>
  <c r="O8" i="1"/>
  <c r="N9" i="1"/>
  <c r="O9" i="1"/>
  <c r="P9" i="1" s="1"/>
  <c r="N10" i="1"/>
  <c r="O10" i="1"/>
  <c r="N11" i="1"/>
  <c r="O11" i="1"/>
  <c r="P11" i="1" s="1"/>
  <c r="P4" i="1" l="1"/>
  <c r="P8" i="1"/>
  <c r="P2" i="1"/>
  <c r="P10" i="1"/>
  <c r="P6" i="1"/>
</calcChain>
</file>

<file path=xl/sharedStrings.xml><?xml version="1.0" encoding="utf-8"?>
<sst xmlns="http://schemas.openxmlformats.org/spreadsheetml/2006/main" count="27" uniqueCount="27">
  <si>
    <t>Author</t>
  </si>
  <si>
    <t>Year</t>
  </si>
  <si>
    <t>n_treatment</t>
  </si>
  <si>
    <t>n_control</t>
  </si>
  <si>
    <t>weight</t>
  </si>
  <si>
    <t>ES_neg</t>
  </si>
  <si>
    <t>CI_lower_neg</t>
  </si>
  <si>
    <t>CI_upper_neg</t>
  </si>
  <si>
    <t>ES</t>
  </si>
  <si>
    <t>CI_lower</t>
  </si>
  <si>
    <t>CI_upper</t>
  </si>
  <si>
    <t>SE</t>
  </si>
  <si>
    <t>pooled_sd</t>
  </si>
  <si>
    <t>Abutair</t>
  </si>
  <si>
    <t>Aro</t>
  </si>
  <si>
    <t>Chuang</t>
  </si>
  <si>
    <t>Laajam</t>
  </si>
  <si>
    <t>Liatis</t>
  </si>
  <si>
    <t>Ma</t>
  </si>
  <si>
    <t>McGeoch</t>
  </si>
  <si>
    <t>Peterson</t>
  </si>
  <si>
    <t>Vuksan</t>
  </si>
  <si>
    <t>Ziai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</si>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</sst>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E5B9-0DB9-4556-A9B3-130097F5BFD7}">
  <dimension ref="A1:Q11"/>
  <sheetViews>
    <sheetView tabSelected="1" workbookViewId="0">
      <selection activeCell="M21" sqref="M2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5">
      <c r="A2" t="s">
        <v>13</v>
      </c>
      <c r="B2">
        <v>2016</v>
      </c>
      <c r="C2">
        <v>18</v>
      </c>
      <c r="D2">
        <v>18</v>
      </c>
      <c r="E2">
        <v>0.126</v>
      </c>
      <c r="F2">
        <v>-6.3</v>
      </c>
      <c r="G2">
        <v>-7.33</v>
      </c>
      <c r="H2">
        <v>-5.27</v>
      </c>
      <c r="I2">
        <v>6.3</v>
      </c>
      <c r="J2">
        <v>5.27</v>
      </c>
      <c r="K2">
        <v>7.33</v>
      </c>
      <c r="L2">
        <v>0.52551020400000004</v>
      </c>
      <c r="M2">
        <v>1.576530612</v>
      </c>
      <c r="N2">
        <f>I2/M2</f>
        <v>3.9961165054751246</v>
      </c>
      <c r="O2">
        <f t="shared" ref="O2:O11" si="0">1-3/(4*(C2+D2-2)-1)</f>
        <v>0.97777777777777775</v>
      </c>
      <c r="P2">
        <f t="shared" ref="P2:P11" si="1">O2*N2</f>
        <v>3.9073139164645663</v>
      </c>
      <c r="Q2">
        <f>O2*L2/M2</f>
        <v>0.32592592592592595</v>
      </c>
    </row>
    <row r="3" spans="1:17" x14ac:dyDescent="0.25">
      <c r="A3" t="s">
        <v>14</v>
      </c>
      <c r="B3">
        <v>1981</v>
      </c>
      <c r="C3">
        <v>9</v>
      </c>
      <c r="D3">
        <v>9</v>
      </c>
      <c r="E3">
        <v>7.4999999999999997E-2</v>
      </c>
      <c r="F3">
        <v>-1.07</v>
      </c>
      <c r="G3">
        <v>-5.13</v>
      </c>
      <c r="H3">
        <v>2.99</v>
      </c>
      <c r="I3">
        <v>1.07</v>
      </c>
      <c r="J3">
        <v>-2.99</v>
      </c>
      <c r="K3">
        <v>5.13</v>
      </c>
      <c r="L3">
        <v>2.0714285710000002</v>
      </c>
      <c r="M3">
        <v>4.3941635689999998</v>
      </c>
      <c r="N3">
        <f t="shared" ref="N3:N11" si="2">I3/M3</f>
        <v>0.2435048179700568</v>
      </c>
      <c r="O3">
        <f t="shared" si="0"/>
        <v>0.95238095238095233</v>
      </c>
      <c r="P3">
        <f t="shared" si="1"/>
        <v>0.23190935044767313</v>
      </c>
      <c r="Q3">
        <f>O3*L3/M3</f>
        <v>0.44895668635454372</v>
      </c>
    </row>
    <row r="4" spans="1:17" x14ac:dyDescent="0.25">
      <c r="A4" t="s">
        <v>15</v>
      </c>
      <c r="B4">
        <v>1992</v>
      </c>
      <c r="C4">
        <v>13</v>
      </c>
      <c r="D4">
        <v>13</v>
      </c>
      <c r="E4">
        <v>8.5000000000000006E-2</v>
      </c>
      <c r="F4">
        <v>-2.77</v>
      </c>
      <c r="G4">
        <v>-6.24</v>
      </c>
      <c r="H4">
        <v>0.7</v>
      </c>
      <c r="I4">
        <v>2.77</v>
      </c>
      <c r="J4">
        <v>-0.7</v>
      </c>
      <c r="K4">
        <v>6.24</v>
      </c>
      <c r="L4">
        <v>1.7704081629999999</v>
      </c>
      <c r="M4">
        <v>4.5136728860000002</v>
      </c>
      <c r="N4">
        <f t="shared" si="2"/>
        <v>0.61369090538033289</v>
      </c>
      <c r="O4">
        <f t="shared" si="0"/>
        <v>0.96842105263157896</v>
      </c>
      <c r="P4">
        <f t="shared" si="1"/>
        <v>0.59431119257884868</v>
      </c>
      <c r="Q4">
        <f>O4*L4/M4</f>
        <v>0.37984598797973235</v>
      </c>
    </row>
    <row r="5" spans="1:17" x14ac:dyDescent="0.25">
      <c r="A5" t="s">
        <v>16</v>
      </c>
      <c r="B5">
        <v>1990</v>
      </c>
      <c r="C5">
        <v>39</v>
      </c>
      <c r="D5">
        <v>39</v>
      </c>
      <c r="E5">
        <v>6.2E-2</v>
      </c>
      <c r="F5">
        <v>-1.57</v>
      </c>
      <c r="G5">
        <v>-6.54</v>
      </c>
      <c r="H5">
        <v>3.4</v>
      </c>
      <c r="I5">
        <v>1.57</v>
      </c>
      <c r="J5">
        <v>-3.4</v>
      </c>
      <c r="K5">
        <v>6.54</v>
      </c>
      <c r="L5">
        <v>2.5357142860000002</v>
      </c>
      <c r="M5">
        <v>11.1974111</v>
      </c>
      <c r="N5">
        <f t="shared" si="2"/>
        <v>0.14021098144730973</v>
      </c>
      <c r="O5">
        <f t="shared" si="0"/>
        <v>0.99009900990099009</v>
      </c>
      <c r="P5">
        <f t="shared" si="1"/>
        <v>0.13882275390822746</v>
      </c>
      <c r="Q5">
        <f>O5*L5/M5</f>
        <v>0.22421327408086286</v>
      </c>
    </row>
    <row r="6" spans="1:17" x14ac:dyDescent="0.25">
      <c r="A6" t="s">
        <v>17</v>
      </c>
      <c r="B6">
        <v>2009</v>
      </c>
      <c r="C6">
        <v>23</v>
      </c>
      <c r="D6">
        <v>18</v>
      </c>
      <c r="E6">
        <v>0.112</v>
      </c>
      <c r="F6">
        <v>-3.41</v>
      </c>
      <c r="G6">
        <v>-5.42</v>
      </c>
      <c r="H6">
        <v>-1.4</v>
      </c>
      <c r="I6">
        <v>3.41</v>
      </c>
      <c r="J6">
        <v>1.4</v>
      </c>
      <c r="K6">
        <v>5.42</v>
      </c>
      <c r="L6">
        <v>1.0255102039999999</v>
      </c>
      <c r="M6">
        <v>3.2587288710000002</v>
      </c>
      <c r="N6">
        <f t="shared" si="2"/>
        <v>1.0464202868628281</v>
      </c>
      <c r="O6">
        <f t="shared" si="0"/>
        <v>0.98064516129032253</v>
      </c>
      <c r="P6">
        <f t="shared" si="1"/>
        <v>1.0261669909880635</v>
      </c>
      <c r="Q6">
        <f>O6*L6/M6</f>
        <v>0.30860548981414521</v>
      </c>
    </row>
    <row r="7" spans="1:17" x14ac:dyDescent="0.25">
      <c r="A7" t="s">
        <v>18</v>
      </c>
      <c r="B7">
        <v>2013</v>
      </c>
      <c r="C7">
        <v>127</v>
      </c>
      <c r="D7">
        <v>59</v>
      </c>
      <c r="E7">
        <v>0.13200000000000001</v>
      </c>
      <c r="F7">
        <v>-0.11</v>
      </c>
      <c r="G7">
        <v>-0.23</v>
      </c>
      <c r="H7">
        <v>0.01</v>
      </c>
      <c r="I7">
        <v>0.11</v>
      </c>
      <c r="J7">
        <v>-0.01</v>
      </c>
      <c r="K7">
        <v>0.23</v>
      </c>
      <c r="L7">
        <v>6.1224489999999999E-2</v>
      </c>
      <c r="M7">
        <v>0.38859442799999999</v>
      </c>
      <c r="N7">
        <f t="shared" si="2"/>
        <v>0.28307148037645047</v>
      </c>
      <c r="O7">
        <f t="shared" si="0"/>
        <v>0.99591836734693873</v>
      </c>
      <c r="P7">
        <f t="shared" si="1"/>
        <v>0.28191608657899553</v>
      </c>
      <c r="Q7">
        <f>O7*L7/M7</f>
        <v>0.15691062385086227</v>
      </c>
    </row>
    <row r="8" spans="1:17" x14ac:dyDescent="0.25">
      <c r="A8" t="s">
        <v>19</v>
      </c>
      <c r="B8">
        <v>2013</v>
      </c>
      <c r="C8">
        <v>27</v>
      </c>
      <c r="D8">
        <v>27</v>
      </c>
      <c r="E8">
        <v>0.128</v>
      </c>
      <c r="F8">
        <v>0.1</v>
      </c>
      <c r="G8">
        <v>-0.78</v>
      </c>
      <c r="H8">
        <v>0.98</v>
      </c>
      <c r="I8">
        <v>-0.1</v>
      </c>
      <c r="J8">
        <v>-0.98</v>
      </c>
      <c r="K8">
        <v>0.78</v>
      </c>
      <c r="L8">
        <v>0.44897959199999998</v>
      </c>
      <c r="M8">
        <v>1.649656357</v>
      </c>
      <c r="N8">
        <f t="shared" si="2"/>
        <v>-6.0618685567857336E-2</v>
      </c>
      <c r="O8">
        <f t="shared" si="0"/>
        <v>0.98550724637681164</v>
      </c>
      <c r="P8">
        <f t="shared" si="1"/>
        <v>-5.9740153892960855E-2</v>
      </c>
      <c r="Q8">
        <f>O8*L8/M8</f>
        <v>0.26822109920878773</v>
      </c>
    </row>
    <row r="9" spans="1:17" x14ac:dyDescent="0.25">
      <c r="A9" t="s">
        <v>20</v>
      </c>
      <c r="B9">
        <v>1987</v>
      </c>
      <c r="C9">
        <v>16</v>
      </c>
      <c r="D9">
        <v>16</v>
      </c>
      <c r="E9">
        <v>0.114</v>
      </c>
      <c r="F9">
        <v>-0.53</v>
      </c>
      <c r="G9">
        <v>-2.41</v>
      </c>
      <c r="H9">
        <v>1.35</v>
      </c>
      <c r="I9">
        <v>0.53</v>
      </c>
      <c r="J9">
        <v>-1.35</v>
      </c>
      <c r="K9">
        <v>2.41</v>
      </c>
      <c r="L9">
        <v>0.95918367299999996</v>
      </c>
      <c r="M9">
        <v>2.7129811199999998</v>
      </c>
      <c r="N9">
        <f t="shared" si="2"/>
        <v>0.1953570543093201</v>
      </c>
      <c r="O9">
        <f t="shared" si="0"/>
        <v>0.97478991596638653</v>
      </c>
      <c r="P9">
        <f t="shared" si="1"/>
        <v>0.19043208655362295</v>
      </c>
      <c r="Q9">
        <f>O9*L9/M9</f>
        <v>0.34464027969350558</v>
      </c>
    </row>
    <row r="10" spans="1:17" x14ac:dyDescent="0.25">
      <c r="A10" t="s">
        <v>21</v>
      </c>
      <c r="B10">
        <v>1999</v>
      </c>
      <c r="C10">
        <v>11</v>
      </c>
      <c r="D10">
        <v>11</v>
      </c>
      <c r="E10">
        <v>4.2000000000000003E-2</v>
      </c>
      <c r="F10">
        <v>-0.59</v>
      </c>
      <c r="G10">
        <v>-7.45</v>
      </c>
      <c r="H10">
        <v>6.27</v>
      </c>
      <c r="I10">
        <v>0.59</v>
      </c>
      <c r="J10">
        <v>-6.27</v>
      </c>
      <c r="K10">
        <v>7.45</v>
      </c>
      <c r="L10">
        <v>3.5</v>
      </c>
      <c r="M10">
        <v>8.2082275800000009</v>
      </c>
      <c r="N10">
        <f t="shared" si="2"/>
        <v>7.1879098654328483E-2</v>
      </c>
      <c r="O10">
        <f t="shared" si="0"/>
        <v>0.96202531645569622</v>
      </c>
      <c r="P10">
        <f t="shared" si="1"/>
        <v>6.9149512629480561E-2</v>
      </c>
      <c r="Q10">
        <f>O10*L10/M10</f>
        <v>0.41020897322573219</v>
      </c>
    </row>
    <row r="11" spans="1:17" x14ac:dyDescent="0.25">
      <c r="A11" t="s">
        <v>22</v>
      </c>
      <c r="B11">
        <v>2005</v>
      </c>
      <c r="C11">
        <v>21</v>
      </c>
      <c r="D11">
        <v>15</v>
      </c>
      <c r="E11">
        <v>0.123</v>
      </c>
      <c r="F11">
        <v>-2.2000000000000002</v>
      </c>
      <c r="G11">
        <v>-3.53</v>
      </c>
      <c r="H11">
        <v>-0.87</v>
      </c>
      <c r="I11">
        <v>2.2000000000000002</v>
      </c>
      <c r="J11">
        <v>0.87</v>
      </c>
      <c r="K11">
        <v>3.53</v>
      </c>
      <c r="L11">
        <v>0.678571429</v>
      </c>
      <c r="M11">
        <v>2.0072413550000001</v>
      </c>
      <c r="N11">
        <f t="shared" si="2"/>
        <v>1.0960316229634477</v>
      </c>
      <c r="O11">
        <f t="shared" si="0"/>
        <v>0.97777777777777775</v>
      </c>
      <c r="P11">
        <f t="shared" si="1"/>
        <v>1.0716753646753709</v>
      </c>
      <c r="Q11">
        <f>O11*L11/M11</f>
        <v>0.33054921983266483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jovanovski19_fiber_hir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2025-10-18T19:49:08Z</dcterms:created>
  <dcterms:modified xsi:type="dcterms:W3CDTF">2025-12-30T01:08:22Z</dcterms:modified>
</cp:coreProperties>
</file>