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chiavaroli2015\"/>
    </mc:Choice>
  </mc:AlternateContent>
  <xr:revisionPtr revIDLastSave="0" documentId="13_ncr:1_{8C544087-B6D8-4624-ADE7-FA62D335655D}" xr6:coauthVersionLast="47" xr6:coauthVersionMax="47" xr10:uidLastSave="{00000000-0000-0000-0000-000000000000}"/>
  <bookViews>
    <workbookView xWindow="38280" yWindow="2820" windowWidth="29040" windowHeight="16440" xr2:uid="{16971AC3-85E9-4790-A9B2-D31A9FB256E2}"/>
  </bookViews>
  <sheets>
    <sheet name="chiavaroli_fiber_cr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2" i="1"/>
  <c r="K3" i="1"/>
  <c r="L3" i="1"/>
  <c r="K4" i="1"/>
  <c r="L4" i="1"/>
  <c r="K5" i="1"/>
  <c r="L5" i="1"/>
  <c r="K6" i="1"/>
  <c r="L6" i="1"/>
  <c r="M6" i="1" s="1"/>
  <c r="K7" i="1"/>
  <c r="L7" i="1"/>
  <c r="M7" i="1" s="1"/>
  <c r="K8" i="1"/>
  <c r="L8" i="1"/>
  <c r="M8" i="1" s="1"/>
  <c r="K9" i="1"/>
  <c r="L9" i="1"/>
  <c r="M9" i="1" s="1"/>
  <c r="K10" i="1"/>
  <c r="L10" i="1"/>
  <c r="K11" i="1"/>
  <c r="L11" i="1"/>
  <c r="K12" i="1"/>
  <c r="L12" i="1"/>
  <c r="M12" i="1" s="1"/>
  <c r="K13" i="1"/>
  <c r="L13" i="1"/>
  <c r="M13" i="1" s="1"/>
  <c r="L2" i="1"/>
  <c r="K2" i="1"/>
  <c r="M2" i="1" l="1"/>
  <c r="M11" i="1"/>
  <c r="M5" i="1"/>
  <c r="M10" i="1"/>
  <c r="M4" i="1"/>
  <c r="M3" i="1"/>
</calcChain>
</file>

<file path=xl/sharedStrings.xml><?xml version="1.0" encoding="utf-8"?>
<sst xmlns="http://schemas.openxmlformats.org/spreadsheetml/2006/main" count="26" uniqueCount="25">
  <si>
    <t>Author</t>
  </si>
  <si>
    <t>Year</t>
  </si>
  <si>
    <t>Fiber</t>
  </si>
  <si>
    <t>Control</t>
  </si>
  <si>
    <t>Weight_percent</t>
  </si>
  <si>
    <t>ES</t>
  </si>
  <si>
    <t>CI_lower</t>
  </si>
  <si>
    <t>CI_upper</t>
  </si>
  <si>
    <t>SE</t>
  </si>
  <si>
    <t>pooled_sd</t>
  </si>
  <si>
    <t>Yatzidis</t>
  </si>
  <si>
    <t>Miyazaki</t>
  </si>
  <si>
    <t>Rampton</t>
  </si>
  <si>
    <t>Rivellee</t>
  </si>
  <si>
    <t>Burgess</t>
  </si>
  <si>
    <t>Parillo</t>
  </si>
  <si>
    <t>Miura</t>
  </si>
  <si>
    <t>Bliss</t>
  </si>
  <si>
    <t>Younes</t>
  </si>
  <si>
    <t>Meijers</t>
  </si>
  <si>
    <t>Salmean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</si>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</sst>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27C2-0C8D-4006-99CC-55AA7A367159}">
  <dimension ref="A1:N13"/>
  <sheetViews>
    <sheetView tabSelected="1" workbookViewId="0">
      <selection activeCell="L7" sqref="L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21</v>
      </c>
      <c r="L1" t="s">
        <v>22</v>
      </c>
      <c r="M1" t="s">
        <v>23</v>
      </c>
      <c r="N1" t="s">
        <v>24</v>
      </c>
    </row>
    <row r="2" spans="1:14" x14ac:dyDescent="0.25">
      <c r="A2" t="s">
        <v>10</v>
      </c>
      <c r="B2">
        <v>1980</v>
      </c>
      <c r="C2">
        <v>3</v>
      </c>
      <c r="D2">
        <v>3</v>
      </c>
      <c r="E2">
        <v>0.2</v>
      </c>
      <c r="F2">
        <v>297.33</v>
      </c>
      <c r="G2">
        <v>-184.83</v>
      </c>
      <c r="H2">
        <v>779.49</v>
      </c>
      <c r="I2">
        <v>246</v>
      </c>
      <c r="J2">
        <v>301.28723839999998</v>
      </c>
      <c r="K2">
        <f>F2/J2</f>
        <v>0.9868655625076751</v>
      </c>
      <c r="L2">
        <f t="shared" ref="L2:L13" si="0">1-3/(4*(D2+C2-2)-1)</f>
        <v>0.8</v>
      </c>
      <c r="M2">
        <f t="shared" ref="M2:M13" si="1">L2*K2</f>
        <v>0.7894924500061401</v>
      </c>
      <c r="N2">
        <f>L2*I2/J2</f>
        <v>0.65319726466051353</v>
      </c>
    </row>
    <row r="3" spans="1:14" x14ac:dyDescent="0.25">
      <c r="A3" t="s">
        <v>10</v>
      </c>
      <c r="B3">
        <v>1980</v>
      </c>
      <c r="C3">
        <v>3</v>
      </c>
      <c r="D3">
        <v>3</v>
      </c>
      <c r="E3">
        <v>1.5</v>
      </c>
      <c r="F3">
        <v>60.33</v>
      </c>
      <c r="G3">
        <v>-97.33</v>
      </c>
      <c r="H3">
        <v>217.99</v>
      </c>
      <c r="I3">
        <v>80.438775509999999</v>
      </c>
      <c r="J3">
        <v>98.516977769999997</v>
      </c>
      <c r="K3">
        <f t="shared" ref="K3:K13" si="2">F3/J3</f>
        <v>0.61238175759763769</v>
      </c>
      <c r="L3">
        <f t="shared" si="0"/>
        <v>0.8</v>
      </c>
      <c r="M3">
        <f t="shared" si="1"/>
        <v>0.48990540607811017</v>
      </c>
      <c r="N3">
        <f>L3*I3/J3</f>
        <v>0.65319726472157291</v>
      </c>
    </row>
    <row r="4" spans="1:14" x14ac:dyDescent="0.25">
      <c r="A4" t="s">
        <v>11</v>
      </c>
      <c r="B4">
        <v>1984</v>
      </c>
      <c r="C4">
        <v>15</v>
      </c>
      <c r="D4">
        <v>15</v>
      </c>
      <c r="E4">
        <v>4.8</v>
      </c>
      <c r="F4">
        <v>-15.25</v>
      </c>
      <c r="G4">
        <v>-100.35</v>
      </c>
      <c r="H4">
        <v>69.849999999999994</v>
      </c>
      <c r="I4">
        <v>43.418367349999997</v>
      </c>
      <c r="J4">
        <v>118.90609600000001</v>
      </c>
      <c r="K4">
        <f t="shared" si="2"/>
        <v>-0.12825246571042076</v>
      </c>
      <c r="L4">
        <f t="shared" si="0"/>
        <v>0.97297297297297303</v>
      </c>
      <c r="M4">
        <f t="shared" si="1"/>
        <v>-0.12478618285338237</v>
      </c>
      <c r="N4">
        <f>L4*I4/J4</f>
        <v>0.35527949687425747</v>
      </c>
    </row>
    <row r="5" spans="1:14" x14ac:dyDescent="0.25">
      <c r="A5" t="s">
        <v>12</v>
      </c>
      <c r="B5">
        <v>1984</v>
      </c>
      <c r="C5">
        <v>8</v>
      </c>
      <c r="D5">
        <v>8</v>
      </c>
      <c r="E5">
        <v>2.9</v>
      </c>
      <c r="F5">
        <v>24</v>
      </c>
      <c r="G5">
        <v>-88.36</v>
      </c>
      <c r="H5">
        <v>136.36000000000001</v>
      </c>
      <c r="I5">
        <v>57.326530609999999</v>
      </c>
      <c r="J5">
        <v>114.6530612</v>
      </c>
      <c r="K5">
        <f t="shared" si="2"/>
        <v>0.20932716273606133</v>
      </c>
      <c r="L5">
        <f t="shared" si="0"/>
        <v>0.94545454545454544</v>
      </c>
      <c r="M5">
        <f t="shared" si="1"/>
        <v>0.19790931749591253</v>
      </c>
      <c r="N5">
        <f>L5*I5/J5</f>
        <v>0.47272727280973492</v>
      </c>
    </row>
    <row r="6" spans="1:14" x14ac:dyDescent="0.25">
      <c r="A6" t="s">
        <v>13</v>
      </c>
      <c r="B6">
        <v>1985</v>
      </c>
      <c r="C6">
        <v>5</v>
      </c>
      <c r="D6">
        <v>5</v>
      </c>
      <c r="E6">
        <v>0.7</v>
      </c>
      <c r="F6">
        <v>61.88</v>
      </c>
      <c r="G6">
        <v>30.02</v>
      </c>
      <c r="H6">
        <v>93.74</v>
      </c>
      <c r="I6">
        <v>16.255102040000001</v>
      </c>
      <c r="J6">
        <v>25.701573020000001</v>
      </c>
      <c r="K6">
        <f t="shared" si="2"/>
        <v>2.4076347370585958</v>
      </c>
      <c r="L6">
        <f t="shared" si="0"/>
        <v>0.90322580645161288</v>
      </c>
      <c r="M6">
        <f t="shared" si="1"/>
        <v>2.1746378270206672</v>
      </c>
      <c r="N6">
        <f>L6*I6/J6</f>
        <v>0.5712501580197934</v>
      </c>
    </row>
    <row r="7" spans="1:14" x14ac:dyDescent="0.25">
      <c r="A7" t="s">
        <v>14</v>
      </c>
      <c r="B7">
        <v>1987</v>
      </c>
      <c r="C7">
        <v>9</v>
      </c>
      <c r="D7">
        <v>9</v>
      </c>
      <c r="E7">
        <v>1.4</v>
      </c>
      <c r="F7">
        <v>-88.4</v>
      </c>
      <c r="G7">
        <v>-254.01</v>
      </c>
      <c r="H7">
        <v>77.209999999999994</v>
      </c>
      <c r="I7">
        <v>84.494897960000003</v>
      </c>
      <c r="J7">
        <v>179.240746</v>
      </c>
      <c r="K7">
        <f t="shared" si="2"/>
        <v>-0.49319143092609091</v>
      </c>
      <c r="L7">
        <f t="shared" si="0"/>
        <v>0.95238095238095233</v>
      </c>
      <c r="M7">
        <f t="shared" si="1"/>
        <v>-0.46970612469151513</v>
      </c>
      <c r="N7">
        <f>L7*I7/J7</f>
        <v>0.44895668639136432</v>
      </c>
    </row>
    <row r="8" spans="1:14" x14ac:dyDescent="0.25">
      <c r="A8" t="s">
        <v>15</v>
      </c>
      <c r="B8">
        <v>1988</v>
      </c>
      <c r="C8">
        <v>6</v>
      </c>
      <c r="D8">
        <v>6</v>
      </c>
      <c r="E8">
        <v>0.1</v>
      </c>
      <c r="F8">
        <v>260</v>
      </c>
      <c r="G8">
        <v>-507.07</v>
      </c>
      <c r="H8">
        <v>1027.07</v>
      </c>
      <c r="I8">
        <v>391.36224490000001</v>
      </c>
      <c r="J8">
        <v>677.85929229999999</v>
      </c>
      <c r="K8">
        <f t="shared" si="2"/>
        <v>0.38356042758934678</v>
      </c>
      <c r="L8">
        <f t="shared" si="0"/>
        <v>0.92307692307692313</v>
      </c>
      <c r="M8">
        <f t="shared" si="1"/>
        <v>0.35405577931324322</v>
      </c>
      <c r="N8">
        <f>L8*I8/J8</f>
        <v>0.53293871004557636</v>
      </c>
    </row>
    <row r="9" spans="1:14" x14ac:dyDescent="0.25">
      <c r="A9" t="s">
        <v>16</v>
      </c>
      <c r="B9">
        <v>1989</v>
      </c>
      <c r="C9">
        <v>10</v>
      </c>
      <c r="D9">
        <v>10</v>
      </c>
      <c r="E9">
        <v>2.4</v>
      </c>
      <c r="F9">
        <v>-7.63</v>
      </c>
      <c r="G9">
        <v>-35.49</v>
      </c>
      <c r="H9">
        <v>20.23</v>
      </c>
      <c r="I9">
        <v>14.21428571</v>
      </c>
      <c r="J9">
        <v>31.784109099999998</v>
      </c>
      <c r="K9">
        <f t="shared" si="2"/>
        <v>-0.24005706675604133</v>
      </c>
      <c r="L9">
        <f t="shared" si="0"/>
        <v>0.95774647887323949</v>
      </c>
      <c r="M9">
        <f t="shared" si="1"/>
        <v>-0.22991381041423678</v>
      </c>
      <c r="N9">
        <f>L9*I9/J9</f>
        <v>0.42831724638305829</v>
      </c>
    </row>
    <row r="10" spans="1:14" x14ac:dyDescent="0.25">
      <c r="A10" t="s">
        <v>17</v>
      </c>
      <c r="B10">
        <v>1996</v>
      </c>
      <c r="C10">
        <v>16</v>
      </c>
      <c r="D10">
        <v>16</v>
      </c>
      <c r="E10">
        <v>5.2</v>
      </c>
      <c r="F10">
        <v>17.68</v>
      </c>
      <c r="G10">
        <v>-62.97</v>
      </c>
      <c r="H10">
        <v>98.33</v>
      </c>
      <c r="I10">
        <v>41.147959180000001</v>
      </c>
      <c r="J10">
        <v>116.3840039</v>
      </c>
      <c r="K10">
        <f t="shared" si="2"/>
        <v>0.15191091049927352</v>
      </c>
      <c r="L10">
        <f t="shared" si="0"/>
        <v>0.97478991596638653</v>
      </c>
      <c r="M10">
        <f t="shared" si="1"/>
        <v>0.1480812236799641</v>
      </c>
      <c r="N10">
        <f>L10*I10/J10</f>
        <v>0.34464027982509121</v>
      </c>
    </row>
    <row r="11" spans="1:14" x14ac:dyDescent="0.25">
      <c r="A11" t="s">
        <v>18</v>
      </c>
      <c r="B11">
        <v>2006</v>
      </c>
      <c r="C11">
        <v>9</v>
      </c>
      <c r="D11">
        <v>9</v>
      </c>
      <c r="E11">
        <v>1.6</v>
      </c>
      <c r="F11">
        <v>18</v>
      </c>
      <c r="G11">
        <v>-133.84</v>
      </c>
      <c r="H11">
        <v>169.84</v>
      </c>
      <c r="I11">
        <v>77.469387760000004</v>
      </c>
      <c r="J11">
        <v>164.33738829999999</v>
      </c>
      <c r="K11">
        <f t="shared" si="2"/>
        <v>0.10953076586041864</v>
      </c>
      <c r="L11">
        <f t="shared" si="0"/>
        <v>0.95238095238095233</v>
      </c>
      <c r="M11">
        <f t="shared" si="1"/>
        <v>0.1043150151051606</v>
      </c>
      <c r="N11">
        <f>L11*I11/J11</f>
        <v>0.44895668635399688</v>
      </c>
    </row>
    <row r="12" spans="1:14" x14ac:dyDescent="0.25">
      <c r="A12" t="s">
        <v>19</v>
      </c>
      <c r="B12">
        <v>2010</v>
      </c>
      <c r="C12">
        <v>22</v>
      </c>
      <c r="D12">
        <v>22</v>
      </c>
      <c r="E12">
        <v>14.4</v>
      </c>
      <c r="F12">
        <v>28.29</v>
      </c>
      <c r="G12">
        <v>-13.61</v>
      </c>
      <c r="H12">
        <v>70.19</v>
      </c>
      <c r="I12">
        <v>21.377551019999999</v>
      </c>
      <c r="J12">
        <v>70.901315670000002</v>
      </c>
      <c r="K12">
        <f t="shared" si="2"/>
        <v>0.39900528971382904</v>
      </c>
      <c r="L12">
        <f t="shared" si="0"/>
        <v>0.98203592814371254</v>
      </c>
      <c r="M12">
        <f t="shared" si="1"/>
        <v>0.39183753001837102</v>
      </c>
      <c r="N12">
        <f>L12*I12/J12</f>
        <v>0.29609497311836369</v>
      </c>
    </row>
    <row r="13" spans="1:14" x14ac:dyDescent="0.25">
      <c r="A13" t="s">
        <v>20</v>
      </c>
      <c r="B13">
        <v>2013</v>
      </c>
      <c r="C13">
        <v>13</v>
      </c>
      <c r="D13">
        <v>13</v>
      </c>
      <c r="E13">
        <v>25.9</v>
      </c>
      <c r="F13">
        <v>26</v>
      </c>
      <c r="G13">
        <v>2.73</v>
      </c>
      <c r="H13">
        <v>49.27</v>
      </c>
      <c r="I13">
        <v>11.87244898</v>
      </c>
      <c r="J13">
        <v>30.268924510000002</v>
      </c>
      <c r="K13">
        <f t="shared" si="2"/>
        <v>0.85896675950314427</v>
      </c>
      <c r="L13">
        <f t="shared" si="0"/>
        <v>0.96842105263157896</v>
      </c>
      <c r="M13">
        <f t="shared" si="1"/>
        <v>0.83184149341357128</v>
      </c>
      <c r="N13">
        <f>L13*I13/J13</f>
        <v>0.37984598807690889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chiavaroli_fiber_crc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2025-10-18T17:58:26Z</dcterms:created>
  <dcterms:modified xsi:type="dcterms:W3CDTF">2025-12-30T01:02:01Z</dcterms:modified>
</cp:coreProperties>
</file>