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chiavaroli2015\"/>
    </mc:Choice>
  </mc:AlternateContent>
  <xr:revisionPtr revIDLastSave="0" documentId="13_ncr:1_{5F4F2F2D-699B-4D65-B328-63EE6947CAA3}" xr6:coauthVersionLast="47" xr6:coauthVersionMax="47" xr10:uidLastSave="{00000000-0000-0000-0000-000000000000}"/>
  <bookViews>
    <workbookView xWindow="52800" yWindow="2940" windowWidth="14400" windowHeight="16200" xr2:uid="{80D7886B-E63B-44D0-9C49-B4F472DDB61A}"/>
  </bookViews>
  <sheets>
    <sheet name="chiavaroli_fiber_su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2" i="1"/>
  <c r="L3" i="1"/>
  <c r="L4" i="1"/>
  <c r="L5" i="1"/>
  <c r="L6" i="1"/>
  <c r="L7" i="1"/>
  <c r="L8" i="1"/>
  <c r="M8" i="1" s="1"/>
  <c r="L9" i="1"/>
  <c r="M9" i="1" s="1"/>
  <c r="L10" i="1"/>
  <c r="M10" i="1" s="1"/>
  <c r="L11" i="1"/>
  <c r="L12" i="1"/>
  <c r="M12" i="1" s="1"/>
  <c r="L13" i="1"/>
  <c r="L14" i="1"/>
  <c r="L2" i="1"/>
  <c r="K3" i="1"/>
  <c r="K4" i="1"/>
  <c r="K5" i="1"/>
  <c r="M5" i="1" s="1"/>
  <c r="K6" i="1"/>
  <c r="M6" i="1" s="1"/>
  <c r="K7" i="1"/>
  <c r="K8" i="1"/>
  <c r="K9" i="1"/>
  <c r="K10" i="1"/>
  <c r="K11" i="1"/>
  <c r="K12" i="1"/>
  <c r="K13" i="1"/>
  <c r="K14" i="1"/>
  <c r="M2" i="1"/>
  <c r="K2" i="1"/>
  <c r="M11" i="1" l="1"/>
  <c r="M4" i="1"/>
  <c r="M3" i="1"/>
  <c r="M7" i="1"/>
  <c r="M14" i="1"/>
  <c r="M13" i="1"/>
</calcChain>
</file>

<file path=xl/sharedStrings.xml><?xml version="1.0" encoding="utf-8"?>
<sst xmlns="http://schemas.openxmlformats.org/spreadsheetml/2006/main" count="27" uniqueCount="26">
  <si>
    <t>Author</t>
  </si>
  <si>
    <t>Fiber</t>
  </si>
  <si>
    <t>Control</t>
  </si>
  <si>
    <t>Weight</t>
  </si>
  <si>
    <t>ES</t>
  </si>
  <si>
    <t>CI_lower</t>
  </si>
  <si>
    <t>CI_upper</t>
  </si>
  <si>
    <t>SE</t>
  </si>
  <si>
    <t>Year</t>
  </si>
  <si>
    <t>pooled_sd</t>
  </si>
  <si>
    <t>Yatzid</t>
  </si>
  <si>
    <t>Yatzidis</t>
  </si>
  <si>
    <t>Miyazaki</t>
  </si>
  <si>
    <t>Ramptor</t>
  </si>
  <si>
    <t>Rivellese</t>
  </si>
  <si>
    <t>Burgess</t>
  </si>
  <si>
    <t>Parillo</t>
  </si>
  <si>
    <t>Miura</t>
  </si>
  <si>
    <t>Bliss</t>
  </si>
  <si>
    <t>Younes</t>
  </si>
  <si>
    <t>Meijiers</t>
  </si>
  <si>
    <t>Salmean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</si>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</sst>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592B-C68A-4219-9B2E-7E59F79BF3EE}">
  <dimension ref="A1:N14"/>
  <sheetViews>
    <sheetView tabSelected="1" workbookViewId="0">
      <selection activeCell="C9" sqref="C9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23</v>
      </c>
      <c r="M1" t="s">
        <v>24</v>
      </c>
      <c r="N1" t="s">
        <v>25</v>
      </c>
    </row>
    <row r="2" spans="1:14" x14ac:dyDescent="0.25">
      <c r="A2" t="s">
        <v>10</v>
      </c>
      <c r="B2">
        <v>3</v>
      </c>
      <c r="C2">
        <v>3</v>
      </c>
      <c r="D2" s="1">
        <v>6.7000000000000004E-2</v>
      </c>
      <c r="E2">
        <v>5.93</v>
      </c>
      <c r="F2">
        <v>2.65</v>
      </c>
      <c r="G2">
        <v>9.2100000000000009</v>
      </c>
      <c r="H2">
        <v>1.673469388</v>
      </c>
      <c r="I2">
        <v>1980</v>
      </c>
      <c r="J2">
        <v>2.0495730499999998</v>
      </c>
      <c r="K2">
        <f>E2/J2</f>
        <v>2.8932855064619436</v>
      </c>
      <c r="L2">
        <f t="shared" ref="L2:L14" si="0">1-3/(4*(B2+C2-2)-1)</f>
        <v>0.8</v>
      </c>
      <c r="M2">
        <f t="shared" ref="M2:M14" si="1">L2*K2</f>
        <v>2.3146284051695551</v>
      </c>
      <c r="N2">
        <f>L2*H2/J2</f>
        <v>0.65319726486450447</v>
      </c>
    </row>
    <row r="3" spans="1:14" x14ac:dyDescent="0.25">
      <c r="A3" t="s">
        <v>11</v>
      </c>
      <c r="B3">
        <v>3</v>
      </c>
      <c r="C3">
        <v>3</v>
      </c>
      <c r="D3" s="1">
        <v>2.1000000000000001E-2</v>
      </c>
      <c r="E3">
        <v>4.53</v>
      </c>
      <c r="F3">
        <v>-3.25</v>
      </c>
      <c r="G3">
        <v>12.31</v>
      </c>
      <c r="H3">
        <v>3.9693877550000001</v>
      </c>
      <c r="I3">
        <v>1980</v>
      </c>
      <c r="J3">
        <v>4.861487296</v>
      </c>
      <c r="K3">
        <f t="shared" ref="K3:K14" si="2">E3/J3</f>
        <v>0.93181360439371197</v>
      </c>
      <c r="L3">
        <f t="shared" si="0"/>
        <v>0.8</v>
      </c>
      <c r="M3">
        <f t="shared" si="1"/>
        <v>0.74545088351496958</v>
      </c>
      <c r="N3">
        <f>L3*H3/J3</f>
        <v>0.65319726467511063</v>
      </c>
    </row>
    <row r="4" spans="1:14" x14ac:dyDescent="0.25">
      <c r="A4" t="s">
        <v>12</v>
      </c>
      <c r="B4">
        <v>15</v>
      </c>
      <c r="C4">
        <v>15</v>
      </c>
      <c r="D4" s="1">
        <v>8.1000000000000003E-2</v>
      </c>
      <c r="E4">
        <v>2.4300000000000002</v>
      </c>
      <c r="F4">
        <v>-0.18</v>
      </c>
      <c r="G4">
        <v>5.04</v>
      </c>
      <c r="H4">
        <v>1.331632653</v>
      </c>
      <c r="I4">
        <v>1984</v>
      </c>
      <c r="J4">
        <v>3.6468262120000001</v>
      </c>
      <c r="K4">
        <f t="shared" si="2"/>
        <v>0.66633282167491459</v>
      </c>
      <c r="L4">
        <f t="shared" si="0"/>
        <v>0.97297297297297303</v>
      </c>
      <c r="M4">
        <f t="shared" si="1"/>
        <v>0.64832382649451148</v>
      </c>
      <c r="N4">
        <f>L4*H4/J4</f>
        <v>0.35527949673991688</v>
      </c>
    </row>
    <row r="5" spans="1:14" x14ac:dyDescent="0.25">
      <c r="A5" t="s">
        <v>13</v>
      </c>
      <c r="B5">
        <v>9</v>
      </c>
      <c r="C5">
        <v>9</v>
      </c>
      <c r="D5" s="1">
        <v>3.3000000000000002E-2</v>
      </c>
      <c r="E5">
        <v>7</v>
      </c>
      <c r="F5">
        <v>1.08</v>
      </c>
      <c r="G5">
        <v>12.92</v>
      </c>
      <c r="H5">
        <v>3.0204081629999999</v>
      </c>
      <c r="I5">
        <v>1984</v>
      </c>
      <c r="J5">
        <v>6.4072532820000001</v>
      </c>
      <c r="K5">
        <f t="shared" si="2"/>
        <v>1.0925118286903395</v>
      </c>
      <c r="L5">
        <f t="shared" si="0"/>
        <v>0.95238095238095233</v>
      </c>
      <c r="M5">
        <f t="shared" si="1"/>
        <v>1.0404874558955612</v>
      </c>
      <c r="N5">
        <f>L5*H5/J5</f>
        <v>0.44895668646943659</v>
      </c>
    </row>
    <row r="6" spans="1:14" x14ac:dyDescent="0.25">
      <c r="A6" t="s">
        <v>13</v>
      </c>
      <c r="B6">
        <v>3</v>
      </c>
      <c r="C6">
        <v>3</v>
      </c>
      <c r="D6" s="1">
        <v>8.8999999999999996E-2</v>
      </c>
      <c r="E6">
        <v>5</v>
      </c>
      <c r="F6">
        <v>2.75</v>
      </c>
      <c r="G6">
        <v>7.25</v>
      </c>
      <c r="H6">
        <v>1.1479591840000001</v>
      </c>
      <c r="I6">
        <v>1984</v>
      </c>
      <c r="J6">
        <v>1.4059571230000001</v>
      </c>
      <c r="K6">
        <f t="shared" si="2"/>
        <v>3.5562962185725202</v>
      </c>
      <c r="L6">
        <f t="shared" si="0"/>
        <v>0.8</v>
      </c>
      <c r="M6">
        <f t="shared" si="1"/>
        <v>2.8450369748580164</v>
      </c>
      <c r="N6">
        <f>L6*H6/J6</f>
        <v>0.65319726482156748</v>
      </c>
    </row>
    <row r="7" spans="1:14" x14ac:dyDescent="0.25">
      <c r="A7" t="s">
        <v>14</v>
      </c>
      <c r="B7">
        <v>5</v>
      </c>
      <c r="C7">
        <v>5</v>
      </c>
      <c r="D7" s="1">
        <v>4.5999999999999999E-2</v>
      </c>
      <c r="E7">
        <v>4.28</v>
      </c>
      <c r="F7">
        <v>-0.3</v>
      </c>
      <c r="G7">
        <v>8.8699999999999992</v>
      </c>
      <c r="H7">
        <v>2.3392857139999998</v>
      </c>
      <c r="I7">
        <v>1985</v>
      </c>
      <c r="J7">
        <v>3.698735477</v>
      </c>
      <c r="K7">
        <f t="shared" si="2"/>
        <v>1.1571522285425657</v>
      </c>
      <c r="L7">
        <f t="shared" si="0"/>
        <v>0.90322580645161288</v>
      </c>
      <c r="M7">
        <f t="shared" si="1"/>
        <v>1.04516975481264</v>
      </c>
      <c r="N7">
        <f>L7*H7/J7</f>
        <v>0.5712501579761895</v>
      </c>
    </row>
    <row r="8" spans="1:14" x14ac:dyDescent="0.25">
      <c r="A8" t="s">
        <v>15</v>
      </c>
      <c r="B8">
        <v>9</v>
      </c>
      <c r="C8">
        <v>9</v>
      </c>
      <c r="D8" s="1">
        <v>6.6000000000000003E-2</v>
      </c>
      <c r="E8">
        <v>-3.93</v>
      </c>
      <c r="F8">
        <v>-7.3</v>
      </c>
      <c r="G8">
        <v>-0.56000000000000005</v>
      </c>
      <c r="H8">
        <v>1.7193877550000001</v>
      </c>
      <c r="I8">
        <v>1987</v>
      </c>
      <c r="J8">
        <v>3.6473722230000001</v>
      </c>
      <c r="K8">
        <f t="shared" si="2"/>
        <v>-1.0774880543361534</v>
      </c>
      <c r="L8">
        <f t="shared" si="0"/>
        <v>0.95238095238095233</v>
      </c>
      <c r="M8">
        <f t="shared" si="1"/>
        <v>-1.0261790993677651</v>
      </c>
      <c r="N8">
        <f>L8*H8/J8</f>
        <v>0.44895668648597026</v>
      </c>
    </row>
    <row r="9" spans="1:14" x14ac:dyDescent="0.25">
      <c r="A9" t="s">
        <v>16</v>
      </c>
      <c r="B9">
        <v>6</v>
      </c>
      <c r="C9">
        <v>6</v>
      </c>
      <c r="D9" s="1">
        <v>0.11700000000000001</v>
      </c>
      <c r="E9">
        <v>-2.1</v>
      </c>
      <c r="F9">
        <v>-3.11</v>
      </c>
      <c r="G9">
        <v>-1.0900000000000001</v>
      </c>
      <c r="H9">
        <v>0.51530612200000003</v>
      </c>
      <c r="I9">
        <v>1988</v>
      </c>
      <c r="J9">
        <v>0.89253638499999999</v>
      </c>
      <c r="K9">
        <f t="shared" si="2"/>
        <v>-2.3528452568351037</v>
      </c>
      <c r="L9">
        <f t="shared" si="0"/>
        <v>0.92307692307692313</v>
      </c>
      <c r="M9">
        <f t="shared" si="1"/>
        <v>-2.1718571601554806</v>
      </c>
      <c r="N9">
        <f>L9*H9/J9</f>
        <v>0.53293870987507319</v>
      </c>
    </row>
    <row r="10" spans="1:14" x14ac:dyDescent="0.25">
      <c r="A10" t="s">
        <v>17</v>
      </c>
      <c r="B10">
        <v>10</v>
      </c>
      <c r="C10">
        <v>10</v>
      </c>
      <c r="D10" s="1">
        <v>0.11899999999999999</v>
      </c>
      <c r="E10">
        <v>0</v>
      </c>
      <c r="F10">
        <v>-0.85</v>
      </c>
      <c r="G10">
        <v>0.85</v>
      </c>
      <c r="H10">
        <v>0.43367346899999998</v>
      </c>
      <c r="I10">
        <v>1989</v>
      </c>
      <c r="J10">
        <v>0.96972335700000001</v>
      </c>
      <c r="K10">
        <f t="shared" si="2"/>
        <v>0</v>
      </c>
      <c r="L10">
        <f t="shared" si="0"/>
        <v>0.95774647887323949</v>
      </c>
      <c r="M10">
        <f t="shared" si="1"/>
        <v>0</v>
      </c>
      <c r="N10">
        <f>L10*H10/J10</f>
        <v>0.42831724627160128</v>
      </c>
    </row>
    <row r="11" spans="1:14" x14ac:dyDescent="0.25">
      <c r="A11" t="s">
        <v>18</v>
      </c>
      <c r="B11">
        <v>16</v>
      </c>
      <c r="C11">
        <v>16</v>
      </c>
      <c r="D11" s="1">
        <v>7.8E-2</v>
      </c>
      <c r="E11">
        <v>3</v>
      </c>
      <c r="F11">
        <v>0.26</v>
      </c>
      <c r="G11">
        <v>5.74</v>
      </c>
      <c r="H11">
        <v>1.3979591840000001</v>
      </c>
      <c r="I11">
        <v>1996</v>
      </c>
      <c r="J11">
        <v>3.954025675</v>
      </c>
      <c r="K11">
        <f t="shared" si="2"/>
        <v>0.75872041473276475</v>
      </c>
      <c r="L11">
        <f t="shared" si="0"/>
        <v>0.97478991596638653</v>
      </c>
      <c r="M11">
        <f t="shared" si="1"/>
        <v>0.73959300931933369</v>
      </c>
      <c r="N11">
        <f>L11*H11/J11</f>
        <v>0.3446402799333867</v>
      </c>
    </row>
    <row r="12" spans="1:14" x14ac:dyDescent="0.25">
      <c r="A12" t="s">
        <v>19</v>
      </c>
      <c r="B12">
        <v>9</v>
      </c>
      <c r="C12">
        <v>9</v>
      </c>
      <c r="D12" s="1">
        <v>4.2000000000000003E-2</v>
      </c>
      <c r="E12">
        <v>5.9</v>
      </c>
      <c r="F12">
        <v>0.91</v>
      </c>
      <c r="G12">
        <v>10.89</v>
      </c>
      <c r="H12">
        <v>2.5459183670000001</v>
      </c>
      <c r="I12">
        <v>2006</v>
      </c>
      <c r="J12">
        <v>5.4007084250000004</v>
      </c>
      <c r="K12">
        <f t="shared" si="2"/>
        <v>1.0924492743745928</v>
      </c>
      <c r="L12">
        <f t="shared" si="0"/>
        <v>0.95238095238095233</v>
      </c>
      <c r="M12">
        <f t="shared" si="1"/>
        <v>1.040427880356755</v>
      </c>
      <c r="N12">
        <f>L12*H12/J12</f>
        <v>0.44895668646426123</v>
      </c>
    </row>
    <row r="13" spans="1:14" x14ac:dyDescent="0.25">
      <c r="A13" t="s">
        <v>20</v>
      </c>
      <c r="B13">
        <v>22</v>
      </c>
      <c r="C13">
        <v>22</v>
      </c>
      <c r="D13" s="1">
        <v>0.11700000000000001</v>
      </c>
      <c r="E13">
        <v>1.18</v>
      </c>
      <c r="F13">
        <v>0.19</v>
      </c>
      <c r="G13">
        <v>2.17</v>
      </c>
      <c r="H13">
        <v>0.505102041</v>
      </c>
      <c r="I13">
        <v>2010</v>
      </c>
      <c r="J13">
        <v>1.6752339510000001</v>
      </c>
      <c r="K13">
        <f t="shared" si="2"/>
        <v>0.7043792297163155</v>
      </c>
      <c r="L13">
        <f t="shared" si="0"/>
        <v>0.98203592814371254</v>
      </c>
      <c r="M13">
        <f t="shared" si="1"/>
        <v>0.69172571061961519</v>
      </c>
      <c r="N13">
        <f>L13*H13/J13</f>
        <v>0.29609497308995175</v>
      </c>
    </row>
    <row r="14" spans="1:14" x14ac:dyDescent="0.25">
      <c r="A14" t="s">
        <v>21</v>
      </c>
      <c r="B14">
        <v>13</v>
      </c>
      <c r="C14">
        <v>13</v>
      </c>
      <c r="D14" s="1">
        <v>0.123</v>
      </c>
      <c r="E14">
        <v>0.61</v>
      </c>
      <c r="F14">
        <v>0.06</v>
      </c>
      <c r="G14">
        <v>1.1499999999999999</v>
      </c>
      <c r="H14">
        <v>0.278061224</v>
      </c>
      <c r="I14">
        <v>2013</v>
      </c>
      <c r="J14">
        <v>0.70891980399999999</v>
      </c>
      <c r="K14">
        <f t="shared" si="2"/>
        <v>0.86046404199479809</v>
      </c>
      <c r="L14">
        <f t="shared" si="0"/>
        <v>0.96842105263157896</v>
      </c>
      <c r="M14">
        <f t="shared" si="1"/>
        <v>0.83329149330022556</v>
      </c>
      <c r="N14">
        <f>L14*H14/J14</f>
        <v>0.37984598782925982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chiavaroli_fiber_suc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2025-10-18T17:34:05Z</dcterms:created>
  <dcterms:modified xsi:type="dcterms:W3CDTF">2025-12-30T01:01:27Z</dcterms:modified>
</cp:coreProperties>
</file>