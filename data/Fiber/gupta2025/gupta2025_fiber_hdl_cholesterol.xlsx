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gupta2025\"/>
    </mc:Choice>
  </mc:AlternateContent>
  <xr:revisionPtr revIDLastSave="0" documentId="13_ncr:1_{F3DE0D84-334C-4091-9655-AB00FBD1F8F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I12" i="1"/>
  <c r="J12" i="1" s="1"/>
  <c r="K12" i="1" s="1"/>
  <c r="L12" i="1"/>
  <c r="I13" i="1"/>
  <c r="J13" i="1" s="1"/>
  <c r="K13" i="1" s="1"/>
  <c r="M13" i="1" s="1"/>
  <c r="L13" i="1"/>
  <c r="I14" i="1"/>
  <c r="J14" i="1" s="1"/>
  <c r="K14" i="1" s="1"/>
  <c r="L14" i="1"/>
  <c r="M14" i="1" s="1"/>
  <c r="I15" i="1"/>
  <c r="J15" i="1" s="1"/>
  <c r="K15" i="1" s="1"/>
  <c r="L15" i="1"/>
  <c r="I16" i="1"/>
  <c r="J16" i="1" s="1"/>
  <c r="K16" i="1" s="1"/>
  <c r="L16" i="1"/>
  <c r="I17" i="1"/>
  <c r="J17" i="1" s="1"/>
  <c r="K17" i="1" s="1"/>
  <c r="L17" i="1"/>
  <c r="I18" i="1"/>
  <c r="J18" i="1" s="1"/>
  <c r="K18" i="1" s="1"/>
  <c r="L18" i="1"/>
  <c r="I19" i="1"/>
  <c r="J19" i="1" s="1"/>
  <c r="K19" i="1" s="1"/>
  <c r="M19" i="1" s="1"/>
  <c r="L19" i="1"/>
  <c r="I20" i="1"/>
  <c r="J20" i="1" s="1"/>
  <c r="K20" i="1" s="1"/>
  <c r="L20" i="1"/>
  <c r="M20" i="1" s="1"/>
  <c r="I21" i="1"/>
  <c r="J21" i="1" s="1"/>
  <c r="K21" i="1" s="1"/>
  <c r="M21" i="1" s="1"/>
  <c r="L21" i="1"/>
  <c r="I22" i="1"/>
  <c r="J22" i="1" s="1"/>
  <c r="K22" i="1" s="1"/>
  <c r="L22" i="1"/>
  <c r="I23" i="1"/>
  <c r="J23" i="1" s="1"/>
  <c r="K23" i="1" s="1"/>
  <c r="L23" i="1"/>
  <c r="I24" i="1"/>
  <c r="J24" i="1" s="1"/>
  <c r="K24" i="1" s="1"/>
  <c r="L24" i="1"/>
  <c r="I25" i="1"/>
  <c r="J25" i="1" s="1"/>
  <c r="K25" i="1" s="1"/>
  <c r="M25" i="1" s="1"/>
  <c r="L25" i="1"/>
  <c r="I26" i="1"/>
  <c r="J26" i="1" s="1"/>
  <c r="K26" i="1" s="1"/>
  <c r="L26" i="1"/>
  <c r="M26" i="1" s="1"/>
  <c r="I27" i="1"/>
  <c r="J27" i="1" s="1"/>
  <c r="K27" i="1" s="1"/>
  <c r="M27" i="1" s="1"/>
  <c r="L27" i="1"/>
  <c r="I28" i="1"/>
  <c r="J28" i="1" s="1"/>
  <c r="K28" i="1" s="1"/>
  <c r="L28" i="1"/>
  <c r="I29" i="1"/>
  <c r="J29" i="1" s="1"/>
  <c r="K29" i="1" s="1"/>
  <c r="L29" i="1"/>
  <c r="I30" i="1"/>
  <c r="J30" i="1" s="1"/>
  <c r="K30" i="1" s="1"/>
  <c r="L30" i="1"/>
  <c r="I31" i="1"/>
  <c r="J31" i="1" s="1"/>
  <c r="K31" i="1" s="1"/>
  <c r="M31" i="1" s="1"/>
  <c r="L31" i="1"/>
  <c r="I32" i="1"/>
  <c r="J32" i="1" s="1"/>
  <c r="K32" i="1" s="1"/>
  <c r="L32" i="1"/>
  <c r="M32" i="1" s="1"/>
  <c r="I33" i="1"/>
  <c r="J33" i="1" s="1"/>
  <c r="K33" i="1" s="1"/>
  <c r="M33" i="1" s="1"/>
  <c r="L33" i="1"/>
  <c r="I34" i="1"/>
  <c r="J34" i="1" s="1"/>
  <c r="K34" i="1" s="1"/>
  <c r="L34" i="1"/>
  <c r="I35" i="1"/>
  <c r="J35" i="1" s="1"/>
  <c r="K35" i="1" s="1"/>
  <c r="L35" i="1"/>
  <c r="L11" i="1"/>
  <c r="I11" i="1"/>
  <c r="J11" i="1" s="1"/>
  <c r="K11" i="1" s="1"/>
  <c r="I3" i="1"/>
  <c r="J3" i="1" s="1"/>
  <c r="K3" i="1" s="1"/>
  <c r="L3" i="1"/>
  <c r="I4" i="1"/>
  <c r="J4" i="1" s="1"/>
  <c r="K4" i="1" s="1"/>
  <c r="L4" i="1"/>
  <c r="I5" i="1"/>
  <c r="J5" i="1" s="1"/>
  <c r="K5" i="1" s="1"/>
  <c r="L5" i="1"/>
  <c r="I6" i="1"/>
  <c r="J6" i="1" s="1"/>
  <c r="K6" i="1" s="1"/>
  <c r="M6" i="1" s="1"/>
  <c r="L6" i="1"/>
  <c r="I7" i="1"/>
  <c r="J7" i="1" s="1"/>
  <c r="K7" i="1" s="1"/>
  <c r="L7" i="1"/>
  <c r="I8" i="1"/>
  <c r="J8" i="1" s="1"/>
  <c r="K8" i="1" s="1"/>
  <c r="L8" i="1"/>
  <c r="I9" i="1"/>
  <c r="J9" i="1" s="1"/>
  <c r="K9" i="1" s="1"/>
  <c r="L9" i="1"/>
  <c r="I10" i="1"/>
  <c r="J10" i="1" s="1"/>
  <c r="K10" i="1" s="1"/>
  <c r="L10" i="1"/>
  <c r="L2" i="1"/>
  <c r="I2" i="1"/>
  <c r="J2" i="1" s="1"/>
  <c r="M35" i="1" l="1"/>
  <c r="M29" i="1"/>
  <c r="M23" i="1"/>
  <c r="M17" i="1"/>
  <c r="M15" i="1"/>
  <c r="M34" i="1"/>
  <c r="M28" i="1"/>
  <c r="M22" i="1"/>
  <c r="M16" i="1"/>
  <c r="M30" i="1"/>
  <c r="M24" i="1"/>
  <c r="M18" i="1"/>
  <c r="M12" i="1"/>
  <c r="M11" i="1"/>
  <c r="M7" i="1"/>
  <c r="M10" i="1"/>
  <c r="M5" i="1"/>
  <c r="M4" i="1"/>
  <c r="M9" i="1"/>
  <c r="M3" i="1"/>
  <c r="M8" i="1"/>
  <c r="K2" i="1"/>
  <c r="M2" i="1" s="1"/>
</calcChain>
</file>

<file path=xl/sharedStrings.xml><?xml version="1.0" encoding="utf-8"?>
<sst xmlns="http://schemas.openxmlformats.org/spreadsheetml/2006/main" count="82" uniqueCount="48">
  <si>
    <t>Author</t>
  </si>
  <si>
    <t>Year</t>
  </si>
  <si>
    <t>n</t>
  </si>
  <si>
    <t>design</t>
  </si>
  <si>
    <t>McIvor</t>
  </si>
  <si>
    <t>p</t>
  </si>
  <si>
    <t>Fuessl</t>
  </si>
  <si>
    <t>c</t>
  </si>
  <si>
    <t>Peterson</t>
  </si>
  <si>
    <t>Uusitupa</t>
  </si>
  <si>
    <t>Lalor</t>
  </si>
  <si>
    <t>Groop</t>
  </si>
  <si>
    <t>Rodriguez</t>
  </si>
  <si>
    <t>Vuksan</t>
  </si>
  <si>
    <t>Luo</t>
  </si>
  <si>
    <t>Chen</t>
  </si>
  <si>
    <t>Maeda</t>
  </si>
  <si>
    <t>Ziai</t>
  </si>
  <si>
    <t>Chearskul</t>
  </si>
  <si>
    <t>Sartore</t>
  </si>
  <si>
    <t>Liatis</t>
  </si>
  <si>
    <t>Cugnet</t>
  </si>
  <si>
    <t>Bonsu</t>
  </si>
  <si>
    <t>Ma</t>
  </si>
  <si>
    <t>Dehghan</t>
  </si>
  <si>
    <t>Aliasgaharzadeh</t>
  </si>
  <si>
    <t>Gargari</t>
  </si>
  <si>
    <t>Li</t>
  </si>
  <si>
    <t>Gonai</t>
  </si>
  <si>
    <t>Cai</t>
  </si>
  <si>
    <t>Soltanian</t>
  </si>
  <si>
    <t>Babiker</t>
  </si>
  <si>
    <t>Saki</t>
  </si>
  <si>
    <t>Ghavami</t>
  </si>
  <si>
    <t>Abbasalizad-Farhangi</t>
  </si>
  <si>
    <t>Rashid</t>
  </si>
  <si>
    <t>Reimer</t>
  </si>
  <si>
    <t>Dall Alba</t>
  </si>
  <si>
    <t>weight</t>
  </si>
  <si>
    <t>wmd</t>
  </si>
  <si>
    <t>lCI</t>
  </si>
  <si>
    <t>uCI</t>
  </si>
  <si>
    <t>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</si>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</sst>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N13" sqref="N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25">
      <c r="A2" t="s">
        <v>6</v>
      </c>
      <c r="B2">
        <v>1987</v>
      </c>
      <c r="C2">
        <v>18</v>
      </c>
      <c r="D2" t="s">
        <v>7</v>
      </c>
      <c r="E2">
        <v>1.1599999999999999</v>
      </c>
      <c r="F2">
        <v>2.3199999999999998</v>
      </c>
      <c r="G2">
        <v>-4.16</v>
      </c>
      <c r="H2">
        <v>8.8000000000000007</v>
      </c>
      <c r="I2">
        <f t="shared" ref="I2" si="0">(H2-G2)/2/1.96</f>
        <v>3.306122448979592</v>
      </c>
      <c r="J2">
        <f t="shared" ref="J2:J10" si="1">I2*SQRT(C2)</f>
        <v>14.026689618639269</v>
      </c>
      <c r="K2">
        <f>F2/J2</f>
        <v>0.16539896889976691</v>
      </c>
      <c r="L2">
        <f t="shared" ref="L2:L10" si="2">1-3/(4*(C2-1)-1)</f>
        <v>0.95522388059701491</v>
      </c>
      <c r="M2">
        <f t="shared" ref="M2" si="3">L2*K2</f>
        <v>0.15799304491918031</v>
      </c>
      <c r="N2">
        <f>L2*I2/J2</f>
        <v>0.22514842784049277</v>
      </c>
    </row>
    <row r="3" spans="1:14" x14ac:dyDescent="0.25">
      <c r="A3" t="s">
        <v>8</v>
      </c>
      <c r="B3">
        <v>1987</v>
      </c>
      <c r="C3">
        <v>16</v>
      </c>
      <c r="D3" t="s">
        <v>7</v>
      </c>
      <c r="E3">
        <v>0.44</v>
      </c>
      <c r="F3">
        <v>0</v>
      </c>
      <c r="G3">
        <v>-10.72</v>
      </c>
      <c r="H3">
        <v>10.72</v>
      </c>
      <c r="I3">
        <f t="shared" ref="I3:I10" si="4">(H3-G3)/2/1.96</f>
        <v>5.4693877551020416</v>
      </c>
      <c r="J3">
        <f t="shared" si="1"/>
        <v>21.877551020408166</v>
      </c>
      <c r="K3">
        <f t="shared" ref="K3:K11" si="5">F3/J3</f>
        <v>0</v>
      </c>
      <c r="L3">
        <f t="shared" si="2"/>
        <v>0.94915254237288138</v>
      </c>
      <c r="M3">
        <f t="shared" ref="M3:M11" si="6">L3*K3</f>
        <v>0</v>
      </c>
      <c r="N3">
        <f>L3*I3/J3</f>
        <v>0.23728813559322035</v>
      </c>
    </row>
    <row r="4" spans="1:14" x14ac:dyDescent="0.25">
      <c r="A4" t="s">
        <v>10</v>
      </c>
      <c r="B4">
        <v>1990</v>
      </c>
      <c r="C4">
        <v>23</v>
      </c>
      <c r="D4" t="s">
        <v>7</v>
      </c>
      <c r="E4">
        <v>0.88</v>
      </c>
      <c r="F4">
        <v>0.77</v>
      </c>
      <c r="G4">
        <v>-6.75</v>
      </c>
      <c r="H4">
        <v>8.2899999999999991</v>
      </c>
      <c r="I4">
        <f t="shared" si="4"/>
        <v>3.8367346938775508</v>
      </c>
      <c r="J4">
        <f t="shared" si="1"/>
        <v>18.400333191485533</v>
      </c>
      <c r="K4">
        <f t="shared" si="5"/>
        <v>4.1847068310496983E-2</v>
      </c>
      <c r="L4">
        <f t="shared" si="2"/>
        <v>0.96551724137931039</v>
      </c>
      <c r="M4">
        <f t="shared" si="6"/>
        <v>4.0404065954962605E-2</v>
      </c>
      <c r="N4">
        <f>L4*I4/J4</f>
        <v>0.20132426184821015</v>
      </c>
    </row>
    <row r="5" spans="1:14" x14ac:dyDescent="0.25">
      <c r="A5" t="s">
        <v>11</v>
      </c>
      <c r="B5">
        <v>1993</v>
      </c>
      <c r="C5">
        <v>12</v>
      </c>
      <c r="D5" t="s">
        <v>7</v>
      </c>
      <c r="E5">
        <v>0.71</v>
      </c>
      <c r="F5">
        <v>-2.71</v>
      </c>
      <c r="G5">
        <v>-11.1</v>
      </c>
      <c r="H5">
        <v>5.68</v>
      </c>
      <c r="I5">
        <f t="shared" si="4"/>
        <v>4.2806122448979593</v>
      </c>
      <c r="J5">
        <f t="shared" si="1"/>
        <v>14.828475791329469</v>
      </c>
      <c r="K5">
        <f t="shared" si="5"/>
        <v>-0.18275647734371969</v>
      </c>
      <c r="L5">
        <f t="shared" si="2"/>
        <v>0.93023255813953487</v>
      </c>
      <c r="M5">
        <f t="shared" si="6"/>
        <v>-0.17000602543601831</v>
      </c>
      <c r="N5">
        <f>L5*I5/J5</f>
        <v>0.26853500892540738</v>
      </c>
    </row>
    <row r="6" spans="1:14" x14ac:dyDescent="0.25">
      <c r="A6" t="s">
        <v>13</v>
      </c>
      <c r="B6">
        <v>1999</v>
      </c>
      <c r="C6">
        <v>11</v>
      </c>
      <c r="D6" t="s">
        <v>7</v>
      </c>
      <c r="E6">
        <v>0.66</v>
      </c>
      <c r="F6">
        <v>-1.5</v>
      </c>
      <c r="G6">
        <v>-10.28</v>
      </c>
      <c r="H6">
        <v>7.18</v>
      </c>
      <c r="I6">
        <f t="shared" si="4"/>
        <v>4.4540816326530619</v>
      </c>
      <c r="J6">
        <f t="shared" si="1"/>
        <v>14.772517561123799</v>
      </c>
      <c r="K6">
        <f t="shared" si="5"/>
        <v>-0.1015399029849513</v>
      </c>
      <c r="L6">
        <f t="shared" si="2"/>
        <v>0.92307692307692313</v>
      </c>
      <c r="M6">
        <f t="shared" si="6"/>
        <v>-9.3729141216878128E-2</v>
      </c>
      <c r="N6">
        <f>L6*I6/J6</f>
        <v>0.27831816422562794</v>
      </c>
    </row>
    <row r="7" spans="1:14" x14ac:dyDescent="0.25">
      <c r="A7" t="s">
        <v>14</v>
      </c>
      <c r="B7">
        <v>2000</v>
      </c>
      <c r="C7">
        <v>10</v>
      </c>
      <c r="D7" t="s">
        <v>7</v>
      </c>
      <c r="E7">
        <v>0.88</v>
      </c>
      <c r="F7">
        <v>2.7</v>
      </c>
      <c r="G7">
        <v>-4.82</v>
      </c>
      <c r="H7">
        <v>1022</v>
      </c>
      <c r="I7">
        <f t="shared" si="4"/>
        <v>261.94387755102042</v>
      </c>
      <c r="J7">
        <f t="shared" si="1"/>
        <v>828.33927219747341</v>
      </c>
      <c r="K7">
        <f t="shared" si="5"/>
        <v>3.2595339743306641E-3</v>
      </c>
      <c r="L7">
        <f t="shared" si="2"/>
        <v>0.91428571428571426</v>
      </c>
      <c r="M7">
        <f t="shared" si="6"/>
        <v>2.9801453479594642E-3</v>
      </c>
      <c r="N7">
        <f>L7*I7/J7</f>
        <v>0.28912252892968032</v>
      </c>
    </row>
    <row r="8" spans="1:14" x14ac:dyDescent="0.25">
      <c r="A8" t="s">
        <v>15</v>
      </c>
      <c r="B8">
        <v>2003</v>
      </c>
      <c r="C8">
        <v>22</v>
      </c>
      <c r="D8" t="s">
        <v>7</v>
      </c>
      <c r="E8">
        <v>2.2000000000000002</v>
      </c>
      <c r="F8">
        <v>0</v>
      </c>
      <c r="G8">
        <v>-4.57</v>
      </c>
      <c r="H8">
        <v>4.57</v>
      </c>
      <c r="I8">
        <f t="shared" si="4"/>
        <v>2.3316326530612246</v>
      </c>
      <c r="J8">
        <f t="shared" si="1"/>
        <v>10.936326542037284</v>
      </c>
      <c r="K8">
        <f t="shared" si="5"/>
        <v>0</v>
      </c>
      <c r="L8">
        <f t="shared" si="2"/>
        <v>0.96385542168674698</v>
      </c>
      <c r="M8">
        <f t="shared" si="6"/>
        <v>0</v>
      </c>
      <c r="N8">
        <f>L8*I8/J8</f>
        <v>0.2054946663668534</v>
      </c>
    </row>
    <row r="9" spans="1:14" x14ac:dyDescent="0.25">
      <c r="A9" t="s">
        <v>18</v>
      </c>
      <c r="B9">
        <v>2007</v>
      </c>
      <c r="C9">
        <v>20</v>
      </c>
      <c r="D9" t="s">
        <v>7</v>
      </c>
      <c r="E9">
        <v>0.72</v>
      </c>
      <c r="F9">
        <v>-1.1599999999999999</v>
      </c>
      <c r="G9">
        <v>-9.48</v>
      </c>
      <c r="H9">
        <v>7.16</v>
      </c>
      <c r="I9">
        <f t="shared" si="4"/>
        <v>4.2448979591836737</v>
      </c>
      <c r="J9">
        <f t="shared" si="1"/>
        <v>18.983760788569644</v>
      </c>
      <c r="K9">
        <f t="shared" si="5"/>
        <v>-6.1104857615907712E-2</v>
      </c>
      <c r="L9">
        <f t="shared" si="2"/>
        <v>0.96</v>
      </c>
      <c r="M9">
        <f t="shared" si="6"/>
        <v>-5.8660663311271399E-2</v>
      </c>
      <c r="N9">
        <f>L9*I9/J9</f>
        <v>0.2146625258399798</v>
      </c>
    </row>
    <row r="10" spans="1:14" x14ac:dyDescent="0.25">
      <c r="A10" t="s">
        <v>32</v>
      </c>
      <c r="B10">
        <v>2019</v>
      </c>
      <c r="C10">
        <v>28</v>
      </c>
      <c r="D10" t="s">
        <v>7</v>
      </c>
      <c r="E10">
        <v>0.51</v>
      </c>
      <c r="F10">
        <v>-4.63</v>
      </c>
      <c r="G10">
        <v>-14.63</v>
      </c>
      <c r="H10">
        <v>5.37</v>
      </c>
      <c r="I10">
        <f t="shared" si="4"/>
        <v>5.1020408163265305</v>
      </c>
      <c r="J10">
        <f t="shared" si="1"/>
        <v>26.997462357801947</v>
      </c>
      <c r="K10">
        <f t="shared" si="5"/>
        <v>-0.17149759998320674</v>
      </c>
      <c r="L10">
        <f t="shared" si="2"/>
        <v>0.9719626168224299</v>
      </c>
      <c r="M10">
        <f t="shared" si="6"/>
        <v>-0.16668925605844392</v>
      </c>
      <c r="N10">
        <f>L10*I10/J10</f>
        <v>0.18368366912597958</v>
      </c>
    </row>
    <row r="11" spans="1:14" x14ac:dyDescent="0.25">
      <c r="A11" t="s">
        <v>4</v>
      </c>
      <c r="B11">
        <v>1986</v>
      </c>
      <c r="C11">
        <v>16</v>
      </c>
      <c r="D11" t="s">
        <v>5</v>
      </c>
      <c r="E11">
        <v>0.16</v>
      </c>
      <c r="F11">
        <v>-3</v>
      </c>
      <c r="G11">
        <v>-20.95</v>
      </c>
      <c r="H11">
        <v>14.95</v>
      </c>
      <c r="I11">
        <f>(H11-G11)/2/1.96</f>
        <v>9.158163265306122</v>
      </c>
      <c r="J11">
        <f t="shared" ref="J11:J35" si="7">I11*SQRT(C11/4)</f>
        <v>18.316326530612244</v>
      </c>
      <c r="K11">
        <f t="shared" si="5"/>
        <v>-0.1637883008356546</v>
      </c>
      <c r="L11">
        <f t="shared" ref="L11:L35" si="8">1-3/(4*(C11-2)-1)</f>
        <v>0.94545454545454544</v>
      </c>
      <c r="M11">
        <f t="shared" si="6"/>
        <v>-0.15485439351734617</v>
      </c>
      <c r="N11">
        <f>L11*I11/J11</f>
        <v>0.47272727272727277</v>
      </c>
    </row>
    <row r="12" spans="1:14" x14ac:dyDescent="0.25">
      <c r="A12" t="s">
        <v>9</v>
      </c>
      <c r="B12">
        <v>1989</v>
      </c>
      <c r="C12">
        <v>33</v>
      </c>
      <c r="D12" t="s">
        <v>5</v>
      </c>
      <c r="E12">
        <v>1.77</v>
      </c>
      <c r="F12">
        <v>-0.01</v>
      </c>
      <c r="G12">
        <v>-5.17</v>
      </c>
      <c r="H12">
        <v>5.15</v>
      </c>
      <c r="I12">
        <f t="shared" ref="I12:I35" si="9">(H12-G12)/2/1.96</f>
        <v>2.6326530612244898</v>
      </c>
      <c r="J12">
        <f t="shared" si="7"/>
        <v>7.5617202184020993</v>
      </c>
      <c r="K12">
        <f t="shared" ref="K12:K35" si="10">F12/J12</f>
        <v>-1.3224504095859216E-3</v>
      </c>
      <c r="L12">
        <f t="shared" si="8"/>
        <v>0.97560975609756095</v>
      </c>
      <c r="M12">
        <f t="shared" ref="M12:M35" si="11">L12*K12</f>
        <v>-1.2901955215472406E-3</v>
      </c>
      <c r="N12">
        <f>L12*I12/J12</f>
        <v>0.339663718937947</v>
      </c>
    </row>
    <row r="13" spans="1:14" x14ac:dyDescent="0.25">
      <c r="A13" t="s">
        <v>12</v>
      </c>
      <c r="B13">
        <v>1998</v>
      </c>
      <c r="C13">
        <v>123</v>
      </c>
      <c r="D13" t="s">
        <v>5</v>
      </c>
      <c r="E13">
        <v>1.02</v>
      </c>
      <c r="F13">
        <v>14</v>
      </c>
      <c r="G13">
        <v>7.05</v>
      </c>
      <c r="H13">
        <v>20.95</v>
      </c>
      <c r="I13">
        <f t="shared" si="9"/>
        <v>3.5459183673469385</v>
      </c>
      <c r="J13">
        <f t="shared" si="7"/>
        <v>19.663068550904452</v>
      </c>
      <c r="K13">
        <f t="shared" si="10"/>
        <v>0.71199466979206738</v>
      </c>
      <c r="L13">
        <f t="shared" si="8"/>
        <v>0.99378881987577639</v>
      </c>
      <c r="M13">
        <f t="shared" si="11"/>
        <v>0.70757234265050173</v>
      </c>
      <c r="N13">
        <f>L13*I13/J13</f>
        <v>0.179213840430794</v>
      </c>
    </row>
    <row r="14" spans="1:14" x14ac:dyDescent="0.25">
      <c r="A14" t="s">
        <v>16</v>
      </c>
      <c r="B14">
        <v>2004</v>
      </c>
      <c r="C14">
        <v>76</v>
      </c>
      <c r="D14" t="s">
        <v>5</v>
      </c>
      <c r="E14">
        <v>5.0599999999999996</v>
      </c>
      <c r="F14">
        <v>0</v>
      </c>
      <c r="G14">
        <v>-2.75</v>
      </c>
      <c r="H14">
        <v>2.75</v>
      </c>
      <c r="I14">
        <f t="shared" si="9"/>
        <v>1.403061224489796</v>
      </c>
      <c r="J14">
        <f t="shared" si="7"/>
        <v>6.1158020891514564</v>
      </c>
      <c r="K14">
        <f t="shared" si="10"/>
        <v>0</v>
      </c>
      <c r="L14">
        <f t="shared" si="8"/>
        <v>0.98983050847457632</v>
      </c>
      <c r="M14">
        <f t="shared" si="11"/>
        <v>0</v>
      </c>
      <c r="N14">
        <f>L14*I14/J14</f>
        <v>0.22708269250916618</v>
      </c>
    </row>
    <row r="15" spans="1:14" x14ac:dyDescent="0.25">
      <c r="A15" t="s">
        <v>17</v>
      </c>
      <c r="B15">
        <v>2005</v>
      </c>
      <c r="C15">
        <v>36</v>
      </c>
      <c r="D15" t="s">
        <v>5</v>
      </c>
      <c r="E15">
        <v>0.76</v>
      </c>
      <c r="F15">
        <v>15.4</v>
      </c>
      <c r="G15">
        <v>7.3</v>
      </c>
      <c r="H15">
        <v>23.5</v>
      </c>
      <c r="I15">
        <f t="shared" si="9"/>
        <v>4.1326530612244898</v>
      </c>
      <c r="J15">
        <f t="shared" si="7"/>
        <v>12.397959183673469</v>
      </c>
      <c r="K15">
        <f t="shared" si="10"/>
        <v>1.2421399176954733</v>
      </c>
      <c r="L15">
        <f t="shared" si="8"/>
        <v>0.97777777777777775</v>
      </c>
      <c r="M15">
        <f t="shared" si="11"/>
        <v>1.2145368084133517</v>
      </c>
      <c r="N15">
        <f>L15*I15/J15</f>
        <v>0.3259259259259259</v>
      </c>
    </row>
    <row r="16" spans="1:14" x14ac:dyDescent="0.25">
      <c r="A16" t="s">
        <v>19</v>
      </c>
      <c r="B16">
        <v>2009</v>
      </c>
      <c r="C16">
        <v>40</v>
      </c>
      <c r="D16" t="s">
        <v>5</v>
      </c>
      <c r="E16">
        <v>1.07</v>
      </c>
      <c r="F16">
        <v>-1</v>
      </c>
      <c r="G16">
        <v>-7.76</v>
      </c>
      <c r="H16">
        <v>5.76</v>
      </c>
      <c r="I16">
        <f t="shared" si="9"/>
        <v>3.4489795918367347</v>
      </c>
      <c r="J16">
        <f t="shared" si="7"/>
        <v>10.906631113641962</v>
      </c>
      <c r="K16">
        <f t="shared" si="10"/>
        <v>-9.1687340442751813E-2</v>
      </c>
      <c r="L16">
        <f t="shared" si="8"/>
        <v>0.98013245033112584</v>
      </c>
      <c r="M16">
        <f t="shared" si="11"/>
        <v>-8.9865737652498473E-2</v>
      </c>
      <c r="N16">
        <f>L16*I16/J16</f>
        <v>0.30994509516882129</v>
      </c>
    </row>
    <row r="17" spans="1:14" x14ac:dyDescent="0.25">
      <c r="A17" t="s">
        <v>20</v>
      </c>
      <c r="B17">
        <v>2009</v>
      </c>
      <c r="C17">
        <v>41</v>
      </c>
      <c r="D17" t="s">
        <v>5</v>
      </c>
      <c r="E17">
        <v>1.64</v>
      </c>
      <c r="F17">
        <v>-0.77</v>
      </c>
      <c r="G17">
        <v>-6.15</v>
      </c>
      <c r="H17">
        <v>4.6100000000000003</v>
      </c>
      <c r="I17">
        <f t="shared" si="9"/>
        <v>2.7448979591836737</v>
      </c>
      <c r="J17">
        <f t="shared" si="7"/>
        <v>8.7879613258644724</v>
      </c>
      <c r="K17">
        <f t="shared" si="10"/>
        <v>-8.7619866707168856E-2</v>
      </c>
      <c r="L17">
        <f t="shared" si="8"/>
        <v>0.98064516129032253</v>
      </c>
      <c r="M17">
        <f t="shared" si="11"/>
        <v>-8.5923998319288167E-2</v>
      </c>
      <c r="N17">
        <f>L17*I17/J17</f>
        <v>0.306302087833137</v>
      </c>
    </row>
    <row r="18" spans="1:14" x14ac:dyDescent="0.25">
      <c r="A18" t="s">
        <v>21</v>
      </c>
      <c r="B18">
        <v>2010</v>
      </c>
      <c r="C18">
        <v>53</v>
      </c>
      <c r="D18" t="s">
        <v>5</v>
      </c>
      <c r="E18">
        <v>5.55</v>
      </c>
      <c r="F18">
        <v>0.77</v>
      </c>
      <c r="G18">
        <v>-1.81</v>
      </c>
      <c r="H18">
        <v>3.35</v>
      </c>
      <c r="I18">
        <f t="shared" si="9"/>
        <v>1.3163265306122449</v>
      </c>
      <c r="J18">
        <f t="shared" si="7"/>
        <v>4.7915008965162595</v>
      </c>
      <c r="K18">
        <f t="shared" si="10"/>
        <v>0.16070121171423371</v>
      </c>
      <c r="L18">
        <f t="shared" si="8"/>
        <v>0.98522167487684731</v>
      </c>
      <c r="M18">
        <f t="shared" si="11"/>
        <v>0.15832631695983618</v>
      </c>
      <c r="N18">
        <f>L18*I18/J18</f>
        <v>0.27066120975111141</v>
      </c>
    </row>
    <row r="19" spans="1:14" x14ac:dyDescent="0.25">
      <c r="A19" t="s">
        <v>22</v>
      </c>
      <c r="B19">
        <v>2012</v>
      </c>
      <c r="C19">
        <v>26</v>
      </c>
      <c r="D19" t="s">
        <v>5</v>
      </c>
      <c r="E19">
        <v>0.63</v>
      </c>
      <c r="F19">
        <v>0</v>
      </c>
      <c r="G19">
        <v>-8.94</v>
      </c>
      <c r="H19">
        <v>8.94</v>
      </c>
      <c r="I19">
        <f t="shared" si="9"/>
        <v>4.5612244897959178</v>
      </c>
      <c r="J19">
        <f t="shared" si="7"/>
        <v>11.628886339673338</v>
      </c>
      <c r="K19">
        <f t="shared" si="10"/>
        <v>0</v>
      </c>
      <c r="L19">
        <f t="shared" si="8"/>
        <v>0.96842105263157896</v>
      </c>
      <c r="M19">
        <f t="shared" si="11"/>
        <v>0</v>
      </c>
      <c r="N19">
        <f>L19*I19/J19</f>
        <v>0.37984598805711439</v>
      </c>
    </row>
    <row r="20" spans="1:14" x14ac:dyDescent="0.25">
      <c r="A20" t="s">
        <v>23</v>
      </c>
      <c r="B20">
        <v>2013</v>
      </c>
      <c r="C20">
        <v>126</v>
      </c>
      <c r="D20" t="s">
        <v>5</v>
      </c>
      <c r="E20">
        <v>6.03</v>
      </c>
      <c r="F20">
        <v>0.39</v>
      </c>
      <c r="G20">
        <v>-2.04</v>
      </c>
      <c r="H20">
        <v>2.82</v>
      </c>
      <c r="I20">
        <f t="shared" si="9"/>
        <v>1.2397959183673468</v>
      </c>
      <c r="J20">
        <f t="shared" si="7"/>
        <v>6.9583373340770489</v>
      </c>
      <c r="K20">
        <f t="shared" si="10"/>
        <v>5.6047871966490317E-2</v>
      </c>
      <c r="L20">
        <f t="shared" si="8"/>
        <v>0.9939393939393939</v>
      </c>
      <c r="M20">
        <f t="shared" si="11"/>
        <v>5.570818789396613E-2</v>
      </c>
      <c r="N20">
        <f>L20*I20/J20</f>
        <v>0.17709431787328322</v>
      </c>
    </row>
    <row r="21" spans="1:14" x14ac:dyDescent="0.25">
      <c r="A21" t="s">
        <v>24</v>
      </c>
      <c r="B21">
        <v>2013</v>
      </c>
      <c r="C21">
        <v>49</v>
      </c>
      <c r="D21" t="s">
        <v>5</v>
      </c>
      <c r="E21">
        <v>3.59</v>
      </c>
      <c r="F21">
        <v>7.3</v>
      </c>
      <c r="G21">
        <v>3.87</v>
      </c>
      <c r="H21">
        <v>10.73</v>
      </c>
      <c r="I21">
        <f t="shared" si="9"/>
        <v>1.7500000000000002</v>
      </c>
      <c r="J21">
        <f t="shared" si="7"/>
        <v>6.1250000000000009</v>
      </c>
      <c r="K21">
        <f t="shared" si="10"/>
        <v>1.1918367346938774</v>
      </c>
      <c r="L21">
        <f t="shared" si="8"/>
        <v>0.98395721925133695</v>
      </c>
      <c r="M21">
        <f t="shared" si="11"/>
        <v>1.1727163592709811</v>
      </c>
      <c r="N21">
        <f>L21*I21/J21</f>
        <v>0.28113063407181055</v>
      </c>
    </row>
    <row r="22" spans="1:14" x14ac:dyDescent="0.25">
      <c r="A22" t="s">
        <v>37</v>
      </c>
      <c r="B22">
        <v>2013</v>
      </c>
      <c r="C22">
        <v>44</v>
      </c>
      <c r="D22" t="s">
        <v>5</v>
      </c>
      <c r="E22">
        <v>0.87</v>
      </c>
      <c r="F22">
        <v>3.87</v>
      </c>
      <c r="G22">
        <v>-3.68</v>
      </c>
      <c r="H22">
        <v>11.42</v>
      </c>
      <c r="I22">
        <f t="shared" si="9"/>
        <v>3.8520408163265305</v>
      </c>
      <c r="J22">
        <f t="shared" si="7"/>
        <v>12.775774064889422</v>
      </c>
      <c r="K22">
        <f t="shared" si="10"/>
        <v>0.3029170663432123</v>
      </c>
      <c r="L22">
        <f t="shared" si="8"/>
        <v>0.98203592814371254</v>
      </c>
      <c r="M22">
        <f t="shared" si="11"/>
        <v>0.29747544239692703</v>
      </c>
      <c r="N22">
        <f>L22*I22/J22</f>
        <v>0.29609497311828287</v>
      </c>
    </row>
    <row r="23" spans="1:14" x14ac:dyDescent="0.25">
      <c r="A23" t="s">
        <v>25</v>
      </c>
      <c r="B23">
        <v>2015</v>
      </c>
      <c r="C23">
        <v>52</v>
      </c>
      <c r="D23" t="s">
        <v>5</v>
      </c>
      <c r="E23">
        <v>4.28</v>
      </c>
      <c r="F23">
        <v>3.8</v>
      </c>
      <c r="G23">
        <v>0.73</v>
      </c>
      <c r="H23">
        <v>6.87</v>
      </c>
      <c r="I23">
        <f t="shared" si="9"/>
        <v>1.5663265306122451</v>
      </c>
      <c r="J23">
        <f t="shared" si="7"/>
        <v>5.647470620242065</v>
      </c>
      <c r="K23">
        <f t="shared" si="10"/>
        <v>0.67286759959047338</v>
      </c>
      <c r="L23">
        <f t="shared" si="8"/>
        <v>0.98492462311557794</v>
      </c>
      <c r="M23">
        <f t="shared" si="11"/>
        <v>0.66272386693333063</v>
      </c>
      <c r="N23">
        <f>L23*I23/J23</f>
        <v>0.2731689408546355</v>
      </c>
    </row>
    <row r="24" spans="1:14" x14ac:dyDescent="0.25">
      <c r="A24" t="s">
        <v>26</v>
      </c>
      <c r="B24">
        <v>2015</v>
      </c>
      <c r="C24">
        <v>60</v>
      </c>
      <c r="D24" t="s">
        <v>5</v>
      </c>
      <c r="E24">
        <v>2.86</v>
      </c>
      <c r="F24">
        <v>8.4</v>
      </c>
      <c r="G24">
        <v>4.47</v>
      </c>
      <c r="H24">
        <v>12.33</v>
      </c>
      <c r="I24">
        <f t="shared" si="9"/>
        <v>2.0051020408163267</v>
      </c>
      <c r="J24">
        <f t="shared" si="7"/>
        <v>7.7657268115281379</v>
      </c>
      <c r="K24">
        <f t="shared" si="10"/>
        <v>1.0816759594903971</v>
      </c>
      <c r="L24">
        <f t="shared" si="8"/>
        <v>0.98701298701298701</v>
      </c>
      <c r="M24">
        <f t="shared" si="11"/>
        <v>1.0676282197567555</v>
      </c>
      <c r="N24">
        <f>L24*I24/J24</f>
        <v>0.25484565741278242</v>
      </c>
    </row>
    <row r="25" spans="1:14" x14ac:dyDescent="0.25">
      <c r="A25" t="s">
        <v>27</v>
      </c>
      <c r="B25">
        <v>2016</v>
      </c>
      <c r="C25">
        <v>139</v>
      </c>
      <c r="D25" t="s">
        <v>5</v>
      </c>
      <c r="E25">
        <v>1.94</v>
      </c>
      <c r="F25">
        <v>3.09</v>
      </c>
      <c r="G25">
        <v>-1.81</v>
      </c>
      <c r="H25">
        <v>7.99</v>
      </c>
      <c r="I25">
        <f t="shared" si="9"/>
        <v>2.5000000000000004</v>
      </c>
      <c r="J25">
        <f t="shared" si="7"/>
        <v>14.737282653189496</v>
      </c>
      <c r="K25">
        <f t="shared" si="10"/>
        <v>0.20967230341688881</v>
      </c>
      <c r="L25">
        <f t="shared" si="8"/>
        <v>0.99451553930530168</v>
      </c>
      <c r="M25">
        <f t="shared" si="11"/>
        <v>0.20852236391003201</v>
      </c>
      <c r="N25">
        <f>L25*I25/J25</f>
        <v>0.1687074141666926</v>
      </c>
    </row>
    <row r="26" spans="1:14" x14ac:dyDescent="0.25">
      <c r="A26" t="s">
        <v>24</v>
      </c>
      <c r="B26">
        <v>2016</v>
      </c>
      <c r="C26">
        <v>49</v>
      </c>
      <c r="D26" t="s">
        <v>5</v>
      </c>
      <c r="E26">
        <v>3.84</v>
      </c>
      <c r="F26">
        <v>5.31</v>
      </c>
      <c r="G26">
        <v>2.02</v>
      </c>
      <c r="H26">
        <v>8.6</v>
      </c>
      <c r="I26">
        <f t="shared" si="9"/>
        <v>1.6785714285714286</v>
      </c>
      <c r="J26">
        <f t="shared" si="7"/>
        <v>5.875</v>
      </c>
      <c r="K26">
        <f t="shared" si="10"/>
        <v>0.9038297872340425</v>
      </c>
      <c r="L26">
        <f t="shared" si="8"/>
        <v>0.98395721925133695</v>
      </c>
      <c r="M26">
        <f t="shared" si="11"/>
        <v>0.88932984412333593</v>
      </c>
      <c r="N26">
        <f>L26*I26/J26</f>
        <v>0.28113063407181055</v>
      </c>
    </row>
    <row r="27" spans="1:14" x14ac:dyDescent="0.25">
      <c r="A27" t="s">
        <v>15</v>
      </c>
      <c r="B27">
        <v>2016</v>
      </c>
      <c r="C27">
        <v>77</v>
      </c>
      <c r="D27" t="s">
        <v>5</v>
      </c>
      <c r="E27">
        <v>1.24</v>
      </c>
      <c r="F27">
        <v>0.39</v>
      </c>
      <c r="G27">
        <v>-5.86</v>
      </c>
      <c r="H27">
        <v>6.64</v>
      </c>
      <c r="I27">
        <f t="shared" si="9"/>
        <v>3.1887755102040818</v>
      </c>
      <c r="J27">
        <f t="shared" si="7"/>
        <v>13.990695770714481</v>
      </c>
      <c r="K27">
        <f t="shared" si="10"/>
        <v>2.787566868663912E-2</v>
      </c>
      <c r="L27">
        <f t="shared" si="8"/>
        <v>0.98996655518394649</v>
      </c>
      <c r="M27">
        <f t="shared" si="11"/>
        <v>2.7595979703161137E-2</v>
      </c>
      <c r="N27">
        <f>L27*I27/J27</f>
        <v>0.22563431860904903</v>
      </c>
    </row>
    <row r="28" spans="1:14" x14ac:dyDescent="0.25">
      <c r="A28" t="s">
        <v>28</v>
      </c>
      <c r="B28">
        <v>2017</v>
      </c>
      <c r="C28">
        <v>52</v>
      </c>
      <c r="D28" t="s">
        <v>5</v>
      </c>
      <c r="E28">
        <v>0.78</v>
      </c>
      <c r="F28">
        <v>1.3</v>
      </c>
      <c r="G28">
        <v>-6.71</v>
      </c>
      <c r="H28">
        <v>9.31</v>
      </c>
      <c r="I28">
        <f t="shared" si="9"/>
        <v>4.0867346938775508</v>
      </c>
      <c r="J28">
        <f t="shared" si="7"/>
        <v>14.734931487993139</v>
      </c>
      <c r="K28">
        <f t="shared" si="10"/>
        <v>8.8225724093750554E-2</v>
      </c>
      <c r="L28">
        <f t="shared" si="8"/>
        <v>0.98492462311557794</v>
      </c>
      <c r="M28">
        <f t="shared" si="11"/>
        <v>8.6895688052136225E-2</v>
      </c>
      <c r="N28">
        <f>L28*I28/J28</f>
        <v>0.2731689408546355</v>
      </c>
    </row>
    <row r="29" spans="1:14" x14ac:dyDescent="0.25">
      <c r="A29" t="s">
        <v>29</v>
      </c>
      <c r="B29">
        <v>2018</v>
      </c>
      <c r="C29">
        <v>99</v>
      </c>
      <c r="D29" t="s">
        <v>5</v>
      </c>
      <c r="E29">
        <v>19.13</v>
      </c>
      <c r="F29">
        <v>0.39</v>
      </c>
      <c r="G29">
        <v>0.34</v>
      </c>
      <c r="H29">
        <v>0.44</v>
      </c>
      <c r="I29">
        <f t="shared" si="9"/>
        <v>2.5510204081632647E-2</v>
      </c>
      <c r="J29">
        <f t="shared" si="7"/>
        <v>0.12691166289625253</v>
      </c>
      <c r="K29">
        <f t="shared" si="10"/>
        <v>3.0730036239365672</v>
      </c>
      <c r="L29">
        <f t="shared" si="8"/>
        <v>0.99224806201550386</v>
      </c>
      <c r="M29">
        <f t="shared" si="11"/>
        <v>3.0491818904176791</v>
      </c>
      <c r="N29">
        <f>L29*I29/J29</f>
        <v>0.19944936488864981</v>
      </c>
    </row>
    <row r="30" spans="1:14" x14ac:dyDescent="0.25">
      <c r="A30" t="s">
        <v>30</v>
      </c>
      <c r="B30">
        <v>2018</v>
      </c>
      <c r="C30">
        <v>51</v>
      </c>
      <c r="D30" t="s">
        <v>5</v>
      </c>
      <c r="E30">
        <v>2.54</v>
      </c>
      <c r="F30">
        <v>9.4</v>
      </c>
      <c r="G30">
        <v>5.19</v>
      </c>
      <c r="H30">
        <v>13.61</v>
      </c>
      <c r="I30">
        <f t="shared" si="9"/>
        <v>2.1479591836734691</v>
      </c>
      <c r="J30">
        <f t="shared" si="7"/>
        <v>7.6697483888177027</v>
      </c>
      <c r="K30">
        <f t="shared" si="10"/>
        <v>1.2255943120252759</v>
      </c>
      <c r="L30">
        <f t="shared" si="8"/>
        <v>0.98461538461538467</v>
      </c>
      <c r="M30">
        <f t="shared" si="11"/>
        <v>1.2067390149171948</v>
      </c>
      <c r="N30">
        <f>L30*I30/J30</f>
        <v>0.27574746270090039</v>
      </c>
    </row>
    <row r="31" spans="1:14" x14ac:dyDescent="0.25">
      <c r="A31" t="s">
        <v>31</v>
      </c>
      <c r="B31">
        <v>2018</v>
      </c>
      <c r="C31">
        <v>91</v>
      </c>
      <c r="D31" t="s">
        <v>5</v>
      </c>
      <c r="E31">
        <v>1.59</v>
      </c>
      <c r="F31">
        <v>8.1199999999999992</v>
      </c>
      <c r="G31">
        <v>2.64</v>
      </c>
      <c r="H31">
        <v>13.6</v>
      </c>
      <c r="I31">
        <f t="shared" si="9"/>
        <v>2.7959183673469385</v>
      </c>
      <c r="J31">
        <f t="shared" si="7"/>
        <v>13.335680672869545</v>
      </c>
      <c r="K31">
        <f t="shared" si="10"/>
        <v>0.60889280413856472</v>
      </c>
      <c r="L31">
        <f t="shared" si="8"/>
        <v>0.9915492957746479</v>
      </c>
      <c r="M31">
        <f t="shared" si="11"/>
        <v>0.6037472311458445</v>
      </c>
      <c r="N31">
        <f>L31*I31/J31</f>
        <v>0.20788521832457196</v>
      </c>
    </row>
    <row r="32" spans="1:14" x14ac:dyDescent="0.25">
      <c r="A32" t="s">
        <v>33</v>
      </c>
      <c r="B32">
        <v>2019</v>
      </c>
      <c r="C32">
        <v>46</v>
      </c>
      <c r="D32" t="s">
        <v>5</v>
      </c>
      <c r="E32">
        <v>1.69</v>
      </c>
      <c r="F32">
        <v>1.32</v>
      </c>
      <c r="G32">
        <v>-3.97</v>
      </c>
      <c r="H32">
        <v>6.61</v>
      </c>
      <c r="I32">
        <f t="shared" si="9"/>
        <v>2.6989795918367347</v>
      </c>
      <c r="J32">
        <f t="shared" si="7"/>
        <v>9.1526851047787421</v>
      </c>
      <c r="K32">
        <f t="shared" si="10"/>
        <v>0.14421997314327029</v>
      </c>
      <c r="L32">
        <f t="shared" si="8"/>
        <v>0.98285714285714287</v>
      </c>
      <c r="M32">
        <f t="shared" si="11"/>
        <v>0.14174763074652852</v>
      </c>
      <c r="N32">
        <f>L32*I32/J32</f>
        <v>0.28982875952734066</v>
      </c>
    </row>
    <row r="33" spans="1:14" x14ac:dyDescent="0.25">
      <c r="A33" t="s">
        <v>34</v>
      </c>
      <c r="B33">
        <v>2019</v>
      </c>
      <c r="C33">
        <v>65</v>
      </c>
      <c r="D33" t="s">
        <v>5</v>
      </c>
      <c r="E33">
        <v>0.49</v>
      </c>
      <c r="F33">
        <v>8.4</v>
      </c>
      <c r="G33">
        <v>-1.8</v>
      </c>
      <c r="H33">
        <v>18.600000000000001</v>
      </c>
      <c r="I33">
        <f t="shared" si="9"/>
        <v>5.2040816326530619</v>
      </c>
      <c r="J33">
        <f t="shared" si="7"/>
        <v>20.978323732817657</v>
      </c>
      <c r="K33">
        <f t="shared" si="10"/>
        <v>0.40041330789739765</v>
      </c>
      <c r="L33">
        <f t="shared" si="8"/>
        <v>0.98804780876494025</v>
      </c>
      <c r="M33">
        <f t="shared" si="11"/>
        <v>0.39562749146834508</v>
      </c>
      <c r="N33">
        <f>L33*I33/J33</f>
        <v>0.24510449544321672</v>
      </c>
    </row>
    <row r="34" spans="1:14" x14ac:dyDescent="0.25">
      <c r="A34" t="s">
        <v>35</v>
      </c>
      <c r="B34">
        <v>2019</v>
      </c>
      <c r="C34">
        <v>64</v>
      </c>
      <c r="D34" t="s">
        <v>5</v>
      </c>
      <c r="E34">
        <v>4.4800000000000004</v>
      </c>
      <c r="F34">
        <v>0.77</v>
      </c>
      <c r="G34">
        <v>-2.21</v>
      </c>
      <c r="H34">
        <v>3.75</v>
      </c>
      <c r="I34">
        <f t="shared" si="9"/>
        <v>1.5204081632653061</v>
      </c>
      <c r="J34">
        <f t="shared" si="7"/>
        <v>6.0816326530612246</v>
      </c>
      <c r="K34">
        <f t="shared" si="10"/>
        <v>0.12661073825503355</v>
      </c>
      <c r="L34">
        <f t="shared" si="8"/>
        <v>0.98785425101214575</v>
      </c>
      <c r="M34">
        <f t="shared" si="11"/>
        <v>0.12507295600902099</v>
      </c>
      <c r="N34">
        <f>L34*I34/J34</f>
        <v>0.24696356275303646</v>
      </c>
    </row>
    <row r="35" spans="1:14" x14ac:dyDescent="0.25">
      <c r="A35" t="s">
        <v>36</v>
      </c>
      <c r="B35">
        <v>2020</v>
      </c>
      <c r="C35">
        <v>100</v>
      </c>
      <c r="D35" t="s">
        <v>5</v>
      </c>
      <c r="E35">
        <v>18.84</v>
      </c>
      <c r="F35">
        <v>-0.39</v>
      </c>
      <c r="G35">
        <v>-0.6</v>
      </c>
      <c r="H35">
        <v>-0.18</v>
      </c>
      <c r="I35">
        <f t="shared" si="9"/>
        <v>0.10714285714285714</v>
      </c>
      <c r="J35">
        <f t="shared" si="7"/>
        <v>0.5357142857142857</v>
      </c>
      <c r="K35">
        <f t="shared" si="10"/>
        <v>-0.72800000000000009</v>
      </c>
      <c r="L35">
        <f t="shared" si="8"/>
        <v>0.99232736572890023</v>
      </c>
      <c r="M35">
        <f t="shared" si="11"/>
        <v>-0.72241432225063951</v>
      </c>
      <c r="N35">
        <f>L35*I35/J35</f>
        <v>0.19846547314578006</v>
      </c>
    </row>
  </sheetData>
  <sortState xmlns:xlrd2="http://schemas.microsoft.com/office/spreadsheetml/2017/richdata2" ref="A2:N35">
    <sortCondition ref="D2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2025-12-30T01:03:03Z</dcterms:modified>
</cp:coreProperties>
</file>