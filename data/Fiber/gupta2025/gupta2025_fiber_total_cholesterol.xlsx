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gupta2025\"/>
    </mc:Choice>
  </mc:AlternateContent>
  <xr:revisionPtr revIDLastSave="0" documentId="13_ncr:1_{22368716-613D-420B-952C-B29F8DA7997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" i="1"/>
  <c r="L16" i="1"/>
  <c r="M16" i="1" s="1"/>
  <c r="N16" i="1" s="1"/>
  <c r="O16" i="1"/>
  <c r="P16" i="1" s="1"/>
  <c r="L17" i="1"/>
  <c r="M17" i="1" s="1"/>
  <c r="N17" i="1" s="1"/>
  <c r="P17" i="1" s="1"/>
  <c r="O17" i="1"/>
  <c r="L18" i="1"/>
  <c r="M18" i="1"/>
  <c r="N18" i="1" s="1"/>
  <c r="O18" i="1"/>
  <c r="P18" i="1" s="1"/>
  <c r="L19" i="1"/>
  <c r="M19" i="1"/>
  <c r="N19" i="1" s="1"/>
  <c r="P19" i="1" s="1"/>
  <c r="O19" i="1"/>
  <c r="L20" i="1"/>
  <c r="M20" i="1"/>
  <c r="N20" i="1" s="1"/>
  <c r="O20" i="1"/>
  <c r="L21" i="1"/>
  <c r="M21" i="1"/>
  <c r="N21" i="1" s="1"/>
  <c r="P21" i="1" s="1"/>
  <c r="O21" i="1"/>
  <c r="L22" i="1"/>
  <c r="M22" i="1"/>
  <c r="N22" i="1" s="1"/>
  <c r="O22" i="1"/>
  <c r="P22" i="1" s="1"/>
  <c r="L23" i="1"/>
  <c r="M23" i="1"/>
  <c r="N23" i="1" s="1"/>
  <c r="P23" i="1" s="1"/>
  <c r="O23" i="1"/>
  <c r="L24" i="1"/>
  <c r="M24" i="1"/>
  <c r="N24" i="1" s="1"/>
  <c r="O24" i="1"/>
  <c r="L25" i="1"/>
  <c r="M25" i="1"/>
  <c r="N25" i="1" s="1"/>
  <c r="P25" i="1" s="1"/>
  <c r="O25" i="1"/>
  <c r="L26" i="1"/>
  <c r="M26" i="1"/>
  <c r="N26" i="1" s="1"/>
  <c r="O26" i="1"/>
  <c r="P26" i="1" s="1"/>
  <c r="L27" i="1"/>
  <c r="M27" i="1"/>
  <c r="N27" i="1" s="1"/>
  <c r="P27" i="1" s="1"/>
  <c r="O27" i="1"/>
  <c r="L28" i="1"/>
  <c r="M28" i="1"/>
  <c r="N28" i="1" s="1"/>
  <c r="O28" i="1"/>
  <c r="L29" i="1"/>
  <c r="M29" i="1"/>
  <c r="N29" i="1" s="1"/>
  <c r="P29" i="1" s="1"/>
  <c r="O29" i="1"/>
  <c r="L30" i="1"/>
  <c r="M30" i="1"/>
  <c r="N30" i="1" s="1"/>
  <c r="O30" i="1"/>
  <c r="P30" i="1" s="1"/>
  <c r="L31" i="1"/>
  <c r="M31" i="1"/>
  <c r="N31" i="1" s="1"/>
  <c r="P31" i="1" s="1"/>
  <c r="O31" i="1"/>
  <c r="L32" i="1"/>
  <c r="M32" i="1"/>
  <c r="N32" i="1" s="1"/>
  <c r="O32" i="1"/>
  <c r="L33" i="1"/>
  <c r="M33" i="1"/>
  <c r="N33" i="1" s="1"/>
  <c r="P33" i="1" s="1"/>
  <c r="O33" i="1"/>
  <c r="L34" i="1"/>
  <c r="M34" i="1"/>
  <c r="N34" i="1" s="1"/>
  <c r="O34" i="1"/>
  <c r="P34" i="1" s="1"/>
  <c r="L35" i="1"/>
  <c r="M35" i="1"/>
  <c r="N35" i="1" s="1"/>
  <c r="P35" i="1" s="1"/>
  <c r="O35" i="1"/>
  <c r="L36" i="1"/>
  <c r="M36" i="1"/>
  <c r="N36" i="1" s="1"/>
  <c r="O36" i="1"/>
  <c r="L37" i="1"/>
  <c r="M37" i="1"/>
  <c r="N37" i="1" s="1"/>
  <c r="P37" i="1" s="1"/>
  <c r="O37" i="1"/>
  <c r="L15" i="1"/>
  <c r="O15" i="1"/>
  <c r="M15" i="1"/>
  <c r="N15" i="1" s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" i="1"/>
  <c r="J3" i="1"/>
  <c r="K3" i="1"/>
  <c r="L3" i="1" s="1"/>
  <c r="M3" i="1" s="1"/>
  <c r="N3" i="1" s="1"/>
  <c r="O3" i="1"/>
  <c r="I4" i="1"/>
  <c r="J4" i="1"/>
  <c r="K4" i="1"/>
  <c r="L4" i="1" s="1"/>
  <c r="M4" i="1" s="1"/>
  <c r="O4" i="1"/>
  <c r="I5" i="1"/>
  <c r="J5" i="1"/>
  <c r="K5" i="1"/>
  <c r="L5" i="1" s="1"/>
  <c r="M5" i="1" s="1"/>
  <c r="N5" i="1" s="1"/>
  <c r="O5" i="1"/>
  <c r="I6" i="1"/>
  <c r="J6" i="1"/>
  <c r="K6" i="1"/>
  <c r="L6" i="1"/>
  <c r="M6" i="1" s="1"/>
  <c r="N6" i="1" s="1"/>
  <c r="P6" i="1" s="1"/>
  <c r="O6" i="1"/>
  <c r="I7" i="1"/>
  <c r="J7" i="1"/>
  <c r="K7" i="1"/>
  <c r="L7" i="1"/>
  <c r="M7" i="1" s="1"/>
  <c r="N7" i="1" s="1"/>
  <c r="O7" i="1"/>
  <c r="P7" i="1" s="1"/>
  <c r="I8" i="1"/>
  <c r="N8" i="1" s="1"/>
  <c r="J8" i="1"/>
  <c r="K8" i="1"/>
  <c r="L8" i="1" s="1"/>
  <c r="M8" i="1" s="1"/>
  <c r="O8" i="1"/>
  <c r="I9" i="1"/>
  <c r="J9" i="1"/>
  <c r="K9" i="1"/>
  <c r="L9" i="1" s="1"/>
  <c r="M9" i="1" s="1"/>
  <c r="N9" i="1" s="1"/>
  <c r="O9" i="1"/>
  <c r="I10" i="1"/>
  <c r="J10" i="1"/>
  <c r="K10" i="1"/>
  <c r="L10" i="1"/>
  <c r="M10" i="1" s="1"/>
  <c r="N10" i="1" s="1"/>
  <c r="P10" i="1" s="1"/>
  <c r="O10" i="1"/>
  <c r="I11" i="1"/>
  <c r="J11" i="1"/>
  <c r="K11" i="1"/>
  <c r="L11" i="1"/>
  <c r="M11" i="1" s="1"/>
  <c r="N11" i="1" s="1"/>
  <c r="O11" i="1"/>
  <c r="P11" i="1" s="1"/>
  <c r="I12" i="1"/>
  <c r="J12" i="1"/>
  <c r="K12" i="1"/>
  <c r="L12" i="1" s="1"/>
  <c r="M12" i="1" s="1"/>
  <c r="O12" i="1"/>
  <c r="I13" i="1"/>
  <c r="J13" i="1"/>
  <c r="K13" i="1"/>
  <c r="L13" i="1"/>
  <c r="M13" i="1"/>
  <c r="N13" i="1" s="1"/>
  <c r="O13" i="1"/>
  <c r="I14" i="1"/>
  <c r="J14" i="1"/>
  <c r="K14" i="1"/>
  <c r="L14" i="1"/>
  <c r="M14" i="1" s="1"/>
  <c r="N14" i="1" s="1"/>
  <c r="O14" i="1"/>
  <c r="N2" i="1"/>
  <c r="M2" i="1"/>
  <c r="K2" i="1"/>
  <c r="J2" i="1"/>
  <c r="I2" i="1"/>
  <c r="O2" i="1"/>
  <c r="L2" i="1"/>
  <c r="P36" i="1" l="1"/>
  <c r="P32" i="1"/>
  <c r="P28" i="1"/>
  <c r="P24" i="1"/>
  <c r="P20" i="1"/>
  <c r="P15" i="1"/>
  <c r="P5" i="1"/>
  <c r="P9" i="1"/>
  <c r="N12" i="1"/>
  <c r="P12" i="1" s="1"/>
  <c r="N4" i="1"/>
  <c r="P3" i="1"/>
  <c r="P4" i="1"/>
  <c r="P13" i="1"/>
  <c r="P8" i="1"/>
  <c r="P14" i="1"/>
  <c r="P2" i="1"/>
</calcChain>
</file>

<file path=xl/sharedStrings.xml><?xml version="1.0" encoding="utf-8"?>
<sst xmlns="http://schemas.openxmlformats.org/spreadsheetml/2006/main" count="89" uniqueCount="53">
  <si>
    <t>Author</t>
  </si>
  <si>
    <t>Year</t>
  </si>
  <si>
    <t>n</t>
  </si>
  <si>
    <t>design</t>
  </si>
  <si>
    <t>Aro</t>
  </si>
  <si>
    <t>c</t>
  </si>
  <si>
    <t>McIvor</t>
  </si>
  <si>
    <t>p</t>
  </si>
  <si>
    <t>Fuessl</t>
  </si>
  <si>
    <t>Peterson</t>
  </si>
  <si>
    <t>Niemi</t>
  </si>
  <si>
    <t>Uusitupa</t>
  </si>
  <si>
    <t>Laajam</t>
  </si>
  <si>
    <t>Lalor</t>
  </si>
  <si>
    <t>Groop</t>
  </si>
  <si>
    <t>Rodriguez</t>
  </si>
  <si>
    <t>Alles</t>
  </si>
  <si>
    <t>Vuksan</t>
  </si>
  <si>
    <t>Luo</t>
  </si>
  <si>
    <t>Chen</t>
  </si>
  <si>
    <t>Maeda</t>
  </si>
  <si>
    <t>Ziai</t>
  </si>
  <si>
    <t>Chearskul</t>
  </si>
  <si>
    <t>Sartore</t>
  </si>
  <si>
    <t>Liatis</t>
  </si>
  <si>
    <t>Cugnet</t>
  </si>
  <si>
    <t>Bonsu</t>
  </si>
  <si>
    <t>Ma</t>
  </si>
  <si>
    <t>Dehghan</t>
  </si>
  <si>
    <t>Dall Alba</t>
  </si>
  <si>
    <t>Aliasgaharzadeh</t>
  </si>
  <si>
    <t>Gargari</t>
  </si>
  <si>
    <t>Li</t>
  </si>
  <si>
    <t>Cai</t>
  </si>
  <si>
    <t>Soltanian</t>
  </si>
  <si>
    <t>Saki</t>
  </si>
  <si>
    <t>Ghavami</t>
  </si>
  <si>
    <t>Abbasalizad-Farhangi</t>
  </si>
  <si>
    <t>Rashid</t>
  </si>
  <si>
    <t>Reimer</t>
  </si>
  <si>
    <t>weight</t>
  </si>
  <si>
    <t>wmd_neg</t>
  </si>
  <si>
    <t>lCI_neg</t>
  </si>
  <si>
    <t>uCI_neg</t>
  </si>
  <si>
    <t>wmd</t>
  </si>
  <si>
    <t>lCI</t>
  </si>
  <si>
    <t>uCI</t>
  </si>
  <si>
    <t>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</si>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</sst>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L14" sqref="L14"/>
    </sheetView>
  </sheetViews>
  <sheetFormatPr defaultRowHeight="15" x14ac:dyDescent="0.25"/>
  <cols>
    <col min="1" max="1" width="20.140625" bestFit="1" customWidth="1"/>
    <col min="2" max="2" width="5" bestFit="1" customWidth="1"/>
    <col min="3" max="3" width="4" bestFit="1" customWidth="1"/>
    <col min="4" max="4" width="6.85546875" bestFit="1" customWidth="1"/>
    <col min="5" max="5" width="7.140625" bestFit="1" customWidth="1"/>
    <col min="6" max="6" width="9.7109375" bestFit="1" customWidth="1"/>
    <col min="7" max="7" width="7.5703125" bestFit="1" customWidth="1"/>
    <col min="8" max="8" width="8.140625" bestFit="1" customWidth="1"/>
    <col min="9" max="17" width="6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</row>
    <row r="2" spans="1:17" x14ac:dyDescent="0.25">
      <c r="A2" t="s">
        <v>4</v>
      </c>
      <c r="B2">
        <v>1981</v>
      </c>
      <c r="C2">
        <v>9</v>
      </c>
      <c r="D2" t="s">
        <v>5</v>
      </c>
      <c r="E2">
        <v>0.5</v>
      </c>
      <c r="F2">
        <v>-40.6</v>
      </c>
      <c r="G2">
        <v>-96.84</v>
      </c>
      <c r="H2">
        <v>15.64</v>
      </c>
      <c r="I2">
        <f>-F2</f>
        <v>40.6</v>
      </c>
      <c r="J2">
        <f>-H2</f>
        <v>-15.64</v>
      </c>
      <c r="K2">
        <f>-G2</f>
        <v>96.84</v>
      </c>
      <c r="L2">
        <f t="shared" ref="L2" si="0">(K2-J2)/2/1.96</f>
        <v>28.69387755102041</v>
      </c>
      <c r="M2">
        <f>L2*SQRT(C2)</f>
        <v>86.081632653061234</v>
      </c>
      <c r="N2">
        <f>I2/M2</f>
        <v>0.47164532954006633</v>
      </c>
      <c r="O2">
        <f>1-3/(4*(C2-1)-1)</f>
        <v>0.90322580645161288</v>
      </c>
      <c r="P2">
        <f t="shared" ref="P2" si="1">O2*N2</f>
        <v>0.42600223313296315</v>
      </c>
      <c r="Q2">
        <f>O2*L2/M2</f>
        <v>0.30107526881720431</v>
      </c>
    </row>
    <row r="3" spans="1:17" x14ac:dyDescent="0.25">
      <c r="A3" t="s">
        <v>8</v>
      </c>
      <c r="B3">
        <v>1987</v>
      </c>
      <c r="C3">
        <v>18</v>
      </c>
      <c r="D3" t="s">
        <v>5</v>
      </c>
      <c r="E3">
        <v>1.83</v>
      </c>
      <c r="F3">
        <v>-23.2</v>
      </c>
      <c r="G3">
        <v>-49.88</v>
      </c>
      <c r="H3">
        <v>3.48</v>
      </c>
      <c r="I3">
        <f t="shared" ref="I3:I14" si="2">-F3</f>
        <v>23.2</v>
      </c>
      <c r="J3">
        <f t="shared" ref="J3:J14" si="3">-H3</f>
        <v>-3.48</v>
      </c>
      <c r="K3">
        <f t="shared" ref="K3:K14" si="4">-G3</f>
        <v>49.88</v>
      </c>
      <c r="L3">
        <f t="shared" ref="L3:L14" si="5">(K3-J3)/2/1.96</f>
        <v>13.612244897959183</v>
      </c>
      <c r="M3">
        <f t="shared" ref="M3:M14" si="6">L3*SQRT(C3)</f>
        <v>57.751864047113528</v>
      </c>
      <c r="N3">
        <f t="shared" ref="N3:N15" si="7">I3/M3</f>
        <v>0.40171863510887923</v>
      </c>
      <c r="O3">
        <f t="shared" ref="O3:O14" si="8">1-3/(4*(C3-1)-1)</f>
        <v>0.95522388059701491</v>
      </c>
      <c r="P3">
        <f t="shared" ref="P3:P15" si="9">O3*N3</f>
        <v>0.38373123353683986</v>
      </c>
      <c r="Q3">
        <f>O3*L3/M3</f>
        <v>0.22514842784049274</v>
      </c>
    </row>
    <row r="4" spans="1:17" x14ac:dyDescent="0.25">
      <c r="A4" t="s">
        <v>9</v>
      </c>
      <c r="B4">
        <v>1987</v>
      </c>
      <c r="C4">
        <v>16</v>
      </c>
      <c r="D4" t="s">
        <v>5</v>
      </c>
      <c r="E4">
        <v>1.5</v>
      </c>
      <c r="F4">
        <v>-23.05</v>
      </c>
      <c r="G4">
        <v>-53.56</v>
      </c>
      <c r="H4">
        <v>7.06</v>
      </c>
      <c r="I4">
        <f t="shared" si="2"/>
        <v>23.05</v>
      </c>
      <c r="J4">
        <f t="shared" si="3"/>
        <v>-7.06</v>
      </c>
      <c r="K4">
        <f t="shared" si="4"/>
        <v>53.56</v>
      </c>
      <c r="L4">
        <f t="shared" si="5"/>
        <v>15.464285714285715</v>
      </c>
      <c r="M4">
        <f t="shared" si="6"/>
        <v>61.857142857142861</v>
      </c>
      <c r="N4">
        <f t="shared" si="7"/>
        <v>0.37263279445727482</v>
      </c>
      <c r="O4">
        <f t="shared" si="8"/>
        <v>0.94915254237288138</v>
      </c>
      <c r="P4">
        <f t="shared" si="9"/>
        <v>0.35368536423063374</v>
      </c>
      <c r="Q4">
        <f>O4*L4/M4</f>
        <v>0.23728813559322035</v>
      </c>
    </row>
    <row r="5" spans="1:17" x14ac:dyDescent="0.25">
      <c r="A5" t="s">
        <v>10</v>
      </c>
      <c r="B5">
        <v>1988</v>
      </c>
      <c r="C5">
        <v>20</v>
      </c>
      <c r="D5" t="s">
        <v>5</v>
      </c>
      <c r="E5">
        <v>1.1100000000000001</v>
      </c>
      <c r="F5">
        <v>-0.9</v>
      </c>
      <c r="G5">
        <v>-37.159999999999997</v>
      </c>
      <c r="H5">
        <v>35.36</v>
      </c>
      <c r="I5">
        <f t="shared" si="2"/>
        <v>0.9</v>
      </c>
      <c r="J5">
        <f t="shared" si="3"/>
        <v>-35.36</v>
      </c>
      <c r="K5">
        <f t="shared" si="4"/>
        <v>37.159999999999997</v>
      </c>
      <c r="L5">
        <f t="shared" si="5"/>
        <v>18.5</v>
      </c>
      <c r="M5">
        <f t="shared" si="6"/>
        <v>82.734515167492219</v>
      </c>
      <c r="N5">
        <f t="shared" si="7"/>
        <v>1.0878168539188167E-2</v>
      </c>
      <c r="O5">
        <f t="shared" si="8"/>
        <v>0.96</v>
      </c>
      <c r="P5">
        <f t="shared" si="9"/>
        <v>1.044304179762064E-2</v>
      </c>
      <c r="Q5">
        <f>O5*L5/M5</f>
        <v>0.21466252583997977</v>
      </c>
    </row>
    <row r="6" spans="1:17" x14ac:dyDescent="0.25">
      <c r="A6" t="s">
        <v>12</v>
      </c>
      <c r="B6">
        <v>1990</v>
      </c>
      <c r="C6">
        <v>39</v>
      </c>
      <c r="D6" t="s">
        <v>5</v>
      </c>
      <c r="E6">
        <v>1.32</v>
      </c>
      <c r="F6">
        <v>-25.53</v>
      </c>
      <c r="G6">
        <v>-58.24</v>
      </c>
      <c r="H6">
        <v>7.18</v>
      </c>
      <c r="I6">
        <f t="shared" si="2"/>
        <v>25.53</v>
      </c>
      <c r="J6">
        <f t="shared" si="3"/>
        <v>-7.18</v>
      </c>
      <c r="K6">
        <f t="shared" si="4"/>
        <v>58.24</v>
      </c>
      <c r="L6">
        <f t="shared" si="5"/>
        <v>16.688775510204081</v>
      </c>
      <c r="M6">
        <f t="shared" si="6"/>
        <v>104.2213696569447</v>
      </c>
      <c r="N6">
        <f t="shared" si="7"/>
        <v>0.24495935990895731</v>
      </c>
      <c r="O6">
        <f t="shared" si="8"/>
        <v>0.98013245033112584</v>
      </c>
      <c r="P6">
        <f t="shared" si="9"/>
        <v>0.24009261765911047</v>
      </c>
      <c r="Q6">
        <f>O6*L6/M6</f>
        <v>0.15694679975597944</v>
      </c>
    </row>
    <row r="7" spans="1:17" x14ac:dyDescent="0.25">
      <c r="A7" t="s">
        <v>13</v>
      </c>
      <c r="B7">
        <v>1990</v>
      </c>
      <c r="C7">
        <v>23</v>
      </c>
      <c r="D7" t="s">
        <v>5</v>
      </c>
      <c r="E7">
        <v>1.43</v>
      </c>
      <c r="F7">
        <v>-2.3199999999999998</v>
      </c>
      <c r="G7">
        <v>-33.47</v>
      </c>
      <c r="H7">
        <v>28.83</v>
      </c>
      <c r="I7">
        <f t="shared" si="2"/>
        <v>2.3199999999999998</v>
      </c>
      <c r="J7">
        <f t="shared" si="3"/>
        <v>-28.83</v>
      </c>
      <c r="K7">
        <f t="shared" si="4"/>
        <v>33.47</v>
      </c>
      <c r="L7">
        <f t="shared" si="5"/>
        <v>15.892857142857142</v>
      </c>
      <c r="M7">
        <f t="shared" si="6"/>
        <v>76.219465281219996</v>
      </c>
      <c r="N7">
        <f t="shared" si="7"/>
        <v>3.0438418735163095E-2</v>
      </c>
      <c r="O7">
        <f t="shared" si="8"/>
        <v>0.96551724137931039</v>
      </c>
      <c r="P7">
        <f t="shared" si="9"/>
        <v>2.9388818089122991E-2</v>
      </c>
      <c r="Q7">
        <f>O7*L7/M7</f>
        <v>0.20132426184821015</v>
      </c>
    </row>
    <row r="8" spans="1:17" x14ac:dyDescent="0.25">
      <c r="A8" t="s">
        <v>14</v>
      </c>
      <c r="B8">
        <v>1993</v>
      </c>
      <c r="C8">
        <v>12</v>
      </c>
      <c r="D8" t="s">
        <v>5</v>
      </c>
      <c r="E8">
        <v>2.17</v>
      </c>
      <c r="F8">
        <v>-33.64</v>
      </c>
      <c r="G8">
        <v>-57.48</v>
      </c>
      <c r="H8">
        <v>-9.8000000000000007</v>
      </c>
      <c r="I8">
        <f t="shared" si="2"/>
        <v>33.64</v>
      </c>
      <c r="J8">
        <f t="shared" si="3"/>
        <v>9.8000000000000007</v>
      </c>
      <c r="K8">
        <f t="shared" si="4"/>
        <v>57.48</v>
      </c>
      <c r="L8">
        <f t="shared" si="5"/>
        <v>12.163265306122447</v>
      </c>
      <c r="M8">
        <f t="shared" si="6"/>
        <v>42.134786992287779</v>
      </c>
      <c r="N8">
        <f t="shared" si="7"/>
        <v>0.79839017594078165</v>
      </c>
      <c r="O8">
        <f t="shared" si="8"/>
        <v>0.93023255813953487</v>
      </c>
      <c r="P8">
        <f t="shared" si="9"/>
        <v>0.74268853575886662</v>
      </c>
      <c r="Q8">
        <f>O8*L8/M8</f>
        <v>0.26853500892540733</v>
      </c>
    </row>
    <row r="9" spans="1:17" x14ac:dyDescent="0.25">
      <c r="A9" t="s">
        <v>16</v>
      </c>
      <c r="B9">
        <v>1999</v>
      </c>
      <c r="C9">
        <v>20</v>
      </c>
      <c r="D9" t="s">
        <v>5</v>
      </c>
      <c r="E9">
        <v>1.68</v>
      </c>
      <c r="F9">
        <v>7.74</v>
      </c>
      <c r="G9">
        <v>-20.5</v>
      </c>
      <c r="H9">
        <v>35.979999999999997</v>
      </c>
      <c r="I9">
        <f t="shared" si="2"/>
        <v>-7.74</v>
      </c>
      <c r="J9">
        <f t="shared" si="3"/>
        <v>-35.979999999999997</v>
      </c>
      <c r="K9">
        <f t="shared" si="4"/>
        <v>20.5</v>
      </c>
      <c r="L9">
        <f t="shared" si="5"/>
        <v>14.408163265306122</v>
      </c>
      <c r="M9">
        <f t="shared" si="6"/>
        <v>64.435264984279655</v>
      </c>
      <c r="N9">
        <f t="shared" si="7"/>
        <v>-0.12012055823605811</v>
      </c>
      <c r="O9">
        <f t="shared" si="8"/>
        <v>0.96</v>
      </c>
      <c r="P9">
        <f t="shared" si="9"/>
        <v>-0.11531573590661577</v>
      </c>
      <c r="Q9">
        <f>O9*L9/M9</f>
        <v>0.2146625258399798</v>
      </c>
    </row>
    <row r="10" spans="1:17" x14ac:dyDescent="0.25">
      <c r="A10" t="s">
        <v>17</v>
      </c>
      <c r="B10">
        <v>1999</v>
      </c>
      <c r="C10">
        <v>11</v>
      </c>
      <c r="D10" t="s">
        <v>5</v>
      </c>
      <c r="E10">
        <v>1.91</v>
      </c>
      <c r="F10">
        <v>-25.53</v>
      </c>
      <c r="G10">
        <v>-51.49</v>
      </c>
      <c r="H10">
        <v>0.43</v>
      </c>
      <c r="I10">
        <f t="shared" si="2"/>
        <v>25.53</v>
      </c>
      <c r="J10">
        <f t="shared" si="3"/>
        <v>-0.43</v>
      </c>
      <c r="K10">
        <f t="shared" si="4"/>
        <v>51.49</v>
      </c>
      <c r="L10">
        <f t="shared" si="5"/>
        <v>13.244897959183675</v>
      </c>
      <c r="M10">
        <f t="shared" si="6"/>
        <v>43.928356917156215</v>
      </c>
      <c r="N10">
        <f t="shared" si="7"/>
        <v>0.58117356968635592</v>
      </c>
      <c r="O10">
        <f t="shared" si="8"/>
        <v>0.92307692307692313</v>
      </c>
      <c r="P10">
        <f t="shared" si="9"/>
        <v>0.53646791047971321</v>
      </c>
      <c r="Q10">
        <f>O10*L10/M10</f>
        <v>0.278318164225628</v>
      </c>
    </row>
    <row r="11" spans="1:17" x14ac:dyDescent="0.25">
      <c r="A11" t="s">
        <v>18</v>
      </c>
      <c r="B11">
        <v>2000</v>
      </c>
      <c r="C11">
        <v>10</v>
      </c>
      <c r="D11" t="s">
        <v>5</v>
      </c>
      <c r="E11">
        <v>1.62</v>
      </c>
      <c r="F11">
        <v>5.81</v>
      </c>
      <c r="G11">
        <v>-23.11</v>
      </c>
      <c r="H11">
        <v>34.729999999999997</v>
      </c>
      <c r="I11">
        <f t="shared" si="2"/>
        <v>-5.81</v>
      </c>
      <c r="J11">
        <f t="shared" si="3"/>
        <v>-34.729999999999997</v>
      </c>
      <c r="K11">
        <f t="shared" si="4"/>
        <v>23.11</v>
      </c>
      <c r="L11">
        <f t="shared" si="5"/>
        <v>14.755102040816325</v>
      </c>
      <c r="M11">
        <f t="shared" si="6"/>
        <v>46.659729557178331</v>
      </c>
      <c r="N11">
        <f t="shared" si="7"/>
        <v>-0.12451850996864949</v>
      </c>
      <c r="O11">
        <f t="shared" si="8"/>
        <v>0.91428571428571426</v>
      </c>
      <c r="P11">
        <f t="shared" si="9"/>
        <v>-0.11384549482847953</v>
      </c>
      <c r="Q11">
        <f>O11*L11/M11</f>
        <v>0.28912252892968038</v>
      </c>
    </row>
    <row r="12" spans="1:17" x14ac:dyDescent="0.25">
      <c r="A12" t="s">
        <v>19</v>
      </c>
      <c r="B12">
        <v>2003</v>
      </c>
      <c r="C12">
        <v>22</v>
      </c>
      <c r="D12" t="s">
        <v>5</v>
      </c>
      <c r="E12">
        <v>3.1</v>
      </c>
      <c r="F12">
        <v>-27.1</v>
      </c>
      <c r="G12">
        <v>-45.38</v>
      </c>
      <c r="H12">
        <v>-8.82</v>
      </c>
      <c r="I12">
        <f t="shared" si="2"/>
        <v>27.1</v>
      </c>
      <c r="J12">
        <f t="shared" si="3"/>
        <v>8.82</v>
      </c>
      <c r="K12">
        <f t="shared" si="4"/>
        <v>45.38</v>
      </c>
      <c r="L12">
        <f t="shared" si="5"/>
        <v>9.3265306122448983</v>
      </c>
      <c r="M12">
        <f t="shared" si="6"/>
        <v>43.745306168149135</v>
      </c>
      <c r="N12">
        <f t="shared" si="7"/>
        <v>0.61949503555495644</v>
      </c>
      <c r="O12">
        <f t="shared" si="8"/>
        <v>0.96385542168674698</v>
      </c>
      <c r="P12">
        <f t="shared" si="9"/>
        <v>0.59710364872766886</v>
      </c>
      <c r="Q12">
        <f>O12*L12/M12</f>
        <v>0.2054946663668534</v>
      </c>
    </row>
    <row r="13" spans="1:17" x14ac:dyDescent="0.25">
      <c r="A13" t="s">
        <v>22</v>
      </c>
      <c r="B13">
        <v>2007</v>
      </c>
      <c r="C13">
        <v>20</v>
      </c>
      <c r="D13" t="s">
        <v>5</v>
      </c>
      <c r="E13">
        <v>1.4</v>
      </c>
      <c r="F13">
        <v>-7.73</v>
      </c>
      <c r="G13">
        <v>-39.369999999999997</v>
      </c>
      <c r="H13">
        <v>23.91</v>
      </c>
      <c r="I13">
        <f t="shared" si="2"/>
        <v>7.73</v>
      </c>
      <c r="J13">
        <f t="shared" si="3"/>
        <v>-23.91</v>
      </c>
      <c r="K13">
        <f t="shared" si="4"/>
        <v>39.369999999999997</v>
      </c>
      <c r="L13">
        <f t="shared" si="5"/>
        <v>16.142857142857142</v>
      </c>
      <c r="M13">
        <f t="shared" si="6"/>
        <v>72.193051844993207</v>
      </c>
      <c r="N13">
        <f t="shared" si="7"/>
        <v>0.10707401616151649</v>
      </c>
      <c r="O13">
        <f t="shared" si="8"/>
        <v>0.96</v>
      </c>
      <c r="P13">
        <f t="shared" si="9"/>
        <v>0.10279105551505582</v>
      </c>
      <c r="Q13">
        <f>O13*L13/M13</f>
        <v>0.2146625258399798</v>
      </c>
    </row>
    <row r="14" spans="1:17" x14ac:dyDescent="0.25">
      <c r="A14" t="s">
        <v>35</v>
      </c>
      <c r="B14">
        <v>2019</v>
      </c>
      <c r="C14">
        <v>28</v>
      </c>
      <c r="D14" t="s">
        <v>5</v>
      </c>
      <c r="E14">
        <v>3.12</v>
      </c>
      <c r="F14">
        <v>-6.56</v>
      </c>
      <c r="G14">
        <v>-24.75</v>
      </c>
      <c r="H14">
        <v>11.63</v>
      </c>
      <c r="I14">
        <f t="shared" si="2"/>
        <v>6.56</v>
      </c>
      <c r="J14">
        <f t="shared" si="3"/>
        <v>-11.63</v>
      </c>
      <c r="K14">
        <f t="shared" si="4"/>
        <v>24.75</v>
      </c>
      <c r="L14">
        <f t="shared" si="5"/>
        <v>9.2806122448979593</v>
      </c>
      <c r="M14">
        <f t="shared" si="6"/>
        <v>49.108384028841741</v>
      </c>
      <c r="N14">
        <f t="shared" si="7"/>
        <v>0.13358207828926441</v>
      </c>
      <c r="O14">
        <f t="shared" si="8"/>
        <v>0.9719626168224299</v>
      </c>
      <c r="P14">
        <f t="shared" si="9"/>
        <v>0.12983678637461213</v>
      </c>
      <c r="Q14">
        <f>O14*L14/M14</f>
        <v>0.18368366912597958</v>
      </c>
    </row>
    <row r="15" spans="1:17" x14ac:dyDescent="0.25">
      <c r="A15" t="s">
        <v>6</v>
      </c>
      <c r="B15">
        <v>1986</v>
      </c>
      <c r="C15">
        <v>16</v>
      </c>
      <c r="D15" t="s">
        <v>7</v>
      </c>
      <c r="E15">
        <v>0.54</v>
      </c>
      <c r="F15">
        <v>16</v>
      </c>
      <c r="G15">
        <v>-38.17</v>
      </c>
      <c r="H15">
        <v>70.17</v>
      </c>
      <c r="I15">
        <f t="shared" ref="I15:I37" si="10">-F15</f>
        <v>-16</v>
      </c>
      <c r="J15">
        <f t="shared" ref="J15:J37" si="11">-H15</f>
        <v>-70.17</v>
      </c>
      <c r="K15">
        <f t="shared" ref="K15:K37" si="12">-G15</f>
        <v>38.17</v>
      </c>
      <c r="L15">
        <f>(K15-J15)/2/1.96</f>
        <v>27.637755102040817</v>
      </c>
      <c r="M15">
        <f>L15*SQRT(C15/4)</f>
        <v>55.275510204081634</v>
      </c>
      <c r="N15">
        <f t="shared" si="7"/>
        <v>-0.28945911020860254</v>
      </c>
      <c r="O15">
        <f>1-3/(4*(C15-2)-1)</f>
        <v>0.94545454545454544</v>
      </c>
      <c r="P15">
        <f t="shared" si="9"/>
        <v>-0.27367043146995151</v>
      </c>
      <c r="Q15">
        <f>O15*L15/M15</f>
        <v>0.47272727272727272</v>
      </c>
    </row>
    <row r="16" spans="1:17" x14ac:dyDescent="0.25">
      <c r="A16" t="s">
        <v>11</v>
      </c>
      <c r="B16">
        <v>1989</v>
      </c>
      <c r="C16">
        <v>33</v>
      </c>
      <c r="D16" t="s">
        <v>7</v>
      </c>
      <c r="E16">
        <v>1.37</v>
      </c>
      <c r="F16">
        <v>-22.04</v>
      </c>
      <c r="G16">
        <v>-54.13</v>
      </c>
      <c r="H16">
        <v>10.050000000000001</v>
      </c>
      <c r="I16">
        <f t="shared" si="10"/>
        <v>22.04</v>
      </c>
      <c r="J16">
        <f t="shared" si="11"/>
        <v>-10.050000000000001</v>
      </c>
      <c r="K16">
        <f t="shared" si="12"/>
        <v>54.13</v>
      </c>
      <c r="L16">
        <f t="shared" ref="L16:L37" si="13">(K16-J16)/2/1.96</f>
        <v>16.372448979591837</v>
      </c>
      <c r="M16">
        <f t="shared" ref="M16:M37" si="14">L16*SQRT(C16/4)</f>
        <v>47.026279420256465</v>
      </c>
      <c r="N16">
        <f t="shared" ref="N16:N37" si="15">I16/M16</f>
        <v>0.46867411735971437</v>
      </c>
      <c r="O16">
        <f t="shared" ref="O16:O37" si="16">1-3/(4*(C16-2)-1)</f>
        <v>0.97560975609756095</v>
      </c>
      <c r="P16">
        <f t="shared" ref="P16:P37" si="17">O16*N16</f>
        <v>0.45724304132655058</v>
      </c>
      <c r="Q16">
        <f>O16*L16/M16</f>
        <v>0.339663718937947</v>
      </c>
    </row>
    <row r="17" spans="1:17" x14ac:dyDescent="0.25">
      <c r="A17" t="s">
        <v>15</v>
      </c>
      <c r="B17">
        <v>1998</v>
      </c>
      <c r="C17">
        <v>123</v>
      </c>
      <c r="D17" t="s">
        <v>7</v>
      </c>
      <c r="E17">
        <v>3.2</v>
      </c>
      <c r="F17">
        <v>-9</v>
      </c>
      <c r="G17">
        <v>-26.8</v>
      </c>
      <c r="H17">
        <v>8.8000000000000007</v>
      </c>
      <c r="I17">
        <f t="shared" si="10"/>
        <v>9</v>
      </c>
      <c r="J17">
        <f t="shared" si="11"/>
        <v>-8.8000000000000007</v>
      </c>
      <c r="K17">
        <f t="shared" si="12"/>
        <v>26.8</v>
      </c>
      <c r="L17">
        <f t="shared" si="13"/>
        <v>9.0816326530612255</v>
      </c>
      <c r="M17">
        <f t="shared" si="14"/>
        <v>50.360089238287671</v>
      </c>
      <c r="N17">
        <f t="shared" si="15"/>
        <v>0.17871294781498318</v>
      </c>
      <c r="O17">
        <f t="shared" si="16"/>
        <v>0.99378881987577639</v>
      </c>
      <c r="P17">
        <f t="shared" si="17"/>
        <v>0.17760292950557333</v>
      </c>
      <c r="Q17">
        <f>O17*L17/M17</f>
        <v>0.17921384043079397</v>
      </c>
    </row>
    <row r="18" spans="1:17" x14ac:dyDescent="0.25">
      <c r="A18" t="s">
        <v>20</v>
      </c>
      <c r="B18">
        <v>2004</v>
      </c>
      <c r="C18">
        <v>76</v>
      </c>
      <c r="D18" t="s">
        <v>7</v>
      </c>
      <c r="E18">
        <v>4.32</v>
      </c>
      <c r="F18">
        <v>-11.6</v>
      </c>
      <c r="G18">
        <v>-24.98</v>
      </c>
      <c r="H18">
        <v>1.78</v>
      </c>
      <c r="I18">
        <f t="shared" si="10"/>
        <v>11.6</v>
      </c>
      <c r="J18">
        <f t="shared" si="11"/>
        <v>-1.78</v>
      </c>
      <c r="K18">
        <f t="shared" si="12"/>
        <v>24.98</v>
      </c>
      <c r="L18">
        <f t="shared" si="13"/>
        <v>6.8265306122448983</v>
      </c>
      <c r="M18">
        <f t="shared" si="14"/>
        <v>29.756157073762356</v>
      </c>
      <c r="N18">
        <f t="shared" si="15"/>
        <v>0.3898352858954478</v>
      </c>
      <c r="O18">
        <f t="shared" si="16"/>
        <v>0.98983050847457632</v>
      </c>
      <c r="P18">
        <f t="shared" si="17"/>
        <v>0.38587085925922293</v>
      </c>
      <c r="Q18">
        <f>O18*L18/M18</f>
        <v>0.22708269250916624</v>
      </c>
    </row>
    <row r="19" spans="1:17" x14ac:dyDescent="0.25">
      <c r="A19" t="s">
        <v>21</v>
      </c>
      <c r="B19">
        <v>2005</v>
      </c>
      <c r="C19">
        <v>36</v>
      </c>
      <c r="D19" t="s">
        <v>7</v>
      </c>
      <c r="E19">
        <v>0.96</v>
      </c>
      <c r="F19">
        <v>16.8</v>
      </c>
      <c r="G19">
        <v>-22.66</v>
      </c>
      <c r="H19">
        <v>56.26</v>
      </c>
      <c r="I19">
        <f t="shared" si="10"/>
        <v>-16.8</v>
      </c>
      <c r="J19">
        <f t="shared" si="11"/>
        <v>-56.26</v>
      </c>
      <c r="K19">
        <f t="shared" si="12"/>
        <v>22.66</v>
      </c>
      <c r="L19">
        <f t="shared" si="13"/>
        <v>20.132653061224492</v>
      </c>
      <c r="M19">
        <f t="shared" si="14"/>
        <v>60.397959183673478</v>
      </c>
      <c r="N19">
        <f t="shared" si="15"/>
        <v>-0.2781550937658388</v>
      </c>
      <c r="O19">
        <f t="shared" si="16"/>
        <v>0.97777777777777775</v>
      </c>
      <c r="P19">
        <f t="shared" si="17"/>
        <v>-0.27197386945993124</v>
      </c>
      <c r="Q19">
        <f>O19*L19/M19</f>
        <v>0.3259259259259259</v>
      </c>
    </row>
    <row r="20" spans="1:17" x14ac:dyDescent="0.25">
      <c r="A20" t="s">
        <v>23</v>
      </c>
      <c r="B20">
        <v>2009</v>
      </c>
      <c r="C20">
        <v>40</v>
      </c>
      <c r="D20" t="s">
        <v>7</v>
      </c>
      <c r="E20">
        <v>2.52</v>
      </c>
      <c r="F20">
        <v>-2</v>
      </c>
      <c r="G20">
        <v>-23.44</v>
      </c>
      <c r="H20">
        <v>19.440000000000001</v>
      </c>
      <c r="I20">
        <f t="shared" si="10"/>
        <v>2</v>
      </c>
      <c r="J20">
        <f t="shared" si="11"/>
        <v>-19.440000000000001</v>
      </c>
      <c r="K20">
        <f t="shared" si="12"/>
        <v>23.44</v>
      </c>
      <c r="L20">
        <f t="shared" si="13"/>
        <v>10.938775510204083</v>
      </c>
      <c r="M20">
        <f t="shared" si="14"/>
        <v>34.591445425515339</v>
      </c>
      <c r="N20">
        <f t="shared" si="15"/>
        <v>5.7817763189645731E-2</v>
      </c>
      <c r="O20">
        <f t="shared" si="16"/>
        <v>0.98013245033112584</v>
      </c>
      <c r="P20">
        <f t="shared" si="17"/>
        <v>5.6669065907732241E-2</v>
      </c>
      <c r="Q20">
        <f>O20*L20/M20</f>
        <v>0.30994509516882129</v>
      </c>
    </row>
    <row r="21" spans="1:17" x14ac:dyDescent="0.25">
      <c r="A21" t="s">
        <v>24</v>
      </c>
      <c r="B21">
        <v>2009</v>
      </c>
      <c r="C21">
        <v>41</v>
      </c>
      <c r="D21" t="s">
        <v>7</v>
      </c>
      <c r="E21">
        <v>3.23</v>
      </c>
      <c r="F21">
        <v>-26.3</v>
      </c>
      <c r="G21">
        <v>-43.94</v>
      </c>
      <c r="H21">
        <v>-8.66</v>
      </c>
      <c r="I21">
        <f t="shared" si="10"/>
        <v>26.3</v>
      </c>
      <c r="J21">
        <f t="shared" si="11"/>
        <v>8.66</v>
      </c>
      <c r="K21">
        <f t="shared" si="12"/>
        <v>43.94</v>
      </c>
      <c r="L21">
        <f t="shared" si="13"/>
        <v>9</v>
      </c>
      <c r="M21">
        <f t="shared" si="14"/>
        <v>28.814059068447818</v>
      </c>
      <c r="N21">
        <f t="shared" si="15"/>
        <v>0.91274887503785329</v>
      </c>
      <c r="O21">
        <f t="shared" si="16"/>
        <v>0.98064516129032253</v>
      </c>
      <c r="P21">
        <f t="shared" si="17"/>
        <v>0.89508276777905604</v>
      </c>
      <c r="Q21">
        <f>O21*L21/M21</f>
        <v>0.30630208783313706</v>
      </c>
    </row>
    <row r="22" spans="1:17" x14ac:dyDescent="0.25">
      <c r="A22" t="s">
        <v>25</v>
      </c>
      <c r="B22">
        <v>2010</v>
      </c>
      <c r="C22">
        <v>53</v>
      </c>
      <c r="D22" t="s">
        <v>7</v>
      </c>
      <c r="E22">
        <v>5.1100000000000003</v>
      </c>
      <c r="F22">
        <v>-2.71</v>
      </c>
      <c r="G22">
        <v>-13.59</v>
      </c>
      <c r="H22">
        <v>8.17</v>
      </c>
      <c r="I22">
        <f t="shared" si="10"/>
        <v>2.71</v>
      </c>
      <c r="J22">
        <f t="shared" si="11"/>
        <v>-8.17</v>
      </c>
      <c r="K22">
        <f t="shared" si="12"/>
        <v>13.59</v>
      </c>
      <c r="L22">
        <f t="shared" si="13"/>
        <v>5.5510204081632653</v>
      </c>
      <c r="M22">
        <f t="shared" si="14"/>
        <v>20.206019284533681</v>
      </c>
      <c r="N22">
        <f t="shared" si="15"/>
        <v>0.13411845063784131</v>
      </c>
      <c r="O22">
        <f t="shared" si="16"/>
        <v>0.98522167487684731</v>
      </c>
      <c r="P22">
        <f t="shared" si="17"/>
        <v>0.13213640456930179</v>
      </c>
      <c r="Q22">
        <f>O22*L22/M22</f>
        <v>0.27066120975111141</v>
      </c>
    </row>
    <row r="23" spans="1:17" x14ac:dyDescent="0.25">
      <c r="A23" t="s">
        <v>26</v>
      </c>
      <c r="B23">
        <v>2012</v>
      </c>
      <c r="C23">
        <v>26</v>
      </c>
      <c r="D23" t="s">
        <v>7</v>
      </c>
      <c r="E23">
        <v>1.53</v>
      </c>
      <c r="F23">
        <v>-7.72</v>
      </c>
      <c r="G23">
        <v>-37.630000000000003</v>
      </c>
      <c r="H23">
        <v>22.19</v>
      </c>
      <c r="I23">
        <f t="shared" si="10"/>
        <v>7.72</v>
      </c>
      <c r="J23">
        <f t="shared" si="11"/>
        <v>-22.19</v>
      </c>
      <c r="K23">
        <f t="shared" si="12"/>
        <v>37.630000000000003</v>
      </c>
      <c r="L23">
        <f t="shared" si="13"/>
        <v>15.260204081632656</v>
      </c>
      <c r="M23">
        <f t="shared" si="14"/>
        <v>38.906039196826583</v>
      </c>
      <c r="N23">
        <f t="shared" si="15"/>
        <v>0.19842677793399463</v>
      </c>
      <c r="O23">
        <f t="shared" si="16"/>
        <v>0.96842105263157896</v>
      </c>
      <c r="P23">
        <f t="shared" si="17"/>
        <v>0.19216066915713165</v>
      </c>
      <c r="Q23">
        <f>O23*L23/M23</f>
        <v>0.37984598805711439</v>
      </c>
    </row>
    <row r="24" spans="1:17" x14ac:dyDescent="0.25">
      <c r="A24" t="s">
        <v>27</v>
      </c>
      <c r="B24">
        <v>2013</v>
      </c>
      <c r="C24">
        <v>126</v>
      </c>
      <c r="D24" t="s">
        <v>7</v>
      </c>
      <c r="E24">
        <v>5.98</v>
      </c>
      <c r="F24">
        <v>-13.92</v>
      </c>
      <c r="G24">
        <v>-22.3</v>
      </c>
      <c r="H24">
        <v>-5.54</v>
      </c>
      <c r="I24">
        <f t="shared" si="10"/>
        <v>13.92</v>
      </c>
      <c r="J24">
        <f t="shared" si="11"/>
        <v>5.54</v>
      </c>
      <c r="K24">
        <f t="shared" si="12"/>
        <v>22.3</v>
      </c>
      <c r="L24">
        <f t="shared" si="13"/>
        <v>4.2755102040816331</v>
      </c>
      <c r="M24">
        <f t="shared" si="14"/>
        <v>23.996241505994107</v>
      </c>
      <c r="N24">
        <f t="shared" si="15"/>
        <v>0.58009084449841342</v>
      </c>
      <c r="O24">
        <f t="shared" si="16"/>
        <v>0.9939393939393939</v>
      </c>
      <c r="P24">
        <f t="shared" si="17"/>
        <v>0.57657514241054419</v>
      </c>
      <c r="Q24">
        <f>O24*L24/M24</f>
        <v>0.17709431787328322</v>
      </c>
    </row>
    <row r="25" spans="1:17" x14ac:dyDescent="0.25">
      <c r="A25" t="s">
        <v>28</v>
      </c>
      <c r="B25">
        <v>2013</v>
      </c>
      <c r="C25">
        <v>49</v>
      </c>
      <c r="D25" t="s">
        <v>7</v>
      </c>
      <c r="E25">
        <v>2.23</v>
      </c>
      <c r="F25">
        <v>-26.7</v>
      </c>
      <c r="G25">
        <v>-50.1</v>
      </c>
      <c r="H25">
        <v>-3.3</v>
      </c>
      <c r="I25">
        <f t="shared" si="10"/>
        <v>26.7</v>
      </c>
      <c r="J25">
        <f t="shared" si="11"/>
        <v>3.3</v>
      </c>
      <c r="K25">
        <f t="shared" si="12"/>
        <v>50.1</v>
      </c>
      <c r="L25">
        <f t="shared" si="13"/>
        <v>11.938775510204083</v>
      </c>
      <c r="M25">
        <f t="shared" si="14"/>
        <v>41.785714285714292</v>
      </c>
      <c r="N25">
        <f t="shared" si="15"/>
        <v>0.63897435897435884</v>
      </c>
      <c r="O25">
        <f t="shared" si="16"/>
        <v>0.98395721925133695</v>
      </c>
      <c r="P25">
        <f t="shared" si="17"/>
        <v>0.62872343342931569</v>
      </c>
      <c r="Q25">
        <f>O25*L25/M25</f>
        <v>0.28113063407181055</v>
      </c>
    </row>
    <row r="26" spans="1:17" x14ac:dyDescent="0.25">
      <c r="A26" t="s">
        <v>29</v>
      </c>
      <c r="B26">
        <v>2013</v>
      </c>
      <c r="C26">
        <v>44</v>
      </c>
      <c r="D26" t="s">
        <v>7</v>
      </c>
      <c r="E26">
        <v>1.95</v>
      </c>
      <c r="F26">
        <v>19.350000000000001</v>
      </c>
      <c r="G26">
        <v>-6.32</v>
      </c>
      <c r="H26">
        <v>45.02</v>
      </c>
      <c r="I26">
        <f t="shared" si="10"/>
        <v>-19.350000000000001</v>
      </c>
      <c r="J26">
        <f t="shared" si="11"/>
        <v>-45.02</v>
      </c>
      <c r="K26">
        <f t="shared" si="12"/>
        <v>6.32</v>
      </c>
      <c r="L26">
        <f t="shared" si="13"/>
        <v>13.096938775510205</v>
      </c>
      <c r="M26">
        <f t="shared" si="14"/>
        <v>43.437631820624041</v>
      </c>
      <c r="N26">
        <f t="shared" si="15"/>
        <v>-0.44546627403413569</v>
      </c>
      <c r="O26">
        <f t="shared" si="16"/>
        <v>0.98203592814371254</v>
      </c>
      <c r="P26">
        <f t="shared" si="17"/>
        <v>-0.43746388587783386</v>
      </c>
      <c r="Q26">
        <f>O26*L26/M26</f>
        <v>0.29609497311828281</v>
      </c>
    </row>
    <row r="27" spans="1:17" x14ac:dyDescent="0.25">
      <c r="A27" t="s">
        <v>30</v>
      </c>
      <c r="B27">
        <v>2015</v>
      </c>
      <c r="C27">
        <v>52</v>
      </c>
      <c r="D27" t="s">
        <v>7</v>
      </c>
      <c r="E27">
        <v>2.4700000000000002</v>
      </c>
      <c r="F27">
        <v>-28.8</v>
      </c>
      <c r="G27">
        <v>-50.58</v>
      </c>
      <c r="H27">
        <v>-7.02</v>
      </c>
      <c r="I27">
        <f t="shared" si="10"/>
        <v>28.8</v>
      </c>
      <c r="J27">
        <f t="shared" si="11"/>
        <v>7.02</v>
      </c>
      <c r="K27">
        <f t="shared" si="12"/>
        <v>50.58</v>
      </c>
      <c r="L27">
        <f t="shared" si="13"/>
        <v>11.112244897959185</v>
      </c>
      <c r="M27">
        <f t="shared" si="14"/>
        <v>40.065768765104941</v>
      </c>
      <c r="N27">
        <f t="shared" si="15"/>
        <v>0.71881810552161929</v>
      </c>
      <c r="O27">
        <f t="shared" si="16"/>
        <v>0.98492462311557794</v>
      </c>
      <c r="P27">
        <f t="shared" si="17"/>
        <v>0.70798165166953464</v>
      </c>
      <c r="Q27">
        <f>O27*L27/M27</f>
        <v>0.2731689408546355</v>
      </c>
    </row>
    <row r="28" spans="1:17" x14ac:dyDescent="0.25">
      <c r="A28" t="s">
        <v>31</v>
      </c>
      <c r="B28">
        <v>2015</v>
      </c>
      <c r="C28">
        <v>60</v>
      </c>
      <c r="D28" t="s">
        <v>7</v>
      </c>
      <c r="E28">
        <v>4.03</v>
      </c>
      <c r="F28">
        <v>-17</v>
      </c>
      <c r="G28">
        <v>-31.4</v>
      </c>
      <c r="H28">
        <v>-2.6</v>
      </c>
      <c r="I28">
        <f t="shared" si="10"/>
        <v>17</v>
      </c>
      <c r="J28">
        <f t="shared" si="11"/>
        <v>2.6</v>
      </c>
      <c r="K28">
        <f t="shared" si="12"/>
        <v>31.4</v>
      </c>
      <c r="L28">
        <f t="shared" si="13"/>
        <v>7.3469387755102034</v>
      </c>
      <c r="M28">
        <f t="shared" si="14"/>
        <v>28.454571523156531</v>
      </c>
      <c r="N28">
        <f t="shared" si="15"/>
        <v>0.59744354210940342</v>
      </c>
      <c r="O28">
        <f t="shared" si="16"/>
        <v>0.98701298701298701</v>
      </c>
      <c r="P28">
        <f t="shared" si="17"/>
        <v>0.58968453506902152</v>
      </c>
      <c r="Q28">
        <f>O28*L28/M28</f>
        <v>0.25484565741278237</v>
      </c>
    </row>
    <row r="29" spans="1:17" x14ac:dyDescent="0.25">
      <c r="A29" t="s">
        <v>32</v>
      </c>
      <c r="B29">
        <v>2016</v>
      </c>
      <c r="C29">
        <v>139</v>
      </c>
      <c r="D29" t="s">
        <v>7</v>
      </c>
      <c r="E29">
        <v>5.51</v>
      </c>
      <c r="F29">
        <v>-13.54</v>
      </c>
      <c r="G29">
        <v>-23.25</v>
      </c>
      <c r="H29">
        <v>-3.83</v>
      </c>
      <c r="I29">
        <f t="shared" si="10"/>
        <v>13.54</v>
      </c>
      <c r="J29">
        <f t="shared" si="11"/>
        <v>3.83</v>
      </c>
      <c r="K29">
        <f t="shared" si="12"/>
        <v>23.25</v>
      </c>
      <c r="L29">
        <f t="shared" si="13"/>
        <v>4.9540816326530619</v>
      </c>
      <c r="M29">
        <f t="shared" si="14"/>
        <v>29.203880522953064</v>
      </c>
      <c r="N29">
        <f t="shared" si="15"/>
        <v>0.46363701527124485</v>
      </c>
      <c r="O29">
        <f t="shared" si="16"/>
        <v>0.99451553930530168</v>
      </c>
      <c r="P29">
        <f t="shared" si="17"/>
        <v>0.46109421628438246</v>
      </c>
      <c r="Q29">
        <f>O29*L29/M29</f>
        <v>0.16870741416669258</v>
      </c>
    </row>
    <row r="30" spans="1:17" x14ac:dyDescent="0.25">
      <c r="A30" t="s">
        <v>28</v>
      </c>
      <c r="B30">
        <v>2016</v>
      </c>
      <c r="C30">
        <v>49</v>
      </c>
      <c r="D30" t="s">
        <v>7</v>
      </c>
      <c r="E30">
        <v>2.4300000000000002</v>
      </c>
      <c r="F30">
        <v>-27.8</v>
      </c>
      <c r="G30">
        <v>-49.82</v>
      </c>
      <c r="H30">
        <v>-5.82</v>
      </c>
      <c r="I30">
        <f t="shared" si="10"/>
        <v>27.8</v>
      </c>
      <c r="J30">
        <f t="shared" si="11"/>
        <v>5.82</v>
      </c>
      <c r="K30">
        <f t="shared" si="12"/>
        <v>49.82</v>
      </c>
      <c r="L30">
        <f t="shared" si="13"/>
        <v>11.224489795918368</v>
      </c>
      <c r="M30">
        <f t="shared" si="14"/>
        <v>39.285714285714285</v>
      </c>
      <c r="N30">
        <f t="shared" si="15"/>
        <v>0.70763636363636362</v>
      </c>
      <c r="O30">
        <f t="shared" si="16"/>
        <v>0.98395721925133695</v>
      </c>
      <c r="P30">
        <f t="shared" si="17"/>
        <v>0.69628390860476419</v>
      </c>
      <c r="Q30">
        <f>O30*L30/M30</f>
        <v>0.28113063407181055</v>
      </c>
    </row>
    <row r="31" spans="1:17" x14ac:dyDescent="0.25">
      <c r="A31" t="s">
        <v>19</v>
      </c>
      <c r="B31">
        <v>2016</v>
      </c>
      <c r="C31">
        <v>77</v>
      </c>
      <c r="D31" t="s">
        <v>7</v>
      </c>
      <c r="E31">
        <v>1.76</v>
      </c>
      <c r="F31">
        <v>-35.57</v>
      </c>
      <c r="G31">
        <v>-63.01</v>
      </c>
      <c r="H31">
        <v>-8.1300000000000008</v>
      </c>
      <c r="I31">
        <f t="shared" si="10"/>
        <v>35.57</v>
      </c>
      <c r="J31">
        <f t="shared" si="11"/>
        <v>8.1300000000000008</v>
      </c>
      <c r="K31">
        <f t="shared" si="12"/>
        <v>63.01</v>
      </c>
      <c r="L31">
        <f t="shared" si="13"/>
        <v>13.999999999999998</v>
      </c>
      <c r="M31">
        <f t="shared" si="14"/>
        <v>61.424750711744849</v>
      </c>
      <c r="N31">
        <f t="shared" si="15"/>
        <v>0.57908252923847459</v>
      </c>
      <c r="O31">
        <f t="shared" si="16"/>
        <v>0.98996655518394649</v>
      </c>
      <c r="P31">
        <f t="shared" si="17"/>
        <v>0.57327233663741961</v>
      </c>
      <c r="Q31">
        <f>O31*L31/M31</f>
        <v>0.22563431860904903</v>
      </c>
    </row>
    <row r="32" spans="1:17" x14ac:dyDescent="0.25">
      <c r="A32" t="s">
        <v>33</v>
      </c>
      <c r="B32">
        <v>2018</v>
      </c>
      <c r="C32">
        <v>99</v>
      </c>
      <c r="D32" t="s">
        <v>7</v>
      </c>
      <c r="E32">
        <v>7.33</v>
      </c>
      <c r="F32">
        <v>-5.41</v>
      </c>
      <c r="G32">
        <v>-9.6300000000000008</v>
      </c>
      <c r="H32">
        <v>-1.19</v>
      </c>
      <c r="I32">
        <f t="shared" si="10"/>
        <v>5.41</v>
      </c>
      <c r="J32">
        <f t="shared" si="11"/>
        <v>1.19</v>
      </c>
      <c r="K32">
        <f t="shared" si="12"/>
        <v>9.6300000000000008</v>
      </c>
      <c r="L32">
        <f t="shared" si="13"/>
        <v>2.1530612244897962</v>
      </c>
      <c r="M32">
        <f t="shared" si="14"/>
        <v>10.711344348443717</v>
      </c>
      <c r="N32">
        <f t="shared" si="15"/>
        <v>0.50507198947310805</v>
      </c>
      <c r="O32">
        <f t="shared" si="16"/>
        <v>0.99224806201550386</v>
      </c>
      <c r="P32">
        <f t="shared" si="17"/>
        <v>0.50115670273300639</v>
      </c>
      <c r="Q32">
        <f>O32*L32/M32</f>
        <v>0.19944936488864981</v>
      </c>
    </row>
    <row r="33" spans="1:17" x14ac:dyDescent="0.25">
      <c r="A33" t="s">
        <v>34</v>
      </c>
      <c r="B33">
        <v>2018</v>
      </c>
      <c r="C33">
        <v>51</v>
      </c>
      <c r="D33" t="s">
        <v>7</v>
      </c>
      <c r="E33">
        <v>3.26</v>
      </c>
      <c r="F33">
        <v>-10.199999999999999</v>
      </c>
      <c r="G33">
        <v>-27.72</v>
      </c>
      <c r="H33">
        <v>7.32</v>
      </c>
      <c r="I33">
        <f t="shared" si="10"/>
        <v>10.199999999999999</v>
      </c>
      <c r="J33">
        <f t="shared" si="11"/>
        <v>-7.32</v>
      </c>
      <c r="K33">
        <f t="shared" si="12"/>
        <v>27.72</v>
      </c>
      <c r="L33">
        <f t="shared" si="13"/>
        <v>8.9387755102040813</v>
      </c>
      <c r="M33">
        <f t="shared" si="14"/>
        <v>31.917812772467023</v>
      </c>
      <c r="N33">
        <f t="shared" si="15"/>
        <v>0.31957076986173483</v>
      </c>
      <c r="O33">
        <f t="shared" si="16"/>
        <v>0.98461538461538467</v>
      </c>
      <c r="P33">
        <f t="shared" si="17"/>
        <v>0.31465429647924664</v>
      </c>
      <c r="Q33">
        <f>O33*L33/M33</f>
        <v>0.27574746270090039</v>
      </c>
    </row>
    <row r="34" spans="1:17" x14ac:dyDescent="0.25">
      <c r="A34" t="s">
        <v>36</v>
      </c>
      <c r="B34">
        <v>2019</v>
      </c>
      <c r="C34">
        <v>46</v>
      </c>
      <c r="D34" t="s">
        <v>7</v>
      </c>
      <c r="E34">
        <v>1.43</v>
      </c>
      <c r="F34">
        <v>-25.05</v>
      </c>
      <c r="G34">
        <v>-56.23</v>
      </c>
      <c r="H34">
        <v>6.13</v>
      </c>
      <c r="I34">
        <f t="shared" si="10"/>
        <v>25.05</v>
      </c>
      <c r="J34">
        <f t="shared" si="11"/>
        <v>-6.13</v>
      </c>
      <c r="K34">
        <f t="shared" si="12"/>
        <v>56.23</v>
      </c>
      <c r="L34">
        <f t="shared" si="13"/>
        <v>15.908163265306122</v>
      </c>
      <c r="M34">
        <f t="shared" si="14"/>
        <v>53.947206345368841</v>
      </c>
      <c r="N34">
        <f t="shared" si="15"/>
        <v>0.46434285845369722</v>
      </c>
      <c r="O34">
        <f t="shared" si="16"/>
        <v>0.98285714285714287</v>
      </c>
      <c r="P34">
        <f t="shared" si="17"/>
        <v>0.45638269516591956</v>
      </c>
      <c r="Q34">
        <f>O34*L34/M34</f>
        <v>0.28982875952734066</v>
      </c>
    </row>
    <row r="35" spans="1:17" x14ac:dyDescent="0.25">
      <c r="A35" t="s">
        <v>37</v>
      </c>
      <c r="B35">
        <v>2019</v>
      </c>
      <c r="C35">
        <v>65</v>
      </c>
      <c r="D35" t="s">
        <v>7</v>
      </c>
      <c r="E35">
        <v>2.48</v>
      </c>
      <c r="F35">
        <v>-32.549999999999997</v>
      </c>
      <c r="G35">
        <v>-54.25</v>
      </c>
      <c r="H35">
        <v>-10.85</v>
      </c>
      <c r="I35">
        <f t="shared" si="10"/>
        <v>32.549999999999997</v>
      </c>
      <c r="J35">
        <f t="shared" si="11"/>
        <v>10.85</v>
      </c>
      <c r="K35">
        <f t="shared" si="12"/>
        <v>54.25</v>
      </c>
      <c r="L35">
        <f t="shared" si="13"/>
        <v>11.071428571428571</v>
      </c>
      <c r="M35">
        <f t="shared" si="14"/>
        <v>44.630355392366965</v>
      </c>
      <c r="N35">
        <f t="shared" si="15"/>
        <v>0.72932423938454571</v>
      </c>
      <c r="O35">
        <f t="shared" si="16"/>
        <v>0.98804780876494025</v>
      </c>
      <c r="P35">
        <f t="shared" si="17"/>
        <v>0.72060721660305715</v>
      </c>
      <c r="Q35">
        <f>O35*L35/M35</f>
        <v>0.24510449544321675</v>
      </c>
    </row>
    <row r="36" spans="1:17" x14ac:dyDescent="0.25">
      <c r="A36" t="s">
        <v>38</v>
      </c>
      <c r="B36">
        <v>2019</v>
      </c>
      <c r="C36">
        <v>64</v>
      </c>
      <c r="D36" t="s">
        <v>7</v>
      </c>
      <c r="E36">
        <v>5.73</v>
      </c>
      <c r="F36">
        <v>-28.6</v>
      </c>
      <c r="G36">
        <v>-37.69</v>
      </c>
      <c r="H36">
        <v>-19.55</v>
      </c>
      <c r="I36">
        <f t="shared" si="10"/>
        <v>28.6</v>
      </c>
      <c r="J36">
        <f t="shared" si="11"/>
        <v>19.55</v>
      </c>
      <c r="K36">
        <f t="shared" si="12"/>
        <v>37.69</v>
      </c>
      <c r="L36">
        <f t="shared" si="13"/>
        <v>4.6275510204081627</v>
      </c>
      <c r="M36">
        <f t="shared" si="14"/>
        <v>18.510204081632651</v>
      </c>
      <c r="N36">
        <f t="shared" si="15"/>
        <v>1.5450937155457556</v>
      </c>
      <c r="O36">
        <f t="shared" si="16"/>
        <v>0.98785425101214575</v>
      </c>
      <c r="P36">
        <f t="shared" si="17"/>
        <v>1.5263273951140257</v>
      </c>
      <c r="Q36">
        <f>O36*L36/M36</f>
        <v>0.24696356275303644</v>
      </c>
    </row>
    <row r="37" spans="1:17" x14ac:dyDescent="0.25">
      <c r="A37" t="s">
        <v>39</v>
      </c>
      <c r="B37">
        <v>2020</v>
      </c>
      <c r="C37">
        <v>100</v>
      </c>
      <c r="D37" t="s">
        <v>7</v>
      </c>
      <c r="E37">
        <v>7.94</v>
      </c>
      <c r="F37">
        <v>-4.25</v>
      </c>
      <c r="G37">
        <v>-4.53</v>
      </c>
      <c r="H37">
        <v>-3.97</v>
      </c>
      <c r="I37">
        <f t="shared" si="10"/>
        <v>4.25</v>
      </c>
      <c r="J37">
        <f t="shared" si="11"/>
        <v>3.97</v>
      </c>
      <c r="K37">
        <f t="shared" si="12"/>
        <v>4.53</v>
      </c>
      <c r="L37">
        <f t="shared" si="13"/>
        <v>0.14285714285714288</v>
      </c>
      <c r="M37">
        <f t="shared" si="14"/>
        <v>0.71428571428571441</v>
      </c>
      <c r="N37">
        <f t="shared" si="15"/>
        <v>5.9499999999999993</v>
      </c>
      <c r="O37">
        <f t="shared" si="16"/>
        <v>0.99232736572890023</v>
      </c>
      <c r="P37">
        <f t="shared" si="17"/>
        <v>5.9043478260869557</v>
      </c>
      <c r="Q37">
        <f>O37*L37/M37</f>
        <v>0.19846547314578003</v>
      </c>
    </row>
  </sheetData>
  <sortState xmlns:xlrd2="http://schemas.microsoft.com/office/spreadsheetml/2017/richdata2" ref="A2:Q37">
    <sortCondition ref="D2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2025-12-30T01:04:58Z</dcterms:modified>
</cp:coreProperties>
</file>