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gupta2025\"/>
    </mc:Choice>
  </mc:AlternateContent>
  <xr:revisionPtr revIDLastSave="0" documentId="13_ncr:1_{0F353AF9-9FBB-4C03-A8C8-80EA01F08BFD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2" i="1"/>
  <c r="L6" i="1"/>
  <c r="M6" i="1" s="1"/>
  <c r="N6" i="1" s="1"/>
  <c r="O6" i="1"/>
  <c r="L9" i="1"/>
  <c r="M9" i="1" s="1"/>
  <c r="N9" i="1" s="1"/>
  <c r="P9" i="1" s="1"/>
  <c r="O9" i="1"/>
  <c r="L14" i="1"/>
  <c r="M14" i="1" s="1"/>
  <c r="N14" i="1" s="1"/>
  <c r="O14" i="1"/>
  <c r="L15" i="1"/>
  <c r="M15" i="1"/>
  <c r="N15" i="1" s="1"/>
  <c r="O15" i="1"/>
  <c r="L17" i="1"/>
  <c r="M17" i="1" s="1"/>
  <c r="N17" i="1" s="1"/>
  <c r="O17" i="1"/>
  <c r="L18" i="1"/>
  <c r="M18" i="1" s="1"/>
  <c r="N18" i="1" s="1"/>
  <c r="P18" i="1" s="1"/>
  <c r="O18" i="1"/>
  <c r="L19" i="1"/>
  <c r="M19" i="1" s="1"/>
  <c r="N19" i="1" s="1"/>
  <c r="O19" i="1"/>
  <c r="L20" i="1"/>
  <c r="M20" i="1" s="1"/>
  <c r="N20" i="1" s="1"/>
  <c r="P20" i="1" s="1"/>
  <c r="O20" i="1"/>
  <c r="L21" i="1"/>
  <c r="M21" i="1" s="1"/>
  <c r="N21" i="1" s="1"/>
  <c r="O21" i="1"/>
  <c r="P21" i="1" s="1"/>
  <c r="L22" i="1"/>
  <c r="M22" i="1"/>
  <c r="N22" i="1" s="1"/>
  <c r="P22" i="1" s="1"/>
  <c r="O22" i="1"/>
  <c r="L23" i="1"/>
  <c r="M23" i="1" s="1"/>
  <c r="N23" i="1" s="1"/>
  <c r="O23" i="1"/>
  <c r="L24" i="1"/>
  <c r="M24" i="1" s="1"/>
  <c r="N24" i="1" s="1"/>
  <c r="P24" i="1" s="1"/>
  <c r="O24" i="1"/>
  <c r="L25" i="1"/>
  <c r="M25" i="1" s="1"/>
  <c r="N25" i="1" s="1"/>
  <c r="O25" i="1"/>
  <c r="L26" i="1"/>
  <c r="M26" i="1"/>
  <c r="N26" i="1" s="1"/>
  <c r="O26" i="1"/>
  <c r="L27" i="1"/>
  <c r="M27" i="1" s="1"/>
  <c r="N27" i="1" s="1"/>
  <c r="O27" i="1"/>
  <c r="L28" i="1"/>
  <c r="M28" i="1" s="1"/>
  <c r="N28" i="1" s="1"/>
  <c r="P28" i="1" s="1"/>
  <c r="O28" i="1"/>
  <c r="L29" i="1"/>
  <c r="M29" i="1" s="1"/>
  <c r="N29" i="1" s="1"/>
  <c r="O29" i="1"/>
  <c r="P29" i="1" s="1"/>
  <c r="L30" i="1"/>
  <c r="M30" i="1" s="1"/>
  <c r="N30" i="1" s="1"/>
  <c r="P30" i="1" s="1"/>
  <c r="O30" i="1"/>
  <c r="L31" i="1"/>
  <c r="M31" i="1" s="1"/>
  <c r="N31" i="1" s="1"/>
  <c r="O31" i="1"/>
  <c r="L32" i="1"/>
  <c r="M32" i="1" s="1"/>
  <c r="N32" i="1" s="1"/>
  <c r="P32" i="1" s="1"/>
  <c r="O32" i="1"/>
  <c r="L34" i="1"/>
  <c r="M34" i="1" s="1"/>
  <c r="N34" i="1" s="1"/>
  <c r="O34" i="1"/>
  <c r="P34" i="1" s="1"/>
  <c r="L35" i="1"/>
  <c r="M35" i="1"/>
  <c r="N35" i="1" s="1"/>
  <c r="P35" i="1" s="1"/>
  <c r="O35" i="1"/>
  <c r="L36" i="1"/>
  <c r="M36" i="1" s="1"/>
  <c r="N36" i="1" s="1"/>
  <c r="O36" i="1"/>
  <c r="P36" i="1" s="1"/>
  <c r="L37" i="1"/>
  <c r="M37" i="1"/>
  <c r="N37" i="1" s="1"/>
  <c r="O37" i="1"/>
  <c r="L4" i="1"/>
  <c r="M4" i="1" s="1"/>
  <c r="N4" i="1" s="1"/>
  <c r="O4" i="1"/>
  <c r="L5" i="1"/>
  <c r="M5" i="1"/>
  <c r="N5" i="1" s="1"/>
  <c r="P5" i="1" s="1"/>
  <c r="O5" i="1"/>
  <c r="L7" i="1"/>
  <c r="M7" i="1" s="1"/>
  <c r="N7" i="1" s="1"/>
  <c r="P7" i="1" s="1"/>
  <c r="O7" i="1"/>
  <c r="L8" i="1"/>
  <c r="M8" i="1"/>
  <c r="N8" i="1" s="1"/>
  <c r="O8" i="1"/>
  <c r="P8" i="1" s="1"/>
  <c r="L10" i="1"/>
  <c r="M10" i="1" s="1"/>
  <c r="N10" i="1" s="1"/>
  <c r="P10" i="1" s="1"/>
  <c r="O10" i="1"/>
  <c r="L11" i="1"/>
  <c r="M11" i="1"/>
  <c r="N11" i="1" s="1"/>
  <c r="P11" i="1" s="1"/>
  <c r="O11" i="1"/>
  <c r="L12" i="1"/>
  <c r="M12" i="1" s="1"/>
  <c r="N12" i="1" s="1"/>
  <c r="O12" i="1"/>
  <c r="L13" i="1"/>
  <c r="M13" i="1"/>
  <c r="N13" i="1" s="1"/>
  <c r="O13" i="1"/>
  <c r="L16" i="1"/>
  <c r="M16" i="1" s="1"/>
  <c r="N16" i="1" s="1"/>
  <c r="O16" i="1"/>
  <c r="L33" i="1"/>
  <c r="M33" i="1"/>
  <c r="N33" i="1" s="1"/>
  <c r="P33" i="1" s="1"/>
  <c r="O33" i="1"/>
  <c r="L2" i="1"/>
  <c r="M2" i="1" s="1"/>
  <c r="O3" i="1"/>
  <c r="L3" i="1"/>
  <c r="M3" i="1" s="1"/>
  <c r="N3" i="1" s="1"/>
  <c r="O2" i="1"/>
  <c r="P15" i="1" l="1"/>
  <c r="P13" i="1"/>
  <c r="P12" i="1"/>
  <c r="P37" i="1"/>
  <c r="P26" i="1"/>
  <c r="P16" i="1"/>
  <c r="P4" i="1"/>
  <c r="P6" i="1"/>
  <c r="P31" i="1"/>
  <c r="P25" i="1"/>
  <c r="P14" i="1"/>
  <c r="P19" i="1"/>
  <c r="P23" i="1"/>
  <c r="P17" i="1"/>
  <c r="P27" i="1"/>
  <c r="P3" i="1"/>
  <c r="N2" i="1"/>
  <c r="P2" i="1" s="1"/>
</calcChain>
</file>

<file path=xl/sharedStrings.xml><?xml version="1.0" encoding="utf-8"?>
<sst xmlns="http://schemas.openxmlformats.org/spreadsheetml/2006/main" count="89" uniqueCount="53">
  <si>
    <t>Author</t>
  </si>
  <si>
    <t>Year</t>
  </si>
  <si>
    <t>Chearskul</t>
  </si>
  <si>
    <t>Aro</t>
  </si>
  <si>
    <t>McIvor</t>
  </si>
  <si>
    <t>Fuessl</t>
  </si>
  <si>
    <t>Peterson</t>
  </si>
  <si>
    <t>Uusitupa</t>
  </si>
  <si>
    <t>Laajam</t>
  </si>
  <si>
    <t>Groop</t>
  </si>
  <si>
    <t>Rodriguez</t>
  </si>
  <si>
    <t>Alles</t>
  </si>
  <si>
    <t>Vuksan</t>
  </si>
  <si>
    <t>Luo</t>
  </si>
  <si>
    <t>Chen</t>
  </si>
  <si>
    <t>Maeda</t>
  </si>
  <si>
    <t>Ziai</t>
  </si>
  <si>
    <t>Bonsu</t>
  </si>
  <si>
    <t>Ma</t>
  </si>
  <si>
    <t>Dehghan</t>
  </si>
  <si>
    <t>Dall Alba</t>
  </si>
  <si>
    <t>Aliasgharzadeh</t>
  </si>
  <si>
    <t>Gargari</t>
  </si>
  <si>
    <t>Li</t>
  </si>
  <si>
    <t>Cai</t>
  </si>
  <si>
    <t>Soltanian</t>
  </si>
  <si>
    <t>Saki</t>
  </si>
  <si>
    <t>Ghavami</t>
  </si>
  <si>
    <t>Abbasalizad-Farhangi</t>
  </si>
  <si>
    <t>Rashid</t>
  </si>
  <si>
    <t>Reimer</t>
  </si>
  <si>
    <t>Sartore</t>
  </si>
  <si>
    <t>Liatis</t>
  </si>
  <si>
    <t>Cugnet</t>
  </si>
  <si>
    <t>weight</t>
  </si>
  <si>
    <t>wmd</t>
  </si>
  <si>
    <t>lCI</t>
  </si>
  <si>
    <t>wmd_neg</t>
  </si>
  <si>
    <t>lCI_neg</t>
  </si>
  <si>
    <t>uCI_neg</t>
  </si>
  <si>
    <t>uCI</t>
  </si>
  <si>
    <t>n</t>
  </si>
  <si>
    <t>design</t>
  </si>
  <si>
    <t>c</t>
  </si>
  <si>
    <t>p</t>
  </si>
  <si>
    <t>SE</t>
  </si>
  <si>
    <t>pooled_sd</t>
  </si>
  <si>
    <t>d</t>
  </si>
  <si>
    <t>J</t>
  </si>
  <si>
    <t>g</t>
  </si>
  <si>
    <t>se_g</t>
  </si>
  <si>
    <t>Babiker</t>
  </si>
  <si>
    <t>Gonai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</si>
</sst>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workbookViewId="0">
      <selection activeCell="L6" sqref="L6"/>
    </sheetView>
  </sheetViews>
  <sheetFormatPr defaultColWidth="24.5703125" defaultRowHeight="15" x14ac:dyDescent="0.25"/>
  <cols>
    <col min="1" max="1" width="20.140625" bestFit="1" customWidth="1"/>
    <col min="2" max="2" width="5" bestFit="1" customWidth="1"/>
    <col min="3" max="3" width="4" bestFit="1" customWidth="1"/>
    <col min="4" max="4" width="4.7109375" bestFit="1" customWidth="1"/>
    <col min="5" max="5" width="7.140625" bestFit="1" customWidth="1"/>
    <col min="6" max="6" width="9.7109375" bestFit="1" customWidth="1"/>
    <col min="7" max="7" width="7.7109375" bestFit="1" customWidth="1"/>
    <col min="8" max="8" width="8.140625" bestFit="1" customWidth="1"/>
    <col min="9" max="9" width="7" bestFit="1" customWidth="1"/>
    <col min="10" max="10" width="7.7109375" bestFit="1" customWidth="1"/>
    <col min="11" max="11" width="7" bestFit="1" customWidth="1"/>
    <col min="12" max="13" width="12" bestFit="1" customWidth="1"/>
    <col min="14" max="14" width="12.7109375" bestFit="1" customWidth="1"/>
    <col min="15" max="15" width="12" bestFit="1" customWidth="1"/>
    <col min="16" max="16" width="12.7109375" bestFit="1" customWidth="1"/>
    <col min="17" max="17" width="12" bestFit="1" customWidth="1"/>
  </cols>
  <sheetData>
    <row r="1" spans="1:17" ht="30" x14ac:dyDescent="0.25">
      <c r="A1" s="1" t="s">
        <v>0</v>
      </c>
      <c r="B1" s="1" t="s">
        <v>1</v>
      </c>
      <c r="C1" s="1" t="s">
        <v>41</v>
      </c>
      <c r="D1" s="1" t="s">
        <v>42</v>
      </c>
      <c r="E1" t="s">
        <v>34</v>
      </c>
      <c r="F1" t="s">
        <v>37</v>
      </c>
      <c r="G1" t="s">
        <v>38</v>
      </c>
      <c r="H1" t="s">
        <v>39</v>
      </c>
      <c r="I1" t="s">
        <v>35</v>
      </c>
      <c r="J1" t="s">
        <v>36</v>
      </c>
      <c r="K1" t="s">
        <v>40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 spans="1:17" x14ac:dyDescent="0.25">
      <c r="A2" s="2" t="s">
        <v>3</v>
      </c>
      <c r="B2" s="2">
        <v>1981</v>
      </c>
      <c r="C2" s="2">
        <v>9</v>
      </c>
      <c r="D2" s="2" t="s">
        <v>43</v>
      </c>
      <c r="E2">
        <v>0.96</v>
      </c>
      <c r="F2">
        <v>15.94</v>
      </c>
      <c r="G2">
        <v>-94.35</v>
      </c>
      <c r="H2">
        <v>126.23</v>
      </c>
      <c r="I2">
        <v>-15.94</v>
      </c>
      <c r="J2">
        <v>-126.23</v>
      </c>
      <c r="K2">
        <v>94.35</v>
      </c>
      <c r="L2">
        <f t="shared" ref="L2:L37" si="0">(K2-J2)/2/1.96</f>
        <v>56.270408163265301</v>
      </c>
      <c r="M2">
        <f>L2*SQRT(C2)</f>
        <v>168.8112244897959</v>
      </c>
      <c r="N2">
        <f t="shared" ref="N2:N37" si="1">I2/M2</f>
        <v>-9.4425000755583771E-2</v>
      </c>
      <c r="O2">
        <f>1-3/(4*(C2-1)-1)</f>
        <v>0.90322580645161288</v>
      </c>
      <c r="P2">
        <f t="shared" ref="P2:P37" si="2">O2*N2</f>
        <v>-8.5287097456656302E-2</v>
      </c>
      <c r="Q2">
        <f>O2*L2/M2</f>
        <v>0.30107526881720431</v>
      </c>
    </row>
    <row r="3" spans="1:17" x14ac:dyDescent="0.25">
      <c r="A3" s="2" t="s">
        <v>4</v>
      </c>
      <c r="B3" s="2">
        <v>1986</v>
      </c>
      <c r="C3" s="2">
        <v>16</v>
      </c>
      <c r="D3" s="2" t="s">
        <v>44</v>
      </c>
      <c r="E3">
        <v>0.23</v>
      </c>
      <c r="F3">
        <v>92</v>
      </c>
      <c r="G3">
        <v>-155.71</v>
      </c>
      <c r="H3">
        <v>339.71</v>
      </c>
      <c r="I3">
        <v>-92</v>
      </c>
      <c r="J3">
        <v>-339.71</v>
      </c>
      <c r="K3">
        <v>155.71</v>
      </c>
      <c r="L3">
        <f t="shared" si="0"/>
        <v>126.38265306122449</v>
      </c>
      <c r="M3">
        <f>L3*SQRT(C3/4)</f>
        <v>252.76530612244898</v>
      </c>
      <c r="N3">
        <f t="shared" si="1"/>
        <v>-0.36397400185701023</v>
      </c>
      <c r="O3">
        <f>1-3/(4*(C3-2)-1)</f>
        <v>0.94545454545454544</v>
      </c>
      <c r="P3">
        <f t="shared" si="2"/>
        <v>-0.3441208744829915</v>
      </c>
      <c r="Q3">
        <f>O3*L3/M3</f>
        <v>0.47272727272727272</v>
      </c>
    </row>
    <row r="4" spans="1:17" x14ac:dyDescent="0.25">
      <c r="A4" s="2" t="s">
        <v>5</v>
      </c>
      <c r="B4" s="2">
        <v>1987</v>
      </c>
      <c r="C4" s="2">
        <v>18</v>
      </c>
      <c r="D4" s="2" t="s">
        <v>43</v>
      </c>
      <c r="E4">
        <v>1.62</v>
      </c>
      <c r="F4">
        <v>8.86</v>
      </c>
      <c r="G4">
        <v>-67.45</v>
      </c>
      <c r="H4">
        <v>85.17</v>
      </c>
      <c r="I4">
        <v>-8.86</v>
      </c>
      <c r="J4">
        <v>-85.17</v>
      </c>
      <c r="K4">
        <v>67.45</v>
      </c>
      <c r="L4">
        <f t="shared" si="0"/>
        <v>38.933673469387756</v>
      </c>
      <c r="M4">
        <f>L4*SQRT(C4)</f>
        <v>165.18158716024115</v>
      </c>
      <c r="N4">
        <f t="shared" si="1"/>
        <v>-5.363793962946363E-2</v>
      </c>
      <c r="O4">
        <f>1-3/(4*(C4-1)-1)</f>
        <v>0.95522388059701491</v>
      </c>
      <c r="P4">
        <f t="shared" si="2"/>
        <v>-5.1236240840084657E-2</v>
      </c>
      <c r="Q4">
        <f>O4*L4/M4</f>
        <v>0.22514842784049277</v>
      </c>
    </row>
    <row r="5" spans="1:17" x14ac:dyDescent="0.25">
      <c r="A5" s="2" t="s">
        <v>6</v>
      </c>
      <c r="B5" s="2">
        <v>1987</v>
      </c>
      <c r="C5" s="2">
        <v>16</v>
      </c>
      <c r="D5" s="2" t="s">
        <v>43</v>
      </c>
      <c r="E5">
        <v>1.82</v>
      </c>
      <c r="F5">
        <v>-17.71</v>
      </c>
      <c r="G5">
        <v>-87.15</v>
      </c>
      <c r="H5">
        <v>51.73</v>
      </c>
      <c r="I5">
        <v>17.71</v>
      </c>
      <c r="J5">
        <v>-51.73</v>
      </c>
      <c r="K5">
        <v>87.15</v>
      </c>
      <c r="L5">
        <f t="shared" si="0"/>
        <v>35.428571428571431</v>
      </c>
      <c r="M5">
        <f>L5*SQRT(C5)</f>
        <v>141.71428571428572</v>
      </c>
      <c r="N5">
        <f t="shared" si="1"/>
        <v>0.12496975806451613</v>
      </c>
      <c r="O5">
        <f>1-3/(4*(C5-1)-1)</f>
        <v>0.94915254237288138</v>
      </c>
      <c r="P5">
        <f t="shared" si="2"/>
        <v>0.11861536358665938</v>
      </c>
      <c r="Q5">
        <f>O5*L5/M5</f>
        <v>0.23728813559322035</v>
      </c>
    </row>
    <row r="6" spans="1:17" x14ac:dyDescent="0.25">
      <c r="A6" s="2" t="s">
        <v>7</v>
      </c>
      <c r="B6" s="2">
        <v>1989</v>
      </c>
      <c r="C6" s="2">
        <v>33</v>
      </c>
      <c r="D6" s="2" t="s">
        <v>44</v>
      </c>
      <c r="E6">
        <v>1.34</v>
      </c>
      <c r="F6">
        <v>-13.31</v>
      </c>
      <c r="G6">
        <v>-101.21</v>
      </c>
      <c r="H6">
        <v>74.59</v>
      </c>
      <c r="I6">
        <v>13.31</v>
      </c>
      <c r="J6">
        <v>-74.59</v>
      </c>
      <c r="K6">
        <v>101.21</v>
      </c>
      <c r="L6">
        <f t="shared" si="0"/>
        <v>44.84693877551021</v>
      </c>
      <c r="M6">
        <f>L6*SQRT(C6/4)</f>
        <v>128.81302465068694</v>
      </c>
      <c r="N6">
        <f t="shared" si="1"/>
        <v>0.10332806046666353</v>
      </c>
      <c r="O6">
        <f>1-3/(4*(C6-2)-1)</f>
        <v>0.97560975609756095</v>
      </c>
      <c r="P6">
        <f t="shared" si="2"/>
        <v>0.10080786386991564</v>
      </c>
      <c r="Q6">
        <f>O6*L6/M6</f>
        <v>0.339663718937947</v>
      </c>
    </row>
    <row r="7" spans="1:17" x14ac:dyDescent="0.25">
      <c r="A7" s="2" t="s">
        <v>8</v>
      </c>
      <c r="B7" s="2">
        <v>1990</v>
      </c>
      <c r="C7" s="2">
        <v>39</v>
      </c>
      <c r="D7" s="2" t="s">
        <v>43</v>
      </c>
      <c r="E7">
        <v>2.25</v>
      </c>
      <c r="F7">
        <v>-61.14</v>
      </c>
      <c r="G7">
        <v>-118.28</v>
      </c>
      <c r="H7">
        <v>-4</v>
      </c>
      <c r="I7">
        <v>61.14</v>
      </c>
      <c r="J7">
        <v>4</v>
      </c>
      <c r="K7">
        <v>118.28</v>
      </c>
      <c r="L7">
        <f t="shared" si="0"/>
        <v>29.153061224489797</v>
      </c>
      <c r="M7">
        <f>L7*SQRT(C7)</f>
        <v>182.06080899412473</v>
      </c>
      <c r="N7">
        <f t="shared" si="1"/>
        <v>0.33582186269409053</v>
      </c>
      <c r="O7">
        <f>1-3/(4*(C7-1)-1)</f>
        <v>0.98013245033112584</v>
      </c>
      <c r="P7">
        <f t="shared" si="2"/>
        <v>0.32914990515712184</v>
      </c>
      <c r="Q7">
        <f>O7*L7/M7</f>
        <v>0.15694679975597944</v>
      </c>
    </row>
    <row r="8" spans="1:17" x14ac:dyDescent="0.25">
      <c r="A8" s="2" t="s">
        <v>9</v>
      </c>
      <c r="B8" s="2">
        <v>1993</v>
      </c>
      <c r="C8" s="2">
        <v>12</v>
      </c>
      <c r="D8" s="2" t="s">
        <v>43</v>
      </c>
      <c r="E8">
        <v>2.25</v>
      </c>
      <c r="F8">
        <v>-8.86</v>
      </c>
      <c r="G8">
        <v>-65.86</v>
      </c>
      <c r="H8">
        <v>48.14</v>
      </c>
      <c r="I8">
        <v>8.86</v>
      </c>
      <c r="J8">
        <v>-48.14</v>
      </c>
      <c r="K8">
        <v>65.86</v>
      </c>
      <c r="L8">
        <f t="shared" si="0"/>
        <v>29.081632653061224</v>
      </c>
      <c r="M8">
        <f>L8*SQRT(C8)</f>
        <v>100.74173064431224</v>
      </c>
      <c r="N8">
        <f t="shared" si="1"/>
        <v>8.7947665216134785E-2</v>
      </c>
      <c r="O8">
        <f>1-3/(4*(C8-1)-1)</f>
        <v>0.93023255813953487</v>
      </c>
      <c r="P8">
        <f t="shared" si="2"/>
        <v>8.1811781596404454E-2</v>
      </c>
      <c r="Q8">
        <f>O8*L8/M8</f>
        <v>0.26853500892540733</v>
      </c>
    </row>
    <row r="9" spans="1:17" x14ac:dyDescent="0.25">
      <c r="A9" s="2" t="s">
        <v>10</v>
      </c>
      <c r="B9" s="2">
        <v>1998</v>
      </c>
      <c r="C9" s="2">
        <v>123</v>
      </c>
      <c r="D9" s="2" t="s">
        <v>44</v>
      </c>
      <c r="E9">
        <v>3.21</v>
      </c>
      <c r="F9">
        <v>-33</v>
      </c>
      <c r="G9">
        <v>-68.83</v>
      </c>
      <c r="H9">
        <v>2.83</v>
      </c>
      <c r="I9">
        <v>33</v>
      </c>
      <c r="J9">
        <v>-2.83</v>
      </c>
      <c r="K9">
        <v>68.83</v>
      </c>
      <c r="L9">
        <f t="shared" si="0"/>
        <v>18.280612244897959</v>
      </c>
      <c r="M9">
        <f>L9*SQRT(C9/4)</f>
        <v>101.37089873077792</v>
      </c>
      <c r="N9">
        <f t="shared" si="1"/>
        <v>0.32553721445877487</v>
      </c>
      <c r="O9">
        <f>1-3/(4*(C9-2)-1)</f>
        <v>0.99378881987577639</v>
      </c>
      <c r="P9">
        <f t="shared" si="2"/>
        <v>0.32351524418263339</v>
      </c>
      <c r="Q9">
        <f>O9*L9/M9</f>
        <v>0.17921384043079397</v>
      </c>
    </row>
    <row r="10" spans="1:17" x14ac:dyDescent="0.25">
      <c r="A10" s="2" t="s">
        <v>11</v>
      </c>
      <c r="B10" s="2">
        <v>1999</v>
      </c>
      <c r="C10" s="2">
        <v>20</v>
      </c>
      <c r="D10" s="2" t="s">
        <v>43</v>
      </c>
      <c r="E10">
        <v>2.29</v>
      </c>
      <c r="F10">
        <v>10.65</v>
      </c>
      <c r="G10">
        <v>-45.32</v>
      </c>
      <c r="H10">
        <v>66.62</v>
      </c>
      <c r="I10">
        <v>-10.65</v>
      </c>
      <c r="J10">
        <v>-66.62</v>
      </c>
      <c r="K10">
        <v>45.32</v>
      </c>
      <c r="L10">
        <f t="shared" si="0"/>
        <v>28.556122448979593</v>
      </c>
      <c r="M10">
        <f>L10*SQRT(C10)</f>
        <v>127.70686193945228</v>
      </c>
      <c r="N10">
        <f t="shared" si="1"/>
        <v>-8.3394109276988759E-2</v>
      </c>
      <c r="O10">
        <f>1-3/(4*(C10-1)-1)</f>
        <v>0.96</v>
      </c>
      <c r="P10">
        <f t="shared" si="2"/>
        <v>-8.0058344905909212E-2</v>
      </c>
      <c r="Q10">
        <f>O10*L10/M10</f>
        <v>0.2146625258399798</v>
      </c>
    </row>
    <row r="11" spans="1:17" x14ac:dyDescent="0.25">
      <c r="A11" s="2" t="s">
        <v>12</v>
      </c>
      <c r="B11" s="2">
        <v>1999</v>
      </c>
      <c r="C11" s="2">
        <v>11</v>
      </c>
      <c r="D11" s="2" t="s">
        <v>43</v>
      </c>
      <c r="E11">
        <v>1.41</v>
      </c>
      <c r="F11">
        <v>7.06</v>
      </c>
      <c r="G11">
        <v>-77.64</v>
      </c>
      <c r="H11">
        <v>91.76</v>
      </c>
      <c r="I11">
        <v>-7.06</v>
      </c>
      <c r="J11">
        <v>-91.76</v>
      </c>
      <c r="K11">
        <v>77.64</v>
      </c>
      <c r="L11">
        <f t="shared" si="0"/>
        <v>43.214285714285715</v>
      </c>
      <c r="M11">
        <f>L11*SQRT(C11)</f>
        <v>143.3255712975012</v>
      </c>
      <c r="N11">
        <f t="shared" si="1"/>
        <v>-4.9258481484406869E-2</v>
      </c>
      <c r="O11">
        <f>1-3/(4*(C11-1)-1)</f>
        <v>0.92307692307692313</v>
      </c>
      <c r="P11">
        <f t="shared" si="2"/>
        <v>-4.5469367524067883E-2</v>
      </c>
      <c r="Q11">
        <f>O11*L11/M11</f>
        <v>0.278318164225628</v>
      </c>
    </row>
    <row r="12" spans="1:17" x14ac:dyDescent="0.25">
      <c r="A12" s="2" t="s">
        <v>13</v>
      </c>
      <c r="B12" s="2">
        <v>2000</v>
      </c>
      <c r="C12" s="2">
        <v>10</v>
      </c>
      <c r="D12" s="2" t="s">
        <v>43</v>
      </c>
      <c r="E12">
        <v>3.38</v>
      </c>
      <c r="F12">
        <v>-15.95</v>
      </c>
      <c r="G12">
        <v>-48.33</v>
      </c>
      <c r="H12">
        <v>16.43</v>
      </c>
      <c r="I12">
        <v>15.95</v>
      </c>
      <c r="J12">
        <v>-16.43</v>
      </c>
      <c r="K12">
        <v>48.33</v>
      </c>
      <c r="L12">
        <f t="shared" si="0"/>
        <v>16.520408163265305</v>
      </c>
      <c r="M12">
        <f>L12*SQRT(C12)</f>
        <v>52.242117671557203</v>
      </c>
      <c r="N12">
        <f t="shared" si="1"/>
        <v>0.3053092162204567</v>
      </c>
      <c r="O12">
        <f>1-3/(4*(C12-1)-1)</f>
        <v>0.91428571428571426</v>
      </c>
      <c r="P12">
        <f t="shared" si="2"/>
        <v>0.27913985483013182</v>
      </c>
      <c r="Q12">
        <f>O12*L12/M12</f>
        <v>0.28912252892968038</v>
      </c>
    </row>
    <row r="13" spans="1:17" x14ac:dyDescent="0.25">
      <c r="A13" s="2" t="s">
        <v>14</v>
      </c>
      <c r="B13" s="2">
        <v>2003</v>
      </c>
      <c r="C13" s="2">
        <v>22</v>
      </c>
      <c r="D13" s="2" t="s">
        <v>43</v>
      </c>
      <c r="E13">
        <v>3.26</v>
      </c>
      <c r="F13">
        <v>0.01</v>
      </c>
      <c r="G13">
        <v>-34.71</v>
      </c>
      <c r="H13">
        <v>34.729999999999997</v>
      </c>
      <c r="I13">
        <v>-0.01</v>
      </c>
      <c r="J13">
        <v>-34.729999999999997</v>
      </c>
      <c r="K13">
        <v>34.71</v>
      </c>
      <c r="L13">
        <f t="shared" si="0"/>
        <v>17.714285714285715</v>
      </c>
      <c r="M13">
        <f>L13*SQRT(C13)</f>
        <v>83.087364888300755</v>
      </c>
      <c r="N13">
        <f t="shared" si="1"/>
        <v>-1.2035524310397363E-4</v>
      </c>
      <c r="O13">
        <f>1-3/(4*(C13-1)-1)</f>
        <v>0.96385542168674698</v>
      </c>
      <c r="P13">
        <f t="shared" si="2"/>
        <v>-1.1600505359419145E-4</v>
      </c>
      <c r="Q13">
        <f>O13*L13/M13</f>
        <v>0.20549466636685343</v>
      </c>
    </row>
    <row r="14" spans="1:17" x14ac:dyDescent="0.25">
      <c r="A14" s="2" t="s">
        <v>15</v>
      </c>
      <c r="B14" s="2">
        <v>2004</v>
      </c>
      <c r="C14" s="2">
        <v>76</v>
      </c>
      <c r="D14" s="2" t="s">
        <v>44</v>
      </c>
      <c r="E14">
        <v>3.7</v>
      </c>
      <c r="F14">
        <v>0</v>
      </c>
      <c r="G14">
        <v>-25.96</v>
      </c>
      <c r="H14">
        <v>25.96</v>
      </c>
      <c r="I14">
        <v>0</v>
      </c>
      <c r="J14">
        <v>-25.96</v>
      </c>
      <c r="K14">
        <v>25.96</v>
      </c>
      <c r="L14">
        <f t="shared" si="0"/>
        <v>13.244897959183675</v>
      </c>
      <c r="M14">
        <f>L14*SQRT(C14/4)</f>
        <v>57.733171721589748</v>
      </c>
      <c r="N14">
        <f t="shared" si="1"/>
        <v>0</v>
      </c>
      <c r="O14">
        <f>1-3/(4*(C14-2)-1)</f>
        <v>0.98983050847457632</v>
      </c>
      <c r="P14">
        <f t="shared" si="2"/>
        <v>0</v>
      </c>
      <c r="Q14">
        <f>O14*L14/M14</f>
        <v>0.22708269250916621</v>
      </c>
    </row>
    <row r="15" spans="1:17" x14ac:dyDescent="0.25">
      <c r="A15" s="2" t="s">
        <v>16</v>
      </c>
      <c r="B15" s="2">
        <v>2005</v>
      </c>
      <c r="C15" s="2">
        <v>36</v>
      </c>
      <c r="D15" s="2" t="s">
        <v>44</v>
      </c>
      <c r="E15">
        <v>2.2799999999999998</v>
      </c>
      <c r="F15">
        <v>-6</v>
      </c>
      <c r="G15">
        <v>-62.39</v>
      </c>
      <c r="H15">
        <v>50.39</v>
      </c>
      <c r="I15">
        <v>6</v>
      </c>
      <c r="J15">
        <v>-50.39</v>
      </c>
      <c r="K15">
        <v>62.39</v>
      </c>
      <c r="L15">
        <f t="shared" si="0"/>
        <v>28.770408163265309</v>
      </c>
      <c r="M15">
        <f>L15*SQRT(C15/4)</f>
        <v>86.311224489795933</v>
      </c>
      <c r="N15">
        <f t="shared" si="1"/>
        <v>6.9515871608441207E-2</v>
      </c>
      <c r="O15">
        <f>1-3/(4*(C15-2)-1)</f>
        <v>0.97777777777777775</v>
      </c>
      <c r="P15">
        <f t="shared" si="2"/>
        <v>6.7971074461586956E-2</v>
      </c>
      <c r="Q15">
        <f>O15*L15/M15</f>
        <v>0.3259259259259259</v>
      </c>
    </row>
    <row r="16" spans="1:17" x14ac:dyDescent="0.25">
      <c r="A16" s="3" t="s">
        <v>2</v>
      </c>
      <c r="B16" s="2">
        <v>2007</v>
      </c>
      <c r="C16" s="2">
        <v>20</v>
      </c>
      <c r="D16" s="2" t="s">
        <v>43</v>
      </c>
      <c r="E16">
        <v>0.44</v>
      </c>
      <c r="F16">
        <v>39.82</v>
      </c>
      <c r="G16">
        <v>-134.19</v>
      </c>
      <c r="H16">
        <v>213.83</v>
      </c>
      <c r="I16">
        <v>-39.82</v>
      </c>
      <c r="J16">
        <v>-213.83</v>
      </c>
      <c r="K16">
        <v>134.19</v>
      </c>
      <c r="L16">
        <f t="shared" si="0"/>
        <v>88.780612244897952</v>
      </c>
      <c r="M16">
        <f>L16*SQRT(C16)</f>
        <v>397.03896812728408</v>
      </c>
      <c r="N16">
        <f t="shared" si="1"/>
        <v>-0.10029242265014746</v>
      </c>
      <c r="O16">
        <f>1-3/(4*(C16-1)-1)</f>
        <v>0.96</v>
      </c>
      <c r="P16">
        <f t="shared" si="2"/>
        <v>-9.6280725744141551E-2</v>
      </c>
      <c r="Q16">
        <f>O16*L16/M16</f>
        <v>0.21466252583997977</v>
      </c>
    </row>
    <row r="17" spans="1:17" x14ac:dyDescent="0.25">
      <c r="A17" s="2" t="s">
        <v>31</v>
      </c>
      <c r="B17" s="2">
        <v>2009</v>
      </c>
      <c r="C17" s="2">
        <v>40</v>
      </c>
      <c r="D17" s="2" t="s">
        <v>44</v>
      </c>
      <c r="E17">
        <v>3.66</v>
      </c>
      <c r="F17">
        <v>-17</v>
      </c>
      <c r="G17">
        <v>-43.71</v>
      </c>
      <c r="H17">
        <v>9.7100000000000009</v>
      </c>
      <c r="I17">
        <v>17</v>
      </c>
      <c r="J17">
        <v>-9.7100000000000009</v>
      </c>
      <c r="K17">
        <v>43.71</v>
      </c>
      <c r="L17">
        <f t="shared" si="0"/>
        <v>13.627551020408164</v>
      </c>
      <c r="M17">
        <f t="shared" ref="M17:M32" si="3">L17*SQRT(C17/4)</f>
        <v>43.094100154641545</v>
      </c>
      <c r="N17">
        <f t="shared" si="1"/>
        <v>0.39448555461179474</v>
      </c>
      <c r="O17">
        <f t="shared" ref="O17:O32" si="4">1-3/(4*(C17-2)-1)</f>
        <v>0.98013245033112584</v>
      </c>
      <c r="P17">
        <f t="shared" si="2"/>
        <v>0.38664809326189153</v>
      </c>
      <c r="Q17">
        <f>O17*L17/M17</f>
        <v>0.30994509516882124</v>
      </c>
    </row>
    <row r="18" spans="1:17" x14ac:dyDescent="0.25">
      <c r="A18" s="2" t="s">
        <v>32</v>
      </c>
      <c r="B18" s="2">
        <v>2009</v>
      </c>
      <c r="C18" s="2">
        <v>41</v>
      </c>
      <c r="D18" s="2" t="s">
        <v>44</v>
      </c>
      <c r="E18">
        <v>3.22</v>
      </c>
      <c r="F18">
        <v>-13.29</v>
      </c>
      <c r="G18">
        <v>-48.98</v>
      </c>
      <c r="H18">
        <v>22.4</v>
      </c>
      <c r="I18">
        <v>13.29</v>
      </c>
      <c r="J18">
        <v>-22.4</v>
      </c>
      <c r="K18">
        <v>48.98</v>
      </c>
      <c r="L18">
        <f t="shared" si="0"/>
        <v>18.209183673469386</v>
      </c>
      <c r="M18">
        <f t="shared" si="3"/>
        <v>58.297832661729167</v>
      </c>
      <c r="N18">
        <f t="shared" si="1"/>
        <v>0.22796730844377511</v>
      </c>
      <c r="O18">
        <f t="shared" si="4"/>
        <v>0.98064516129032253</v>
      </c>
      <c r="P18">
        <f t="shared" si="2"/>
        <v>0.22355503795776654</v>
      </c>
      <c r="Q18">
        <f>O18*L18/M18</f>
        <v>0.30630208783313712</v>
      </c>
    </row>
    <row r="19" spans="1:17" x14ac:dyDescent="0.25">
      <c r="A19" s="2" t="s">
        <v>33</v>
      </c>
      <c r="B19" s="2">
        <v>2010</v>
      </c>
      <c r="C19" s="2">
        <v>53</v>
      </c>
      <c r="D19" s="2" t="s">
        <v>44</v>
      </c>
      <c r="E19">
        <v>3.97</v>
      </c>
      <c r="F19">
        <v>-21.26</v>
      </c>
      <c r="G19">
        <v>-41.09</v>
      </c>
      <c r="H19">
        <v>-1.43</v>
      </c>
      <c r="I19">
        <v>21.26</v>
      </c>
      <c r="J19">
        <v>1.43</v>
      </c>
      <c r="K19">
        <v>41.09</v>
      </c>
      <c r="L19">
        <f t="shared" si="0"/>
        <v>10.117346938775512</v>
      </c>
      <c r="M19">
        <f t="shared" si="3"/>
        <v>36.827698751130789</v>
      </c>
      <c r="N19">
        <f t="shared" si="1"/>
        <v>0.57728288003190031</v>
      </c>
      <c r="O19">
        <f t="shared" si="4"/>
        <v>0.98522167487684731</v>
      </c>
      <c r="P19">
        <f t="shared" si="2"/>
        <v>0.56875160594275898</v>
      </c>
      <c r="Q19">
        <f>O19*L19/M19</f>
        <v>0.27066120975111141</v>
      </c>
    </row>
    <row r="20" spans="1:17" x14ac:dyDescent="0.25">
      <c r="A20" s="2" t="s">
        <v>17</v>
      </c>
      <c r="B20" s="2">
        <v>2012</v>
      </c>
      <c r="C20" s="2">
        <v>26</v>
      </c>
      <c r="D20" s="2" t="s">
        <v>44</v>
      </c>
      <c r="E20">
        <v>2.19</v>
      </c>
      <c r="F20">
        <v>-17.71</v>
      </c>
      <c r="G20">
        <v>-76.430000000000007</v>
      </c>
      <c r="H20">
        <v>41.01</v>
      </c>
      <c r="I20">
        <v>17.71</v>
      </c>
      <c r="J20">
        <v>-41.01</v>
      </c>
      <c r="K20">
        <v>76.430000000000007</v>
      </c>
      <c r="L20">
        <f t="shared" si="0"/>
        <v>29.959183673469386</v>
      </c>
      <c r="M20">
        <f t="shared" si="3"/>
        <v>76.381231081165382</v>
      </c>
      <c r="N20">
        <f t="shared" si="1"/>
        <v>0.2318632437487258</v>
      </c>
      <c r="O20">
        <f t="shared" si="4"/>
        <v>0.96842105263157896</v>
      </c>
      <c r="P20">
        <f t="shared" si="2"/>
        <v>0.2245412465777134</v>
      </c>
      <c r="Q20">
        <f>O20*L20/M20</f>
        <v>0.37984598805711439</v>
      </c>
    </row>
    <row r="21" spans="1:17" x14ac:dyDescent="0.25">
      <c r="A21" s="2" t="s">
        <v>18</v>
      </c>
      <c r="B21" s="2">
        <v>2013</v>
      </c>
      <c r="C21" s="2">
        <v>126</v>
      </c>
      <c r="D21" s="2" t="s">
        <v>44</v>
      </c>
      <c r="E21">
        <v>3.26</v>
      </c>
      <c r="F21">
        <v>-10.63</v>
      </c>
      <c r="G21">
        <v>-45.43</v>
      </c>
      <c r="H21">
        <v>24.17</v>
      </c>
      <c r="I21">
        <v>10.63</v>
      </c>
      <c r="J21">
        <v>-24.17</v>
      </c>
      <c r="K21">
        <v>45.43</v>
      </c>
      <c r="L21">
        <f t="shared" si="0"/>
        <v>17.755102040816325</v>
      </c>
      <c r="M21">
        <f t="shared" si="3"/>
        <v>99.650263055918231</v>
      </c>
      <c r="N21">
        <f t="shared" si="1"/>
        <v>0.10667307515319885</v>
      </c>
      <c r="O21">
        <f t="shared" si="4"/>
        <v>0.9939393939393939</v>
      </c>
      <c r="P21">
        <f t="shared" si="2"/>
        <v>0.10602657166742188</v>
      </c>
      <c r="Q21">
        <f>O21*L21/M21</f>
        <v>0.17709431787328322</v>
      </c>
    </row>
    <row r="22" spans="1:17" x14ac:dyDescent="0.25">
      <c r="A22" s="2" t="s">
        <v>19</v>
      </c>
      <c r="B22" s="2">
        <v>2013</v>
      </c>
      <c r="C22" s="2">
        <v>49</v>
      </c>
      <c r="D22" s="2" t="s">
        <v>44</v>
      </c>
      <c r="E22">
        <v>3.02</v>
      </c>
      <c r="F22">
        <v>-57.05</v>
      </c>
      <c r="G22">
        <v>-96.75</v>
      </c>
      <c r="H22">
        <v>-17.350000000000001</v>
      </c>
      <c r="I22">
        <v>57.05</v>
      </c>
      <c r="J22">
        <v>17.350000000000001</v>
      </c>
      <c r="K22">
        <v>96.75</v>
      </c>
      <c r="L22">
        <f t="shared" si="0"/>
        <v>20.255102040816329</v>
      </c>
      <c r="M22">
        <f t="shared" si="3"/>
        <v>70.892857142857153</v>
      </c>
      <c r="N22">
        <f t="shared" si="1"/>
        <v>0.80473551637279583</v>
      </c>
      <c r="O22">
        <f t="shared" si="4"/>
        <v>0.98395721925133695</v>
      </c>
      <c r="P22">
        <f t="shared" si="2"/>
        <v>0.79182532092296487</v>
      </c>
      <c r="Q22">
        <f>O22*L22/M22</f>
        <v>0.28113063407181055</v>
      </c>
    </row>
    <row r="23" spans="1:17" x14ac:dyDescent="0.25">
      <c r="A23" s="2" t="s">
        <v>20</v>
      </c>
      <c r="B23" s="2">
        <v>2013</v>
      </c>
      <c r="C23" s="2">
        <v>44</v>
      </c>
      <c r="D23" s="2" t="s">
        <v>44</v>
      </c>
      <c r="E23">
        <v>3.9</v>
      </c>
      <c r="F23">
        <v>13.29</v>
      </c>
      <c r="G23">
        <v>-8.19</v>
      </c>
      <c r="H23">
        <v>34.770000000000003</v>
      </c>
      <c r="I23">
        <v>-13.29</v>
      </c>
      <c r="J23">
        <v>-34.770000000000003</v>
      </c>
      <c r="K23">
        <v>8.19</v>
      </c>
      <c r="L23">
        <f t="shared" si="0"/>
        <v>10.959183673469388</v>
      </c>
      <c r="M23">
        <f t="shared" si="3"/>
        <v>36.347500253486729</v>
      </c>
      <c r="N23">
        <f t="shared" si="1"/>
        <v>-0.36563724898041983</v>
      </c>
      <c r="O23">
        <f t="shared" si="4"/>
        <v>0.98203592814371254</v>
      </c>
      <c r="P23">
        <f t="shared" si="2"/>
        <v>-0.35906891516640027</v>
      </c>
      <c r="Q23">
        <f>O23*L23/M23</f>
        <v>0.29609497311828287</v>
      </c>
    </row>
    <row r="24" spans="1:17" x14ac:dyDescent="0.25">
      <c r="A24" s="2" t="s">
        <v>21</v>
      </c>
      <c r="B24" s="2">
        <v>2015</v>
      </c>
      <c r="C24" s="2">
        <v>52</v>
      </c>
      <c r="D24" s="2" t="s">
        <v>44</v>
      </c>
      <c r="E24">
        <v>3.14</v>
      </c>
      <c r="F24">
        <v>-37.299999999999997</v>
      </c>
      <c r="G24">
        <v>-74.47</v>
      </c>
      <c r="H24">
        <v>-0.13</v>
      </c>
      <c r="I24">
        <v>37.299999999999997</v>
      </c>
      <c r="J24">
        <v>0.13</v>
      </c>
      <c r="K24">
        <v>74.47</v>
      </c>
      <c r="L24">
        <f t="shared" si="0"/>
        <v>18.964285714285715</v>
      </c>
      <c r="M24">
        <f t="shared" si="3"/>
        <v>68.376704545406369</v>
      </c>
      <c r="N24">
        <f t="shared" si="1"/>
        <v>0.54550742461170365</v>
      </c>
      <c r="O24">
        <f t="shared" si="4"/>
        <v>0.98492462311557794</v>
      </c>
      <c r="P24">
        <f t="shared" si="2"/>
        <v>0.53728369459243175</v>
      </c>
      <c r="Q24">
        <f>O24*L24/M24</f>
        <v>0.2731689408546355</v>
      </c>
    </row>
    <row r="25" spans="1:17" x14ac:dyDescent="0.25">
      <c r="A25" s="2" t="s">
        <v>22</v>
      </c>
      <c r="B25" s="2">
        <v>2015</v>
      </c>
      <c r="C25" s="2">
        <v>60</v>
      </c>
      <c r="D25" s="2" t="s">
        <v>44</v>
      </c>
      <c r="E25">
        <v>3.91</v>
      </c>
      <c r="F25">
        <v>-37.299999999999997</v>
      </c>
      <c r="G25">
        <v>-58.54</v>
      </c>
      <c r="H25">
        <v>-16.059999999999999</v>
      </c>
      <c r="I25">
        <v>37.299999999999997</v>
      </c>
      <c r="J25">
        <v>16.059999999999999</v>
      </c>
      <c r="K25">
        <v>58.54</v>
      </c>
      <c r="L25">
        <f t="shared" si="0"/>
        <v>10.836734693877553</v>
      </c>
      <c r="M25">
        <f t="shared" si="3"/>
        <v>41.970492996655892</v>
      </c>
      <c r="N25">
        <f t="shared" si="1"/>
        <v>0.88871960600920197</v>
      </c>
      <c r="O25">
        <f t="shared" si="4"/>
        <v>0.98701298701298701</v>
      </c>
      <c r="P25">
        <f t="shared" si="2"/>
        <v>0.87717779294414744</v>
      </c>
      <c r="Q25">
        <f>O25*L25/M25</f>
        <v>0.25484565741278242</v>
      </c>
    </row>
    <row r="26" spans="1:17" x14ac:dyDescent="0.25">
      <c r="A26" s="2" t="s">
        <v>23</v>
      </c>
      <c r="B26" s="2">
        <v>2016</v>
      </c>
      <c r="C26" s="2">
        <v>139</v>
      </c>
      <c r="D26" s="2" t="s">
        <v>44</v>
      </c>
      <c r="E26">
        <v>3.49</v>
      </c>
      <c r="F26">
        <v>-23.02</v>
      </c>
      <c r="G26">
        <v>-53.26</v>
      </c>
      <c r="H26">
        <v>7.22</v>
      </c>
      <c r="I26">
        <v>23.02</v>
      </c>
      <c r="J26">
        <v>-7.22</v>
      </c>
      <c r="K26">
        <v>53.26</v>
      </c>
      <c r="L26">
        <f t="shared" si="0"/>
        <v>15.428571428571429</v>
      </c>
      <c r="M26">
        <f t="shared" si="3"/>
        <v>90.950087231112306</v>
      </c>
      <c r="N26">
        <f t="shared" si="1"/>
        <v>0.25310585949746395</v>
      </c>
      <c r="O26">
        <f t="shared" si="4"/>
        <v>0.99451553930530168</v>
      </c>
      <c r="P26">
        <f t="shared" si="2"/>
        <v>0.25171771035945228</v>
      </c>
      <c r="Q26">
        <f>O26*L26/M26</f>
        <v>0.16870741416669258</v>
      </c>
    </row>
    <row r="27" spans="1:17" x14ac:dyDescent="0.25">
      <c r="A27" s="2" t="s">
        <v>19</v>
      </c>
      <c r="B27" s="2">
        <v>2016</v>
      </c>
      <c r="C27" s="2">
        <v>49</v>
      </c>
      <c r="D27" s="2" t="s">
        <v>44</v>
      </c>
      <c r="E27">
        <v>3.09</v>
      </c>
      <c r="F27">
        <v>-47.39</v>
      </c>
      <c r="G27">
        <v>-85.65</v>
      </c>
      <c r="H27">
        <v>-9.1300000000000008</v>
      </c>
      <c r="I27">
        <v>47.39</v>
      </c>
      <c r="J27">
        <v>9.1300000000000008</v>
      </c>
      <c r="K27">
        <v>85.65</v>
      </c>
      <c r="L27">
        <f t="shared" si="0"/>
        <v>19.520408163265309</v>
      </c>
      <c r="M27">
        <f t="shared" si="3"/>
        <v>68.321428571428584</v>
      </c>
      <c r="N27">
        <f t="shared" si="1"/>
        <v>0.69363303711447977</v>
      </c>
      <c r="O27">
        <f t="shared" si="4"/>
        <v>0.98395721925133695</v>
      </c>
      <c r="P27">
        <f t="shared" si="2"/>
        <v>0.68250523438002286</v>
      </c>
      <c r="Q27">
        <f>O27*L27/M27</f>
        <v>0.28113063407181055</v>
      </c>
    </row>
    <row r="28" spans="1:17" x14ac:dyDescent="0.25">
      <c r="A28" s="2" t="s">
        <v>14</v>
      </c>
      <c r="B28" s="2">
        <v>2016</v>
      </c>
      <c r="C28" s="2">
        <v>77</v>
      </c>
      <c r="D28" s="2" t="s">
        <v>44</v>
      </c>
      <c r="E28">
        <v>1.46</v>
      </c>
      <c r="F28">
        <v>-113.37</v>
      </c>
      <c r="G28">
        <v>-196.2</v>
      </c>
      <c r="H28">
        <v>-30.54</v>
      </c>
      <c r="I28">
        <v>113.37</v>
      </c>
      <c r="J28">
        <v>30.54</v>
      </c>
      <c r="K28">
        <v>196.2</v>
      </c>
      <c r="L28">
        <f t="shared" si="0"/>
        <v>42.260204081632651</v>
      </c>
      <c r="M28">
        <f t="shared" si="3"/>
        <v>185.41589291012485</v>
      </c>
      <c r="N28">
        <f t="shared" si="1"/>
        <v>0.61143625943086188</v>
      </c>
      <c r="O28">
        <f t="shared" si="4"/>
        <v>0.98996655518394649</v>
      </c>
      <c r="P28">
        <f t="shared" si="2"/>
        <v>0.60530144746332815</v>
      </c>
      <c r="Q28">
        <f>O28*L28/M28</f>
        <v>0.22563431860904903</v>
      </c>
    </row>
    <row r="29" spans="1:17" x14ac:dyDescent="0.25">
      <c r="A29" s="2" t="s">
        <v>52</v>
      </c>
      <c r="B29" s="2">
        <v>2017</v>
      </c>
      <c r="C29" s="2">
        <v>52</v>
      </c>
      <c r="D29" s="2" t="s">
        <v>44</v>
      </c>
      <c r="E29">
        <v>0.64</v>
      </c>
      <c r="F29">
        <v>-3.3</v>
      </c>
      <c r="G29">
        <v>-143.72</v>
      </c>
      <c r="H29">
        <v>137.12</v>
      </c>
      <c r="I29">
        <v>3.3</v>
      </c>
      <c r="J29">
        <v>-137.12</v>
      </c>
      <c r="K29">
        <v>143.72</v>
      </c>
      <c r="L29">
        <f t="shared" si="0"/>
        <v>71.642857142857153</v>
      </c>
      <c r="M29">
        <f t="shared" si="3"/>
        <v>258.31199494931298</v>
      </c>
      <c r="N29">
        <f t="shared" si="1"/>
        <v>1.277524878644346E-2</v>
      </c>
      <c r="O29">
        <f t="shared" si="4"/>
        <v>0.98492462311557794</v>
      </c>
      <c r="P29">
        <f t="shared" si="2"/>
        <v>1.2582657096195569E-2</v>
      </c>
      <c r="Q29">
        <f>O29*L29/M29</f>
        <v>0.2731689408546355</v>
      </c>
    </row>
    <row r="30" spans="1:17" x14ac:dyDescent="0.25">
      <c r="A30" s="2" t="s">
        <v>24</v>
      </c>
      <c r="B30" s="2">
        <v>2018</v>
      </c>
      <c r="C30" s="2">
        <v>99</v>
      </c>
      <c r="D30" s="2" t="s">
        <v>44</v>
      </c>
      <c r="E30">
        <v>4.05</v>
      </c>
      <c r="F30">
        <v>-0.88</v>
      </c>
      <c r="G30">
        <v>-18.75</v>
      </c>
      <c r="H30">
        <v>16.989999999999998</v>
      </c>
      <c r="I30">
        <v>0.88</v>
      </c>
      <c r="J30">
        <v>-16.989999999999998</v>
      </c>
      <c r="K30">
        <v>18.75</v>
      </c>
      <c r="L30">
        <f t="shared" si="0"/>
        <v>9.1173469387755084</v>
      </c>
      <c r="M30">
        <f t="shared" si="3"/>
        <v>45.358228319120649</v>
      </c>
      <c r="N30">
        <f t="shared" si="1"/>
        <v>1.9401110506537096E-2</v>
      </c>
      <c r="O30">
        <f t="shared" si="4"/>
        <v>0.99224806201550386</v>
      </c>
      <c r="P30">
        <f t="shared" si="2"/>
        <v>1.9250714301060064E-2</v>
      </c>
      <c r="Q30">
        <f>O30*L30/M30</f>
        <v>0.19944936488864984</v>
      </c>
    </row>
    <row r="31" spans="1:17" x14ac:dyDescent="0.25">
      <c r="A31" s="2" t="s">
        <v>25</v>
      </c>
      <c r="B31" s="2">
        <v>2018</v>
      </c>
      <c r="C31" s="2">
        <v>51</v>
      </c>
      <c r="D31" s="2" t="s">
        <v>44</v>
      </c>
      <c r="E31">
        <v>3.99</v>
      </c>
      <c r="F31">
        <v>-5.2</v>
      </c>
      <c r="G31">
        <v>-24.6</v>
      </c>
      <c r="H31">
        <v>14.2</v>
      </c>
      <c r="I31">
        <v>5.2</v>
      </c>
      <c r="J31">
        <v>-14.2</v>
      </c>
      <c r="K31">
        <v>24.6</v>
      </c>
      <c r="L31">
        <f t="shared" si="0"/>
        <v>9.8979591836734695</v>
      </c>
      <c r="M31">
        <f t="shared" si="3"/>
        <v>35.342783549421249</v>
      </c>
      <c r="N31">
        <f t="shared" si="1"/>
        <v>0.14713045996302551</v>
      </c>
      <c r="O31">
        <f t="shared" si="4"/>
        <v>0.98461538461538467</v>
      </c>
      <c r="P31">
        <f t="shared" si="2"/>
        <v>0.14486691442513283</v>
      </c>
      <c r="Q31">
        <f>O31*L31/M31</f>
        <v>0.27574746270090039</v>
      </c>
    </row>
    <row r="32" spans="1:17" x14ac:dyDescent="0.25">
      <c r="A32" s="2" t="s">
        <v>51</v>
      </c>
      <c r="B32" s="2">
        <v>2018</v>
      </c>
      <c r="C32" s="2">
        <v>91</v>
      </c>
      <c r="D32" s="2" t="s">
        <v>44</v>
      </c>
      <c r="E32">
        <v>4.12</v>
      </c>
      <c r="F32">
        <v>15.06</v>
      </c>
      <c r="G32">
        <v>-1.02</v>
      </c>
      <c r="H32">
        <v>31.14</v>
      </c>
      <c r="I32">
        <v>-15.06</v>
      </c>
      <c r="J32">
        <v>-31.14</v>
      </c>
      <c r="K32">
        <v>1.02</v>
      </c>
      <c r="L32">
        <f t="shared" si="0"/>
        <v>8.2040816326530628</v>
      </c>
      <c r="M32">
        <f t="shared" si="3"/>
        <v>39.130975405062472</v>
      </c>
      <c r="N32">
        <f t="shared" si="1"/>
        <v>-0.38486134945799616</v>
      </c>
      <c r="O32">
        <f t="shared" si="4"/>
        <v>0.9915492957746479</v>
      </c>
      <c r="P32">
        <f t="shared" si="2"/>
        <v>-0.38160900002595677</v>
      </c>
      <c r="Q32">
        <f>O32*L32/M32</f>
        <v>0.20788521832457196</v>
      </c>
    </row>
    <row r="33" spans="1:17" x14ac:dyDescent="0.25">
      <c r="A33" s="2" t="s">
        <v>26</v>
      </c>
      <c r="B33" s="2">
        <v>2019</v>
      </c>
      <c r="C33" s="2">
        <v>28</v>
      </c>
      <c r="D33" s="2" t="s">
        <v>43</v>
      </c>
      <c r="E33">
        <v>2.5499999999999998</v>
      </c>
      <c r="F33">
        <v>11.51</v>
      </c>
      <c r="G33">
        <v>-38.36</v>
      </c>
      <c r="H33">
        <v>61.38</v>
      </c>
      <c r="I33">
        <v>-11.51</v>
      </c>
      <c r="J33">
        <v>-61.38</v>
      </c>
      <c r="K33">
        <v>38.36</v>
      </c>
      <c r="L33">
        <f t="shared" si="0"/>
        <v>25.44387755102041</v>
      </c>
      <c r="M33">
        <f>L33*SQRT(C33)</f>
        <v>134.63634477835831</v>
      </c>
      <c r="N33">
        <f t="shared" si="1"/>
        <v>-8.5489546072778838E-2</v>
      </c>
      <c r="O33">
        <f>1-3/(4*(C33-1)-1)</f>
        <v>0.9719626168224299</v>
      </c>
      <c r="P33">
        <f t="shared" si="2"/>
        <v>-8.3092642911859804E-2</v>
      </c>
      <c r="Q33">
        <f>O33*L33/M33</f>
        <v>0.18368366912597958</v>
      </c>
    </row>
    <row r="34" spans="1:17" x14ac:dyDescent="0.25">
      <c r="A34" s="2" t="s">
        <v>27</v>
      </c>
      <c r="B34" s="2">
        <v>2019</v>
      </c>
      <c r="C34" s="2">
        <v>46</v>
      </c>
      <c r="D34" s="2" t="s">
        <v>44</v>
      </c>
      <c r="E34">
        <v>3.04</v>
      </c>
      <c r="F34">
        <v>-7.3</v>
      </c>
      <c r="G34">
        <v>-46.6</v>
      </c>
      <c r="H34">
        <v>32</v>
      </c>
      <c r="I34">
        <v>7.3</v>
      </c>
      <c r="J34">
        <v>-32</v>
      </c>
      <c r="K34">
        <v>46.6</v>
      </c>
      <c r="L34">
        <f t="shared" si="0"/>
        <v>20.051020408163264</v>
      </c>
      <c r="M34">
        <f>L34*SQRT(C34/4)</f>
        <v>67.996318453271186</v>
      </c>
      <c r="N34">
        <f t="shared" si="1"/>
        <v>0.10735875362159125</v>
      </c>
      <c r="O34">
        <f>1-3/(4*(C34-2)-1)</f>
        <v>0.98285714285714287</v>
      </c>
      <c r="P34">
        <f t="shared" si="2"/>
        <v>0.10551831784522112</v>
      </c>
      <c r="Q34">
        <f>O34*L34/M34</f>
        <v>0.28982875952734061</v>
      </c>
    </row>
    <row r="35" spans="1:17" x14ac:dyDescent="0.25">
      <c r="A35" s="2" t="s">
        <v>28</v>
      </c>
      <c r="B35" s="2">
        <v>2019</v>
      </c>
      <c r="C35" s="2">
        <v>65</v>
      </c>
      <c r="D35" s="2" t="s">
        <v>44</v>
      </c>
      <c r="E35">
        <v>4.42</v>
      </c>
      <c r="F35">
        <v>-51.1</v>
      </c>
      <c r="G35">
        <v>-55.54</v>
      </c>
      <c r="H35">
        <v>-46.66</v>
      </c>
      <c r="I35">
        <v>51.1</v>
      </c>
      <c r="J35">
        <v>46.66</v>
      </c>
      <c r="K35">
        <v>55.54</v>
      </c>
      <c r="L35">
        <f t="shared" si="0"/>
        <v>2.2653061224489801</v>
      </c>
      <c r="M35">
        <f>L35*SQRT(C35/4)</f>
        <v>9.1317409189912162</v>
      </c>
      <c r="N35">
        <f t="shared" si="1"/>
        <v>5.5958661610435856</v>
      </c>
      <c r="O35">
        <f>1-3/(4*(C35-2)-1)</f>
        <v>0.98804780876494025</v>
      </c>
      <c r="P35">
        <f t="shared" si="2"/>
        <v>5.528983298560993</v>
      </c>
      <c r="Q35">
        <f>O35*L35/M35</f>
        <v>0.24510449544321669</v>
      </c>
    </row>
    <row r="36" spans="1:17" x14ac:dyDescent="0.25">
      <c r="A36" s="2" t="s">
        <v>29</v>
      </c>
      <c r="B36" s="2">
        <v>2019</v>
      </c>
      <c r="C36" s="2">
        <v>64</v>
      </c>
      <c r="D36" s="2" t="s">
        <v>44</v>
      </c>
      <c r="E36">
        <v>3.98</v>
      </c>
      <c r="F36">
        <v>-49.59</v>
      </c>
      <c r="G36">
        <v>-69.22</v>
      </c>
      <c r="H36">
        <v>-29.96</v>
      </c>
      <c r="I36">
        <v>49.59</v>
      </c>
      <c r="J36">
        <v>29.96</v>
      </c>
      <c r="K36">
        <v>69.22</v>
      </c>
      <c r="L36">
        <f t="shared" si="0"/>
        <v>10.01530612244898</v>
      </c>
      <c r="M36">
        <f>L36*SQRT(C36/4)</f>
        <v>40.061224489795919</v>
      </c>
      <c r="N36">
        <f t="shared" si="1"/>
        <v>1.2378553234844627</v>
      </c>
      <c r="O36">
        <f>1-3/(4*(C36-2)-1)</f>
        <v>0.98785425101214575</v>
      </c>
      <c r="P36">
        <f t="shared" si="2"/>
        <v>1.2228206434421414</v>
      </c>
      <c r="Q36">
        <f>O36*L36/M36</f>
        <v>0.24696356275303646</v>
      </c>
    </row>
    <row r="37" spans="1:17" x14ac:dyDescent="0.25">
      <c r="A37" s="2" t="s">
        <v>30</v>
      </c>
      <c r="B37" s="2">
        <v>2020</v>
      </c>
      <c r="C37" s="2">
        <v>100</v>
      </c>
      <c r="D37" s="2" t="s">
        <v>44</v>
      </c>
      <c r="E37">
        <v>4.4400000000000004</v>
      </c>
      <c r="F37">
        <v>0</v>
      </c>
      <c r="G37">
        <v>-0.28000000000000003</v>
      </c>
      <c r="H37">
        <v>0.28000000000000003</v>
      </c>
      <c r="I37">
        <v>0</v>
      </c>
      <c r="J37">
        <v>-0.28000000000000003</v>
      </c>
      <c r="K37">
        <v>0.28000000000000003</v>
      </c>
      <c r="L37">
        <f t="shared" si="0"/>
        <v>0.14285714285714288</v>
      </c>
      <c r="M37">
        <f>L37*SQRT(C37/4)</f>
        <v>0.71428571428571441</v>
      </c>
      <c r="N37">
        <f t="shared" si="1"/>
        <v>0</v>
      </c>
      <c r="O37">
        <f>1-3/(4*(C37-2)-1)</f>
        <v>0.99232736572890023</v>
      </c>
      <c r="P37">
        <f t="shared" si="2"/>
        <v>0</v>
      </c>
      <c r="Q37">
        <f>O37*L37/M37</f>
        <v>0.19846547314578003</v>
      </c>
    </row>
  </sheetData>
  <sortState xmlns:xlrd2="http://schemas.microsoft.com/office/spreadsheetml/2017/richdata2" ref="A2:Q37">
    <sortCondition ref="B2:B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2025-12-30T01:06:16Z</dcterms:modified>
</cp:coreProperties>
</file>