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gupta2025\"/>
    </mc:Choice>
  </mc:AlternateContent>
  <xr:revisionPtr revIDLastSave="0" documentId="13_ncr:1_{0C0917F4-0422-468A-A3ED-9503760280A5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2" i="1"/>
  <c r="I12" i="1"/>
  <c r="J12" i="1"/>
  <c r="K12" i="1"/>
  <c r="L12" i="1" s="1"/>
  <c r="M12" i="1" s="1"/>
  <c r="O12" i="1"/>
  <c r="I13" i="1"/>
  <c r="J13" i="1"/>
  <c r="K13" i="1"/>
  <c r="L13" i="1" s="1"/>
  <c r="M13" i="1" s="1"/>
  <c r="O13" i="1"/>
  <c r="I14" i="1"/>
  <c r="J14" i="1"/>
  <c r="K14" i="1"/>
  <c r="L14" i="1"/>
  <c r="M14" i="1"/>
  <c r="N14" i="1"/>
  <c r="O14" i="1"/>
  <c r="P14" i="1" s="1"/>
  <c r="I15" i="1"/>
  <c r="J15" i="1"/>
  <c r="K15" i="1"/>
  <c r="L15" i="1" s="1"/>
  <c r="M15" i="1" s="1"/>
  <c r="O15" i="1"/>
  <c r="I16" i="1"/>
  <c r="J16" i="1"/>
  <c r="K16" i="1"/>
  <c r="L16" i="1"/>
  <c r="M16" i="1" s="1"/>
  <c r="N16" i="1" s="1"/>
  <c r="P16" i="1" s="1"/>
  <c r="O16" i="1"/>
  <c r="I17" i="1"/>
  <c r="J17" i="1"/>
  <c r="K17" i="1"/>
  <c r="L17" i="1" s="1"/>
  <c r="M17" i="1" s="1"/>
  <c r="O17" i="1"/>
  <c r="I18" i="1"/>
  <c r="J18" i="1"/>
  <c r="K18" i="1"/>
  <c r="L18" i="1"/>
  <c r="M18" i="1"/>
  <c r="N18" i="1"/>
  <c r="O18" i="1"/>
  <c r="P18" i="1" s="1"/>
  <c r="I19" i="1"/>
  <c r="N19" i="1" s="1"/>
  <c r="P19" i="1" s="1"/>
  <c r="J19" i="1"/>
  <c r="K19" i="1"/>
  <c r="L19" i="1" s="1"/>
  <c r="M19" i="1" s="1"/>
  <c r="O19" i="1"/>
  <c r="I20" i="1"/>
  <c r="J20" i="1"/>
  <c r="K20" i="1"/>
  <c r="L20" i="1"/>
  <c r="M20" i="1" s="1"/>
  <c r="O20" i="1"/>
  <c r="I21" i="1"/>
  <c r="J21" i="1"/>
  <c r="K21" i="1"/>
  <c r="L21" i="1" s="1"/>
  <c r="M21" i="1" s="1"/>
  <c r="O21" i="1"/>
  <c r="I22" i="1"/>
  <c r="J22" i="1"/>
  <c r="K22" i="1"/>
  <c r="L22" i="1"/>
  <c r="M22" i="1"/>
  <c r="N22" i="1"/>
  <c r="O22" i="1"/>
  <c r="P22" i="1" s="1"/>
  <c r="I23" i="1"/>
  <c r="N23" i="1" s="1"/>
  <c r="P23" i="1" s="1"/>
  <c r="J23" i="1"/>
  <c r="K23" i="1"/>
  <c r="L23" i="1" s="1"/>
  <c r="M23" i="1" s="1"/>
  <c r="O23" i="1"/>
  <c r="I24" i="1"/>
  <c r="N24" i="1" s="1"/>
  <c r="P24" i="1" s="1"/>
  <c r="J24" i="1"/>
  <c r="K24" i="1"/>
  <c r="L24" i="1"/>
  <c r="M24" i="1" s="1"/>
  <c r="O24" i="1"/>
  <c r="I25" i="1"/>
  <c r="J25" i="1"/>
  <c r="K25" i="1"/>
  <c r="L25" i="1" s="1"/>
  <c r="M25" i="1" s="1"/>
  <c r="O25" i="1"/>
  <c r="I26" i="1"/>
  <c r="J26" i="1"/>
  <c r="K26" i="1"/>
  <c r="L26" i="1"/>
  <c r="M26" i="1"/>
  <c r="N26" i="1"/>
  <c r="O26" i="1"/>
  <c r="P26" i="1" s="1"/>
  <c r="I27" i="1"/>
  <c r="J27" i="1"/>
  <c r="K27" i="1"/>
  <c r="L27" i="1" s="1"/>
  <c r="M27" i="1" s="1"/>
  <c r="O27" i="1"/>
  <c r="I28" i="1"/>
  <c r="J28" i="1"/>
  <c r="K28" i="1"/>
  <c r="L28" i="1"/>
  <c r="M28" i="1" s="1"/>
  <c r="O28" i="1"/>
  <c r="I29" i="1"/>
  <c r="J29" i="1"/>
  <c r="K29" i="1"/>
  <c r="L29" i="1" s="1"/>
  <c r="M29" i="1" s="1"/>
  <c r="O29" i="1"/>
  <c r="I30" i="1"/>
  <c r="J30" i="1"/>
  <c r="K30" i="1"/>
  <c r="L30" i="1"/>
  <c r="M30" i="1"/>
  <c r="N30" i="1"/>
  <c r="O30" i="1"/>
  <c r="P30" i="1" s="1"/>
  <c r="I31" i="1"/>
  <c r="N31" i="1" s="1"/>
  <c r="P31" i="1" s="1"/>
  <c r="J31" i="1"/>
  <c r="K31" i="1"/>
  <c r="L31" i="1"/>
  <c r="M31" i="1" s="1"/>
  <c r="O31" i="1"/>
  <c r="I32" i="1"/>
  <c r="J32" i="1"/>
  <c r="K32" i="1"/>
  <c r="L32" i="1"/>
  <c r="M32" i="1" s="1"/>
  <c r="O32" i="1"/>
  <c r="O11" i="1"/>
  <c r="K11" i="1"/>
  <c r="L11" i="1" s="1"/>
  <c r="M11" i="1" s="1"/>
  <c r="J11" i="1"/>
  <c r="I11" i="1"/>
  <c r="I3" i="1"/>
  <c r="J3" i="1"/>
  <c r="K3" i="1"/>
  <c r="L3" i="1" s="1"/>
  <c r="M3" i="1" s="1"/>
  <c r="O3" i="1"/>
  <c r="I4" i="1"/>
  <c r="J4" i="1"/>
  <c r="K4" i="1"/>
  <c r="L4" i="1" s="1"/>
  <c r="M4" i="1" s="1"/>
  <c r="O4" i="1"/>
  <c r="I5" i="1"/>
  <c r="J5" i="1"/>
  <c r="K5" i="1"/>
  <c r="L5" i="1"/>
  <c r="M5" i="1"/>
  <c r="N5" i="1" s="1"/>
  <c r="P5" i="1" s="1"/>
  <c r="O5" i="1"/>
  <c r="I6" i="1"/>
  <c r="J6" i="1"/>
  <c r="L6" i="1" s="1"/>
  <c r="M6" i="1" s="1"/>
  <c r="N6" i="1" s="1"/>
  <c r="P6" i="1" s="1"/>
  <c r="K6" i="1"/>
  <c r="O6" i="1"/>
  <c r="I7" i="1"/>
  <c r="J7" i="1"/>
  <c r="K7" i="1"/>
  <c r="L7" i="1" s="1"/>
  <c r="M7" i="1" s="1"/>
  <c r="O7" i="1"/>
  <c r="I8" i="1"/>
  <c r="N8" i="1" s="1"/>
  <c r="J8" i="1"/>
  <c r="K8" i="1"/>
  <c r="L8" i="1" s="1"/>
  <c r="M8" i="1" s="1"/>
  <c r="O8" i="1"/>
  <c r="I9" i="1"/>
  <c r="J9" i="1"/>
  <c r="K9" i="1"/>
  <c r="L9" i="1"/>
  <c r="M9" i="1"/>
  <c r="N9" i="1" s="1"/>
  <c r="O9" i="1"/>
  <c r="P9" i="1" s="1"/>
  <c r="I10" i="1"/>
  <c r="N10" i="1" s="1"/>
  <c r="P10" i="1" s="1"/>
  <c r="J10" i="1"/>
  <c r="K10" i="1"/>
  <c r="L10" i="1"/>
  <c r="M10" i="1"/>
  <c r="O10" i="1"/>
  <c r="M2" i="1"/>
  <c r="L2" i="1"/>
  <c r="I2" i="1"/>
  <c r="O2" i="1"/>
  <c r="K2" i="1"/>
  <c r="J2" i="1"/>
  <c r="N21" i="1" l="1"/>
  <c r="N32" i="1"/>
  <c r="P32" i="1" s="1"/>
  <c r="N25" i="1"/>
  <c r="P25" i="1" s="1"/>
  <c r="N13" i="1"/>
  <c r="P13" i="1" s="1"/>
  <c r="P21" i="1"/>
  <c r="P29" i="1"/>
  <c r="N27" i="1"/>
  <c r="P27" i="1" s="1"/>
  <c r="N20" i="1"/>
  <c r="P20" i="1" s="1"/>
  <c r="P17" i="1"/>
  <c r="N15" i="1"/>
  <c r="P15" i="1" s="1"/>
  <c r="N28" i="1"/>
  <c r="P28" i="1" s="1"/>
  <c r="N29" i="1"/>
  <c r="N17" i="1"/>
  <c r="N12" i="1"/>
  <c r="P12" i="1" s="1"/>
  <c r="N11" i="1"/>
  <c r="P11" i="1" s="1"/>
  <c r="N7" i="1"/>
  <c r="P7" i="1" s="1"/>
  <c r="N4" i="1"/>
  <c r="P4" i="1" s="1"/>
  <c r="P8" i="1"/>
  <c r="N3" i="1"/>
  <c r="P3" i="1" s="1"/>
  <c r="N2" i="1"/>
  <c r="P2" i="1" s="1"/>
</calcChain>
</file>

<file path=xl/sharedStrings.xml><?xml version="1.0" encoding="utf-8"?>
<sst xmlns="http://schemas.openxmlformats.org/spreadsheetml/2006/main" count="79" uniqueCount="48">
  <si>
    <t>McIvor</t>
  </si>
  <si>
    <t>p</t>
  </si>
  <si>
    <t>Fuessl</t>
  </si>
  <si>
    <t>c</t>
  </si>
  <si>
    <t>Peterson</t>
  </si>
  <si>
    <t>Lalor</t>
  </si>
  <si>
    <t>Groop</t>
  </si>
  <si>
    <t>Rodriguez</t>
  </si>
  <si>
    <t>Vuksan</t>
  </si>
  <si>
    <t>Luo</t>
  </si>
  <si>
    <t>Chen</t>
  </si>
  <si>
    <t>Ziai</t>
  </si>
  <si>
    <t>Chearskul</t>
  </si>
  <si>
    <t>Sartore</t>
  </si>
  <si>
    <t>Liatis</t>
  </si>
  <si>
    <t>Cugnet</t>
  </si>
  <si>
    <t>Bonsu</t>
  </si>
  <si>
    <t>Ma</t>
  </si>
  <si>
    <t>Dehghan</t>
  </si>
  <si>
    <t>Gargari</t>
  </si>
  <si>
    <t>Li</t>
  </si>
  <si>
    <t>Gonai</t>
  </si>
  <si>
    <t>Cai</t>
  </si>
  <si>
    <t>Soltanian</t>
  </si>
  <si>
    <t>Saki</t>
  </si>
  <si>
    <t>Ghavami</t>
  </si>
  <si>
    <t>Abbasalizad-Farhangi</t>
  </si>
  <si>
    <t>Rashid</t>
  </si>
  <si>
    <t>Reimer</t>
  </si>
  <si>
    <t>Author</t>
  </si>
  <si>
    <t>Year</t>
  </si>
  <si>
    <t>n</t>
  </si>
  <si>
    <t>design</t>
  </si>
  <si>
    <t>Aliasgharzadeh</t>
  </si>
  <si>
    <t>Dall Alba</t>
  </si>
  <si>
    <t>weight</t>
  </si>
  <si>
    <t>wmd_neg</t>
  </si>
  <si>
    <t>lCI_neg</t>
  </si>
  <si>
    <t>uCI_neg</t>
  </si>
  <si>
    <t>wmd</t>
  </si>
  <si>
    <t>lCI</t>
  </si>
  <si>
    <t>uCI</t>
  </si>
  <si>
    <t>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</si>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</sst>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P9" sqref="P9"/>
    </sheetView>
  </sheetViews>
  <sheetFormatPr defaultRowHeight="15" x14ac:dyDescent="0.25"/>
  <cols>
    <col min="6" max="6" width="5" bestFit="1" customWidth="1"/>
    <col min="7" max="7" width="6.7109375" bestFit="1" customWidth="1"/>
    <col min="8" max="8" width="7.7109375" bestFit="1" customWidth="1"/>
    <col min="9" max="9" width="6.7109375" bestFit="1" customWidth="1"/>
  </cols>
  <sheetData>
    <row r="1" spans="1:17" x14ac:dyDescent="0.25">
      <c r="A1" s="1" t="s">
        <v>29</v>
      </c>
      <c r="B1" s="1" t="s">
        <v>30</v>
      </c>
      <c r="C1" s="1" t="s">
        <v>31</v>
      </c>
      <c r="D1" s="1" t="s">
        <v>32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</row>
    <row r="2" spans="1:17" x14ac:dyDescent="0.25">
      <c r="A2" t="s">
        <v>2</v>
      </c>
      <c r="B2">
        <v>1987</v>
      </c>
      <c r="C2">
        <v>18</v>
      </c>
      <c r="D2" t="s">
        <v>3</v>
      </c>
      <c r="E2">
        <v>2.35</v>
      </c>
      <c r="F2">
        <v>-12.37</v>
      </c>
      <c r="G2">
        <v>-35.44</v>
      </c>
      <c r="H2">
        <v>10.7</v>
      </c>
      <c r="I2">
        <f>-F2</f>
        <v>12.37</v>
      </c>
      <c r="J2">
        <f>-H2</f>
        <v>-10.7</v>
      </c>
      <c r="K2">
        <f>-G2</f>
        <v>35.44</v>
      </c>
      <c r="L2">
        <f>(K2-J2)/2/1.96</f>
        <v>11.770408163265307</v>
      </c>
      <c r="M2">
        <f>L2*SQRT(C2)</f>
        <v>49.937612577470361</v>
      </c>
      <c r="N2">
        <f>I2/M2</f>
        <v>0.24770907861904468</v>
      </c>
      <c r="O2">
        <f>1-3/(4*(C2-1)-1)</f>
        <v>0.95522388059701491</v>
      </c>
      <c r="P2">
        <f t="shared" ref="P2" si="0">O2*N2</f>
        <v>0.23661762733759492</v>
      </c>
      <c r="Q2">
        <f>O2*L2/M2</f>
        <v>0.22514842784049274</v>
      </c>
    </row>
    <row r="3" spans="1:17" x14ac:dyDescent="0.25">
      <c r="A3" t="s">
        <v>4</v>
      </c>
      <c r="B3">
        <v>1987</v>
      </c>
      <c r="C3">
        <v>16</v>
      </c>
      <c r="D3" t="s">
        <v>3</v>
      </c>
      <c r="E3">
        <v>2.08</v>
      </c>
      <c r="F3">
        <v>-19.309999999999999</v>
      </c>
      <c r="G3">
        <v>-44.45</v>
      </c>
      <c r="H3">
        <v>5.83</v>
      </c>
      <c r="I3">
        <f t="shared" ref="I3:I11" si="1">-F3</f>
        <v>19.309999999999999</v>
      </c>
      <c r="J3">
        <f t="shared" ref="J3:J11" si="2">-H3</f>
        <v>-5.83</v>
      </c>
      <c r="K3">
        <f t="shared" ref="K3:K11" si="3">-G3</f>
        <v>44.45</v>
      </c>
      <c r="L3">
        <f t="shared" ref="L3:L10" si="4">(K3-J3)/2/1.96</f>
        <v>12.826530612244898</v>
      </c>
      <c r="M3">
        <f t="shared" ref="M3:M10" si="5">L3*SQRT(C3)</f>
        <v>51.306122448979593</v>
      </c>
      <c r="N3">
        <f t="shared" ref="N3:N11" si="6">I3/M3</f>
        <v>0.37636833731105807</v>
      </c>
      <c r="O3">
        <f t="shared" ref="O3:O10" si="7">1-3/(4*(C3-1)-1)</f>
        <v>0.94915254237288138</v>
      </c>
      <c r="P3">
        <f t="shared" ref="P3:P11" si="8">O3*N3</f>
        <v>0.35723096422744494</v>
      </c>
      <c r="Q3">
        <f>O3*L3/M3</f>
        <v>0.23728813559322035</v>
      </c>
    </row>
    <row r="4" spans="1:17" x14ac:dyDescent="0.25">
      <c r="A4" t="s">
        <v>5</v>
      </c>
      <c r="B4">
        <v>1990</v>
      </c>
      <c r="C4">
        <v>23</v>
      </c>
      <c r="D4" t="s">
        <v>3</v>
      </c>
      <c r="E4">
        <v>1.33</v>
      </c>
      <c r="F4">
        <v>-6.57</v>
      </c>
      <c r="G4">
        <v>-40.08</v>
      </c>
      <c r="H4">
        <v>26.94</v>
      </c>
      <c r="I4">
        <f t="shared" si="1"/>
        <v>6.57</v>
      </c>
      <c r="J4">
        <f t="shared" si="2"/>
        <v>-26.94</v>
      </c>
      <c r="K4">
        <f t="shared" si="3"/>
        <v>40.08</v>
      </c>
      <c r="L4">
        <f t="shared" si="4"/>
        <v>17.096938775510203</v>
      </c>
      <c r="M4">
        <f t="shared" si="5"/>
        <v>81.994037931739399</v>
      </c>
      <c r="N4">
        <f t="shared" si="6"/>
        <v>8.0127777161914757E-2</v>
      </c>
      <c r="O4">
        <f t="shared" si="7"/>
        <v>0.96551724137931039</v>
      </c>
      <c r="P4">
        <f t="shared" si="8"/>
        <v>7.7364750363228041E-2</v>
      </c>
      <c r="Q4">
        <f>O4*L4/M4</f>
        <v>0.20132426184821012</v>
      </c>
    </row>
    <row r="5" spans="1:17" x14ac:dyDescent="0.25">
      <c r="A5" t="s">
        <v>6</v>
      </c>
      <c r="B5">
        <v>1993</v>
      </c>
      <c r="C5">
        <v>12</v>
      </c>
      <c r="D5" t="s">
        <v>3</v>
      </c>
      <c r="E5">
        <v>2.94</v>
      </c>
      <c r="F5">
        <v>-29</v>
      </c>
      <c r="G5">
        <v>-48.37</v>
      </c>
      <c r="H5">
        <v>-9.6300000000000008</v>
      </c>
      <c r="I5">
        <f t="shared" si="1"/>
        <v>29</v>
      </c>
      <c r="J5">
        <f t="shared" si="2"/>
        <v>9.6300000000000008</v>
      </c>
      <c r="K5">
        <f t="shared" si="3"/>
        <v>48.37</v>
      </c>
      <c r="L5">
        <f t="shared" si="4"/>
        <v>9.8826530612244881</v>
      </c>
      <c r="M5">
        <f t="shared" si="5"/>
        <v>34.234514431233819</v>
      </c>
      <c r="N5">
        <f t="shared" si="6"/>
        <v>0.84709832991064371</v>
      </c>
      <c r="O5">
        <f t="shared" si="7"/>
        <v>0.93023255813953487</v>
      </c>
      <c r="P5">
        <f t="shared" si="8"/>
        <v>0.78799844642850581</v>
      </c>
      <c r="Q5">
        <f>O5*L5/M5</f>
        <v>0.26853500892540738</v>
      </c>
    </row>
    <row r="6" spans="1:17" x14ac:dyDescent="0.25">
      <c r="A6" t="s">
        <v>8</v>
      </c>
      <c r="B6">
        <v>1999</v>
      </c>
      <c r="C6">
        <v>11</v>
      </c>
      <c r="D6" t="s">
        <v>3</v>
      </c>
      <c r="E6">
        <v>2.37</v>
      </c>
      <c r="F6">
        <v>-22.47</v>
      </c>
      <c r="G6">
        <v>-45.2</v>
      </c>
      <c r="H6">
        <v>0.57999999999999996</v>
      </c>
      <c r="I6">
        <f t="shared" si="1"/>
        <v>22.47</v>
      </c>
      <c r="J6">
        <f t="shared" si="2"/>
        <v>-0.57999999999999996</v>
      </c>
      <c r="K6">
        <f t="shared" si="3"/>
        <v>45.2</v>
      </c>
      <c r="L6">
        <f t="shared" si="4"/>
        <v>11.678571428571429</v>
      </c>
      <c r="M6">
        <f t="shared" si="5"/>
        <v>38.733439515936276</v>
      </c>
      <c r="N6">
        <f t="shared" si="6"/>
        <v>0.58011889160411545</v>
      </c>
      <c r="O6">
        <f t="shared" si="7"/>
        <v>0.92307692307692313</v>
      </c>
      <c r="P6">
        <f t="shared" si="8"/>
        <v>0.53549436148072194</v>
      </c>
      <c r="Q6">
        <f>O6*L6/M6</f>
        <v>0.278318164225628</v>
      </c>
    </row>
    <row r="7" spans="1:17" x14ac:dyDescent="0.25">
      <c r="A7" t="s">
        <v>9</v>
      </c>
      <c r="B7">
        <v>2000</v>
      </c>
      <c r="C7">
        <v>10</v>
      </c>
      <c r="D7" t="s">
        <v>3</v>
      </c>
      <c r="E7">
        <v>2.09</v>
      </c>
      <c r="F7">
        <v>5.03</v>
      </c>
      <c r="G7">
        <v>-19.98</v>
      </c>
      <c r="H7">
        <v>30.04</v>
      </c>
      <c r="I7">
        <f t="shared" si="1"/>
        <v>-5.03</v>
      </c>
      <c r="J7">
        <f t="shared" si="2"/>
        <v>-30.04</v>
      </c>
      <c r="K7">
        <f t="shared" si="3"/>
        <v>19.98</v>
      </c>
      <c r="L7">
        <f t="shared" si="4"/>
        <v>12.760204081632653</v>
      </c>
      <c r="M7">
        <f t="shared" si="5"/>
        <v>40.351308306536311</v>
      </c>
      <c r="N7">
        <f t="shared" si="6"/>
        <v>-0.12465518990830875</v>
      </c>
      <c r="O7">
        <f t="shared" si="7"/>
        <v>0.91428571428571426</v>
      </c>
      <c r="P7">
        <f t="shared" si="8"/>
        <v>-0.11397045934473943</v>
      </c>
      <c r="Q7">
        <f>O7*L7/M7</f>
        <v>0.28912252892968038</v>
      </c>
    </row>
    <row r="8" spans="1:17" x14ac:dyDescent="0.25">
      <c r="A8" t="s">
        <v>10</v>
      </c>
      <c r="B8">
        <v>2003</v>
      </c>
      <c r="C8">
        <v>22</v>
      </c>
      <c r="D8" t="s">
        <v>3</v>
      </c>
      <c r="E8">
        <v>2.91</v>
      </c>
      <c r="F8">
        <v>-30.94</v>
      </c>
      <c r="G8">
        <v>-50.47</v>
      </c>
      <c r="H8">
        <v>-11.41</v>
      </c>
      <c r="I8">
        <f t="shared" si="1"/>
        <v>30.94</v>
      </c>
      <c r="J8">
        <f t="shared" si="2"/>
        <v>11.41</v>
      </c>
      <c r="K8">
        <f t="shared" si="3"/>
        <v>50.47</v>
      </c>
      <c r="L8">
        <f t="shared" si="4"/>
        <v>9.9642857142857153</v>
      </c>
      <c r="M8">
        <f t="shared" si="5"/>
        <v>46.73664274966918</v>
      </c>
      <c r="N8">
        <f t="shared" si="6"/>
        <v>0.66200732829101228</v>
      </c>
      <c r="O8">
        <f t="shared" si="7"/>
        <v>0.96385542168674698</v>
      </c>
      <c r="P8">
        <f t="shared" si="8"/>
        <v>0.63807935256965043</v>
      </c>
      <c r="Q8">
        <f>O8*L8/M8</f>
        <v>0.20549466636685343</v>
      </c>
    </row>
    <row r="9" spans="1:17" x14ac:dyDescent="0.25">
      <c r="A9" t="s">
        <v>12</v>
      </c>
      <c r="B9">
        <v>2007</v>
      </c>
      <c r="C9">
        <v>20</v>
      </c>
      <c r="D9" t="s">
        <v>3</v>
      </c>
      <c r="E9">
        <v>2.69</v>
      </c>
      <c r="F9">
        <v>-8.5</v>
      </c>
      <c r="G9">
        <v>-29.28</v>
      </c>
      <c r="H9">
        <v>12.28</v>
      </c>
      <c r="I9">
        <f t="shared" si="1"/>
        <v>8.5</v>
      </c>
      <c r="J9">
        <f t="shared" si="2"/>
        <v>-12.28</v>
      </c>
      <c r="K9">
        <f t="shared" si="3"/>
        <v>29.28</v>
      </c>
      <c r="L9">
        <f t="shared" si="4"/>
        <v>10.602040816326531</v>
      </c>
      <c r="M9">
        <f t="shared" si="5"/>
        <v>47.413767931066971</v>
      </c>
      <c r="N9">
        <f t="shared" si="6"/>
        <v>0.17927282245017562</v>
      </c>
      <c r="O9">
        <f t="shared" si="7"/>
        <v>0.96</v>
      </c>
      <c r="P9">
        <f t="shared" si="8"/>
        <v>0.17210190955216859</v>
      </c>
      <c r="Q9">
        <f>O9*L9/M9</f>
        <v>0.2146625258399798</v>
      </c>
    </row>
    <row r="10" spans="1:17" x14ac:dyDescent="0.25">
      <c r="A10" t="s">
        <v>24</v>
      </c>
      <c r="B10">
        <v>2019</v>
      </c>
      <c r="C10">
        <v>28</v>
      </c>
      <c r="D10" t="s">
        <v>3</v>
      </c>
      <c r="E10">
        <v>3.79</v>
      </c>
      <c r="F10">
        <v>-3.1</v>
      </c>
      <c r="G10">
        <v>-18.7</v>
      </c>
      <c r="H10">
        <v>12.07</v>
      </c>
      <c r="I10">
        <f t="shared" si="1"/>
        <v>3.1</v>
      </c>
      <c r="J10">
        <f t="shared" si="2"/>
        <v>-12.07</v>
      </c>
      <c r="K10">
        <f t="shared" si="3"/>
        <v>18.7</v>
      </c>
      <c r="L10">
        <f t="shared" si="4"/>
        <v>7.8494897959183678</v>
      </c>
      <c r="M10">
        <f t="shared" si="5"/>
        <v>41.535595837478297</v>
      </c>
      <c r="N10">
        <f t="shared" si="6"/>
        <v>7.4634778615666697E-2</v>
      </c>
      <c r="O10">
        <f t="shared" si="7"/>
        <v>0.9719626168224299</v>
      </c>
      <c r="P10">
        <f t="shared" si="8"/>
        <v>7.2542214729246129E-2</v>
      </c>
      <c r="Q10">
        <f>O10*L10/M10</f>
        <v>0.18368366912597958</v>
      </c>
    </row>
    <row r="11" spans="1:17" x14ac:dyDescent="0.25">
      <c r="A11" t="s">
        <v>0</v>
      </c>
      <c r="B11">
        <v>1986</v>
      </c>
      <c r="C11">
        <v>16</v>
      </c>
      <c r="D11" t="s">
        <v>1</v>
      </c>
      <c r="E11">
        <v>0.75</v>
      </c>
      <c r="F11">
        <v>1.8</v>
      </c>
      <c r="G11">
        <v>-44.95</v>
      </c>
      <c r="H11">
        <v>48.55</v>
      </c>
      <c r="I11">
        <f t="shared" si="1"/>
        <v>-1.8</v>
      </c>
      <c r="J11">
        <f t="shared" si="2"/>
        <v>-48.55</v>
      </c>
      <c r="K11">
        <f t="shared" si="3"/>
        <v>44.95</v>
      </c>
      <c r="L11">
        <f>(K11-J11)/2/1.96</f>
        <v>23.852040816326532</v>
      </c>
      <c r="M11">
        <f>L11*SQRT(C11/4)</f>
        <v>47.704081632653065</v>
      </c>
      <c r="N11">
        <f t="shared" si="6"/>
        <v>-3.7732620320855614E-2</v>
      </c>
      <c r="O11">
        <f>1-3/(4*(C11-2)-1)</f>
        <v>0.94545454545454544</v>
      </c>
      <c r="P11">
        <f t="shared" si="8"/>
        <v>-3.5674477394263486E-2</v>
      </c>
      <c r="Q11">
        <f>O11*L11/M11</f>
        <v>0.47272727272727277</v>
      </c>
    </row>
    <row r="12" spans="1:17" x14ac:dyDescent="0.25">
      <c r="A12" t="s">
        <v>7</v>
      </c>
      <c r="B12">
        <v>1998</v>
      </c>
      <c r="C12">
        <v>123</v>
      </c>
      <c r="D12" t="s">
        <v>1</v>
      </c>
      <c r="E12">
        <v>3.51</v>
      </c>
      <c r="F12">
        <v>-11</v>
      </c>
      <c r="G12">
        <v>-27.58</v>
      </c>
      <c r="H12">
        <v>5.58</v>
      </c>
      <c r="I12">
        <f t="shared" ref="I12:I32" si="9">-F12</f>
        <v>11</v>
      </c>
      <c r="J12">
        <f t="shared" ref="J12:J32" si="10">-H12</f>
        <v>-5.58</v>
      </c>
      <c r="K12">
        <f t="shared" ref="K12:K32" si="11">-G12</f>
        <v>27.58</v>
      </c>
      <c r="L12">
        <f t="shared" ref="L12:L32" si="12">(K12-J12)/2/1.96</f>
        <v>8.4591836734693864</v>
      </c>
      <c r="M12">
        <f t="shared" ref="M12:M32" si="13">L12*SQRT(C12/4)</f>
        <v>46.908442672517374</v>
      </c>
      <c r="N12">
        <f t="shared" ref="N12:N32" si="14">I12/M12</f>
        <v>0.2344993645769583</v>
      </c>
      <c r="O12">
        <f t="shared" ref="O12:O32" si="15">1-3/(4*(C12-2)-1)</f>
        <v>0.99378881987577639</v>
      </c>
      <c r="P12">
        <f t="shared" ref="P12:P32" si="16">O12*N12</f>
        <v>0.23304284678455484</v>
      </c>
      <c r="Q12">
        <f>O12*L12/M12</f>
        <v>0.179213840430794</v>
      </c>
    </row>
    <row r="13" spans="1:17" x14ac:dyDescent="0.25">
      <c r="A13" t="s">
        <v>11</v>
      </c>
      <c r="B13">
        <v>2005</v>
      </c>
      <c r="C13">
        <v>36</v>
      </c>
      <c r="D13" t="s">
        <v>1</v>
      </c>
      <c r="E13">
        <v>1.88</v>
      </c>
      <c r="F13">
        <v>-5</v>
      </c>
      <c r="G13">
        <v>-31.91</v>
      </c>
      <c r="H13">
        <v>21.91</v>
      </c>
      <c r="I13">
        <f t="shared" si="9"/>
        <v>5</v>
      </c>
      <c r="J13">
        <f t="shared" si="10"/>
        <v>-21.91</v>
      </c>
      <c r="K13">
        <f t="shared" si="11"/>
        <v>31.91</v>
      </c>
      <c r="L13">
        <f t="shared" si="12"/>
        <v>13.729591836734695</v>
      </c>
      <c r="M13">
        <f t="shared" si="13"/>
        <v>41.188775510204081</v>
      </c>
      <c r="N13">
        <f t="shared" si="14"/>
        <v>0.12139229530533878</v>
      </c>
      <c r="O13">
        <f t="shared" si="15"/>
        <v>0.97777777777777775</v>
      </c>
      <c r="P13">
        <f t="shared" si="16"/>
        <v>0.11869468874299792</v>
      </c>
      <c r="Q13">
        <f>O13*L13/M13</f>
        <v>0.3259259259259259</v>
      </c>
    </row>
    <row r="14" spans="1:17" x14ac:dyDescent="0.25">
      <c r="A14" t="s">
        <v>13</v>
      </c>
      <c r="B14">
        <v>2009</v>
      </c>
      <c r="C14">
        <v>40</v>
      </c>
      <c r="D14" t="s">
        <v>1</v>
      </c>
      <c r="E14">
        <v>3.01</v>
      </c>
      <c r="F14">
        <v>4</v>
      </c>
      <c r="G14">
        <v>-14.97</v>
      </c>
      <c r="H14">
        <v>22.97</v>
      </c>
      <c r="I14">
        <f t="shared" si="9"/>
        <v>-4</v>
      </c>
      <c r="J14">
        <f t="shared" si="10"/>
        <v>-22.97</v>
      </c>
      <c r="K14">
        <f t="shared" si="11"/>
        <v>14.97</v>
      </c>
      <c r="L14">
        <f t="shared" si="12"/>
        <v>9.6785714285714288</v>
      </c>
      <c r="M14">
        <f t="shared" si="13"/>
        <v>30.606330210915388</v>
      </c>
      <c r="N14">
        <f t="shared" si="14"/>
        <v>-0.13069191805861935</v>
      </c>
      <c r="O14">
        <f t="shared" si="15"/>
        <v>0.98013245033112584</v>
      </c>
      <c r="P14">
        <f t="shared" si="16"/>
        <v>-0.12809538988526931</v>
      </c>
      <c r="Q14">
        <f>O14*L14/M14</f>
        <v>0.30994509516882129</v>
      </c>
    </row>
    <row r="15" spans="1:17" x14ac:dyDescent="0.25">
      <c r="A15" t="s">
        <v>14</v>
      </c>
      <c r="B15">
        <v>2009</v>
      </c>
      <c r="C15">
        <v>41</v>
      </c>
      <c r="D15" t="s">
        <v>1</v>
      </c>
      <c r="E15">
        <v>3.89</v>
      </c>
      <c r="F15">
        <v>-21.27</v>
      </c>
      <c r="G15">
        <v>-36.25</v>
      </c>
      <c r="H15">
        <v>-6.29</v>
      </c>
      <c r="I15">
        <f t="shared" si="9"/>
        <v>21.27</v>
      </c>
      <c r="J15">
        <f t="shared" si="10"/>
        <v>6.29</v>
      </c>
      <c r="K15">
        <f t="shared" si="11"/>
        <v>36.25</v>
      </c>
      <c r="L15">
        <f t="shared" si="12"/>
        <v>7.6428571428571432</v>
      </c>
      <c r="M15">
        <f t="shared" si="13"/>
        <v>24.469081907332672</v>
      </c>
      <c r="N15">
        <f t="shared" si="14"/>
        <v>0.86926023953624509</v>
      </c>
      <c r="O15">
        <f t="shared" si="15"/>
        <v>0.98064516129032253</v>
      </c>
      <c r="P15">
        <f t="shared" si="16"/>
        <v>0.85243584780328552</v>
      </c>
      <c r="Q15">
        <f>O15*L15/M15</f>
        <v>0.30630208783313706</v>
      </c>
    </row>
    <row r="16" spans="1:17" x14ac:dyDescent="0.25">
      <c r="A16" t="s">
        <v>15</v>
      </c>
      <c r="B16">
        <v>2010</v>
      </c>
      <c r="C16">
        <v>53</v>
      </c>
      <c r="D16" t="s">
        <v>1</v>
      </c>
      <c r="E16">
        <v>5.44</v>
      </c>
      <c r="F16">
        <v>1.94</v>
      </c>
      <c r="G16">
        <v>-7.59</v>
      </c>
      <c r="H16">
        <v>11.47</v>
      </c>
      <c r="I16">
        <f t="shared" si="9"/>
        <v>-1.94</v>
      </c>
      <c r="J16">
        <f t="shared" si="10"/>
        <v>-11.47</v>
      </c>
      <c r="K16">
        <f t="shared" si="11"/>
        <v>7.59</v>
      </c>
      <c r="L16">
        <f t="shared" si="12"/>
        <v>4.8622448979591839</v>
      </c>
      <c r="M16">
        <f t="shared" si="13"/>
        <v>17.698838582868198</v>
      </c>
      <c r="N16">
        <f t="shared" si="14"/>
        <v>-0.10961171214239142</v>
      </c>
      <c r="O16">
        <f t="shared" si="15"/>
        <v>0.98522167487684731</v>
      </c>
      <c r="P16">
        <f t="shared" si="16"/>
        <v>-0.10799183462304573</v>
      </c>
      <c r="Q16">
        <f>O16*L16/M16</f>
        <v>0.27066120975111141</v>
      </c>
    </row>
    <row r="17" spans="1:17" x14ac:dyDescent="0.25">
      <c r="A17" t="s">
        <v>16</v>
      </c>
      <c r="B17">
        <v>2012</v>
      </c>
      <c r="C17">
        <v>26</v>
      </c>
      <c r="D17" t="s">
        <v>1</v>
      </c>
      <c r="E17">
        <v>2.2000000000000002</v>
      </c>
      <c r="F17">
        <v>-0.01</v>
      </c>
      <c r="G17">
        <v>-24.16</v>
      </c>
      <c r="H17">
        <v>24.14</v>
      </c>
      <c r="I17">
        <f t="shared" si="9"/>
        <v>0.01</v>
      </c>
      <c r="J17">
        <f t="shared" si="10"/>
        <v>-24.14</v>
      </c>
      <c r="K17">
        <f t="shared" si="11"/>
        <v>24.16</v>
      </c>
      <c r="L17">
        <f t="shared" si="12"/>
        <v>12.321428571428571</v>
      </c>
      <c r="M17">
        <f t="shared" si="13"/>
        <v>31.413602360526976</v>
      </c>
      <c r="N17">
        <f t="shared" si="14"/>
        <v>3.183334367460379E-4</v>
      </c>
      <c r="O17">
        <f t="shared" si="15"/>
        <v>0.96842105263157896</v>
      </c>
      <c r="P17">
        <f t="shared" si="16"/>
        <v>3.082808019014262E-4</v>
      </c>
      <c r="Q17">
        <f>O17*L17/M17</f>
        <v>0.37984598805711439</v>
      </c>
    </row>
    <row r="18" spans="1:17" x14ac:dyDescent="0.25">
      <c r="A18" t="s">
        <v>17</v>
      </c>
      <c r="B18">
        <v>2013</v>
      </c>
      <c r="C18">
        <v>126</v>
      </c>
      <c r="D18" t="s">
        <v>1</v>
      </c>
      <c r="E18">
        <v>6.4</v>
      </c>
      <c r="F18">
        <v>-10.83</v>
      </c>
      <c r="G18">
        <v>-17.21</v>
      </c>
      <c r="H18">
        <v>-4.45</v>
      </c>
      <c r="I18">
        <f t="shared" si="9"/>
        <v>10.83</v>
      </c>
      <c r="J18">
        <f t="shared" si="10"/>
        <v>4.45</v>
      </c>
      <c r="K18">
        <f t="shared" si="11"/>
        <v>17.21</v>
      </c>
      <c r="L18">
        <f t="shared" si="12"/>
        <v>3.2551020408163271</v>
      </c>
      <c r="M18">
        <f t="shared" si="13"/>
        <v>18.269214893585012</v>
      </c>
      <c r="N18">
        <f t="shared" si="14"/>
        <v>0.59280051513340115</v>
      </c>
      <c r="O18">
        <f t="shared" si="15"/>
        <v>0.9939393939393939</v>
      </c>
      <c r="P18">
        <f t="shared" si="16"/>
        <v>0.58920778473865321</v>
      </c>
      <c r="Q18">
        <f>O18*L18/M18</f>
        <v>0.17709431787328322</v>
      </c>
    </row>
    <row r="19" spans="1:17" x14ac:dyDescent="0.25">
      <c r="A19" t="s">
        <v>18</v>
      </c>
      <c r="B19">
        <v>2013</v>
      </c>
      <c r="C19">
        <v>49</v>
      </c>
      <c r="D19" t="s">
        <v>1</v>
      </c>
      <c r="E19">
        <v>2.4</v>
      </c>
      <c r="F19">
        <v>-22.7</v>
      </c>
      <c r="G19">
        <v>-45.35</v>
      </c>
      <c r="H19">
        <v>-0.05</v>
      </c>
      <c r="I19">
        <f t="shared" si="9"/>
        <v>22.7</v>
      </c>
      <c r="J19">
        <f t="shared" si="10"/>
        <v>0.05</v>
      </c>
      <c r="K19">
        <f t="shared" si="11"/>
        <v>45.35</v>
      </c>
      <c r="L19">
        <f t="shared" si="12"/>
        <v>11.556122448979593</v>
      </c>
      <c r="M19">
        <f t="shared" si="13"/>
        <v>40.446428571428577</v>
      </c>
      <c r="N19">
        <f t="shared" si="14"/>
        <v>0.56123620309050759</v>
      </c>
      <c r="O19">
        <f t="shared" si="15"/>
        <v>0.98395721925133695</v>
      </c>
      <c r="P19">
        <f t="shared" si="16"/>
        <v>0.55223241373611442</v>
      </c>
      <c r="Q19">
        <f>O19*L19/M19</f>
        <v>0.28113063407181055</v>
      </c>
    </row>
    <row r="20" spans="1:17" x14ac:dyDescent="0.25">
      <c r="A20" t="s">
        <v>34</v>
      </c>
      <c r="B20">
        <v>2013</v>
      </c>
      <c r="C20">
        <v>44</v>
      </c>
      <c r="D20" t="s">
        <v>1</v>
      </c>
      <c r="E20">
        <v>2.73</v>
      </c>
      <c r="F20">
        <v>15.44</v>
      </c>
      <c r="G20">
        <v>-5.15</v>
      </c>
      <c r="H20">
        <v>36.03</v>
      </c>
      <c r="I20">
        <f t="shared" si="9"/>
        <v>-15.44</v>
      </c>
      <c r="J20">
        <f t="shared" si="10"/>
        <v>-36.03</v>
      </c>
      <c r="K20">
        <f t="shared" si="11"/>
        <v>5.15</v>
      </c>
      <c r="L20">
        <f t="shared" si="12"/>
        <v>10.505102040816327</v>
      </c>
      <c r="M20">
        <f t="shared" si="13"/>
        <v>34.841481853784536</v>
      </c>
      <c r="N20">
        <f t="shared" si="14"/>
        <v>-0.4431499229796072</v>
      </c>
      <c r="O20">
        <f t="shared" si="15"/>
        <v>0.98203592814371254</v>
      </c>
      <c r="P20">
        <f t="shared" si="16"/>
        <v>-0.43518914592009328</v>
      </c>
      <c r="Q20">
        <f>O20*L20/M20</f>
        <v>0.29609497311828281</v>
      </c>
    </row>
    <row r="21" spans="1:17" x14ac:dyDescent="0.25">
      <c r="A21" t="s">
        <v>33</v>
      </c>
      <c r="B21">
        <v>2015</v>
      </c>
      <c r="C21">
        <v>52</v>
      </c>
      <c r="D21" t="s">
        <v>1</v>
      </c>
      <c r="E21">
        <v>2.74</v>
      </c>
      <c r="F21">
        <v>-28.4</v>
      </c>
      <c r="G21">
        <v>-45.33</v>
      </c>
      <c r="H21">
        <v>-4.2699999999999996</v>
      </c>
      <c r="I21">
        <f t="shared" si="9"/>
        <v>28.4</v>
      </c>
      <c r="J21">
        <f t="shared" si="10"/>
        <v>4.2699999999999996</v>
      </c>
      <c r="K21">
        <f t="shared" si="11"/>
        <v>45.33</v>
      </c>
      <c r="L21">
        <f t="shared" si="12"/>
        <v>10.474489795918368</v>
      </c>
      <c r="M21">
        <f t="shared" si="13"/>
        <v>37.766310043508007</v>
      </c>
      <c r="N21">
        <f t="shared" si="14"/>
        <v>0.75199297912033991</v>
      </c>
      <c r="O21">
        <f t="shared" si="15"/>
        <v>0.98492462311557794</v>
      </c>
      <c r="P21">
        <f t="shared" si="16"/>
        <v>0.74065640154566148</v>
      </c>
      <c r="Q21">
        <f>O21*L21/M21</f>
        <v>0.2731689408546355</v>
      </c>
    </row>
    <row r="22" spans="1:17" x14ac:dyDescent="0.25">
      <c r="A22" t="s">
        <v>19</v>
      </c>
      <c r="B22">
        <v>2015</v>
      </c>
      <c r="C22">
        <v>60</v>
      </c>
      <c r="D22" t="s">
        <v>1</v>
      </c>
      <c r="E22">
        <v>2.13</v>
      </c>
      <c r="F22">
        <v>-19.7</v>
      </c>
      <c r="G22">
        <v>-44.44</v>
      </c>
      <c r="H22">
        <v>5.04</v>
      </c>
      <c r="I22">
        <f t="shared" si="9"/>
        <v>19.7</v>
      </c>
      <c r="J22">
        <f t="shared" si="10"/>
        <v>-5.04</v>
      </c>
      <c r="K22">
        <f t="shared" si="11"/>
        <v>44.44</v>
      </c>
      <c r="L22">
        <f t="shared" si="12"/>
        <v>12.622448979591836</v>
      </c>
      <c r="M22">
        <f t="shared" si="13"/>
        <v>48.886534686311983</v>
      </c>
      <c r="N22">
        <f t="shared" si="14"/>
        <v>0.4029739503200237</v>
      </c>
      <c r="O22">
        <f t="shared" si="15"/>
        <v>0.98701298701298701</v>
      </c>
      <c r="P22">
        <f t="shared" si="16"/>
        <v>0.3977405223937896</v>
      </c>
      <c r="Q22">
        <f>O22*L22/M22</f>
        <v>0.25484565741278242</v>
      </c>
    </row>
    <row r="23" spans="1:17" x14ac:dyDescent="0.25">
      <c r="A23" t="s">
        <v>20</v>
      </c>
      <c r="B23">
        <v>2016</v>
      </c>
      <c r="C23">
        <v>139</v>
      </c>
      <c r="D23" t="s">
        <v>1</v>
      </c>
      <c r="E23">
        <v>5.97</v>
      </c>
      <c r="F23">
        <v>-10.83</v>
      </c>
      <c r="G23">
        <v>-18.64</v>
      </c>
      <c r="H23">
        <v>-3.02</v>
      </c>
      <c r="I23">
        <f t="shared" si="9"/>
        <v>10.83</v>
      </c>
      <c r="J23">
        <f t="shared" si="10"/>
        <v>3.02</v>
      </c>
      <c r="K23">
        <f t="shared" si="11"/>
        <v>18.64</v>
      </c>
      <c r="L23">
        <f t="shared" si="12"/>
        <v>3.9846938775510208</v>
      </c>
      <c r="M23">
        <f t="shared" si="13"/>
        <v>23.489423983961217</v>
      </c>
      <c r="N23">
        <f t="shared" si="14"/>
        <v>0.46105856011602575</v>
      </c>
      <c r="O23">
        <f t="shared" si="15"/>
        <v>0.99451553930530168</v>
      </c>
      <c r="P23">
        <f t="shared" si="16"/>
        <v>0.45852990256511522</v>
      </c>
      <c r="Q23">
        <f>O23*L23/M23</f>
        <v>0.16870741416669258</v>
      </c>
    </row>
    <row r="24" spans="1:17" x14ac:dyDescent="0.25">
      <c r="A24" t="s">
        <v>18</v>
      </c>
      <c r="B24">
        <v>2016</v>
      </c>
      <c r="C24">
        <v>49</v>
      </c>
      <c r="D24" t="s">
        <v>1</v>
      </c>
      <c r="E24">
        <v>1.2</v>
      </c>
      <c r="F24">
        <v>-83.28</v>
      </c>
      <c r="G24">
        <v>-118.93</v>
      </c>
      <c r="H24">
        <v>-47.63</v>
      </c>
      <c r="I24">
        <f t="shared" si="9"/>
        <v>83.28</v>
      </c>
      <c r="J24">
        <f t="shared" si="10"/>
        <v>47.63</v>
      </c>
      <c r="K24">
        <f t="shared" si="11"/>
        <v>118.93</v>
      </c>
      <c r="L24">
        <f t="shared" si="12"/>
        <v>18.188775510204085</v>
      </c>
      <c r="M24">
        <f t="shared" si="13"/>
        <v>63.660714285714299</v>
      </c>
      <c r="N24">
        <f t="shared" si="14"/>
        <v>1.3081851332398315</v>
      </c>
      <c r="O24">
        <f t="shared" si="15"/>
        <v>0.98395721925133695</v>
      </c>
      <c r="P24">
        <f t="shared" si="16"/>
        <v>1.2871982059686045</v>
      </c>
      <c r="Q24">
        <f>O24*L24/M24</f>
        <v>0.28113063407181055</v>
      </c>
    </row>
    <row r="25" spans="1:17" x14ac:dyDescent="0.25">
      <c r="A25" t="s">
        <v>10</v>
      </c>
      <c r="B25">
        <v>2016</v>
      </c>
      <c r="C25">
        <v>77</v>
      </c>
      <c r="D25" t="s">
        <v>1</v>
      </c>
      <c r="E25">
        <v>1.73</v>
      </c>
      <c r="F25">
        <v>-16.239999999999998</v>
      </c>
      <c r="G25">
        <v>-44.65</v>
      </c>
      <c r="H25">
        <v>12.17</v>
      </c>
      <c r="I25">
        <f t="shared" si="9"/>
        <v>16.239999999999998</v>
      </c>
      <c r="J25">
        <f t="shared" si="10"/>
        <v>-12.17</v>
      </c>
      <c r="K25">
        <f t="shared" si="11"/>
        <v>44.65</v>
      </c>
      <c r="L25">
        <f t="shared" si="12"/>
        <v>14.494897959183675</v>
      </c>
      <c r="M25">
        <f t="shared" si="13"/>
        <v>63.596106695359751</v>
      </c>
      <c r="N25">
        <f t="shared" si="14"/>
        <v>0.25536154402962752</v>
      </c>
      <c r="O25">
        <f t="shared" si="15"/>
        <v>0.98996655518394649</v>
      </c>
      <c r="P25">
        <f t="shared" si="16"/>
        <v>0.25279938806946406</v>
      </c>
      <c r="Q25">
        <f>O25*L25/M25</f>
        <v>0.22563431860904903</v>
      </c>
    </row>
    <row r="26" spans="1:17" x14ac:dyDescent="0.25">
      <c r="A26" t="s">
        <v>21</v>
      </c>
      <c r="B26">
        <v>2017</v>
      </c>
      <c r="C26">
        <v>52</v>
      </c>
      <c r="D26" t="s">
        <v>1</v>
      </c>
      <c r="E26">
        <v>3.42</v>
      </c>
      <c r="F26">
        <v>10.7</v>
      </c>
      <c r="G26">
        <v>-6.27</v>
      </c>
      <c r="H26">
        <v>27.67</v>
      </c>
      <c r="I26">
        <f t="shared" si="9"/>
        <v>-10.7</v>
      </c>
      <c r="J26">
        <f t="shared" si="10"/>
        <v>-27.67</v>
      </c>
      <c r="K26">
        <f t="shared" si="11"/>
        <v>6.27</v>
      </c>
      <c r="L26">
        <f t="shared" si="12"/>
        <v>8.658163265306122</v>
      </c>
      <c r="M26">
        <f t="shared" si="13"/>
        <v>31.217451604399944</v>
      </c>
      <c r="N26">
        <f t="shared" si="14"/>
        <v>-0.3427569980917945</v>
      </c>
      <c r="O26">
        <f t="shared" si="15"/>
        <v>0.98492462311557794</v>
      </c>
      <c r="P26">
        <f t="shared" si="16"/>
        <v>-0.33758980716578757</v>
      </c>
      <c r="Q26">
        <f>O26*L26/M26</f>
        <v>0.27316894085463544</v>
      </c>
    </row>
    <row r="27" spans="1:17" x14ac:dyDescent="0.25">
      <c r="A27" t="s">
        <v>22</v>
      </c>
      <c r="B27">
        <v>2018</v>
      </c>
      <c r="C27">
        <v>99</v>
      </c>
      <c r="D27" t="s">
        <v>1</v>
      </c>
      <c r="E27">
        <v>7.22</v>
      </c>
      <c r="F27">
        <v>-7.73</v>
      </c>
      <c r="G27">
        <v>-10.62</v>
      </c>
      <c r="H27">
        <v>-4.84</v>
      </c>
      <c r="I27">
        <f t="shared" si="9"/>
        <v>7.73</v>
      </c>
      <c r="J27">
        <f t="shared" si="10"/>
        <v>4.84</v>
      </c>
      <c r="K27">
        <f t="shared" si="11"/>
        <v>10.62</v>
      </c>
      <c r="L27">
        <f t="shared" si="12"/>
        <v>1.4744897959183672</v>
      </c>
      <c r="M27">
        <f t="shared" si="13"/>
        <v>7.3354941154033959</v>
      </c>
      <c r="N27">
        <f t="shared" si="14"/>
        <v>1.0537804104795345</v>
      </c>
      <c r="O27">
        <f t="shared" si="15"/>
        <v>0.99224806201550386</v>
      </c>
      <c r="P27">
        <f t="shared" si="16"/>
        <v>1.0456115700882203</v>
      </c>
      <c r="Q27">
        <f>O27*L27/M27</f>
        <v>0.19944936488864984</v>
      </c>
    </row>
    <row r="28" spans="1:17" x14ac:dyDescent="0.25">
      <c r="A28" t="s">
        <v>23</v>
      </c>
      <c r="B28">
        <v>2018</v>
      </c>
      <c r="C28">
        <v>51</v>
      </c>
      <c r="D28" t="s">
        <v>1</v>
      </c>
      <c r="E28">
        <v>4.21</v>
      </c>
      <c r="F28">
        <v>-2.9</v>
      </c>
      <c r="G28">
        <v>-16.62</v>
      </c>
      <c r="H28">
        <v>10.82</v>
      </c>
      <c r="I28">
        <f t="shared" si="9"/>
        <v>2.9</v>
      </c>
      <c r="J28">
        <f t="shared" si="10"/>
        <v>-10.82</v>
      </c>
      <c r="K28">
        <f t="shared" si="11"/>
        <v>16.62</v>
      </c>
      <c r="L28">
        <f t="shared" si="12"/>
        <v>7.0000000000000009</v>
      </c>
      <c r="M28">
        <f t="shared" si="13"/>
        <v>24.994999499899979</v>
      </c>
      <c r="N28">
        <f t="shared" si="14"/>
        <v>0.1160232069623208</v>
      </c>
      <c r="O28">
        <f t="shared" si="15"/>
        <v>0.98461538461538467</v>
      </c>
      <c r="P28">
        <f t="shared" si="16"/>
        <v>0.11423823454751587</v>
      </c>
      <c r="Q28">
        <f>O28*L28/M28</f>
        <v>0.27574746270090039</v>
      </c>
    </row>
    <row r="29" spans="1:17" x14ac:dyDescent="0.25">
      <c r="A29" t="s">
        <v>25</v>
      </c>
      <c r="B29">
        <v>2019</v>
      </c>
      <c r="C29">
        <v>46</v>
      </c>
      <c r="D29" t="s">
        <v>1</v>
      </c>
      <c r="E29">
        <v>2.35</v>
      </c>
      <c r="F29">
        <v>-19.36</v>
      </c>
      <c r="G29">
        <v>-42.37</v>
      </c>
      <c r="H29">
        <v>3.65</v>
      </c>
      <c r="I29">
        <f t="shared" si="9"/>
        <v>19.36</v>
      </c>
      <c r="J29">
        <f t="shared" si="10"/>
        <v>-3.65</v>
      </c>
      <c r="K29">
        <f t="shared" si="11"/>
        <v>42.37</v>
      </c>
      <c r="L29">
        <f t="shared" si="12"/>
        <v>11.739795918367346</v>
      </c>
      <c r="M29">
        <f t="shared" si="13"/>
        <v>39.811584926457243</v>
      </c>
      <c r="N29">
        <f t="shared" si="14"/>
        <v>0.48629061203574669</v>
      </c>
      <c r="O29">
        <f t="shared" si="15"/>
        <v>0.98285714285714287</v>
      </c>
      <c r="P29">
        <f t="shared" si="16"/>
        <v>0.47795420154370533</v>
      </c>
      <c r="Q29">
        <f>O29*L29/M29</f>
        <v>0.28982875952734066</v>
      </c>
    </row>
    <row r="30" spans="1:17" x14ac:dyDescent="0.25">
      <c r="A30" t="s">
        <v>26</v>
      </c>
      <c r="B30">
        <v>2019</v>
      </c>
      <c r="C30">
        <v>65</v>
      </c>
      <c r="D30" t="s">
        <v>1</v>
      </c>
      <c r="E30">
        <v>1.48</v>
      </c>
      <c r="F30">
        <v>-20.05</v>
      </c>
      <c r="G30">
        <v>-51.46</v>
      </c>
      <c r="H30">
        <v>11.39</v>
      </c>
      <c r="I30">
        <f t="shared" si="9"/>
        <v>20.05</v>
      </c>
      <c r="J30">
        <f t="shared" si="10"/>
        <v>-11.39</v>
      </c>
      <c r="K30">
        <f t="shared" si="11"/>
        <v>51.46</v>
      </c>
      <c r="L30">
        <f t="shared" si="12"/>
        <v>16.033163265306122</v>
      </c>
      <c r="M30">
        <f t="shared" si="13"/>
        <v>64.631747382724981</v>
      </c>
      <c r="N30">
        <f t="shared" si="14"/>
        <v>0.31021906124975107</v>
      </c>
      <c r="O30">
        <f t="shared" si="15"/>
        <v>0.98804780876494025</v>
      </c>
      <c r="P30">
        <f t="shared" si="16"/>
        <v>0.30651126370493331</v>
      </c>
      <c r="Q30">
        <f>O30*L30/M30</f>
        <v>0.24510449544321669</v>
      </c>
    </row>
    <row r="31" spans="1:17" x14ac:dyDescent="0.25">
      <c r="A31" t="s">
        <v>27</v>
      </c>
      <c r="B31">
        <v>2019</v>
      </c>
      <c r="C31">
        <v>64</v>
      </c>
      <c r="D31" t="s">
        <v>1</v>
      </c>
      <c r="E31">
        <v>5.34</v>
      </c>
      <c r="F31">
        <v>-31.31</v>
      </c>
      <c r="G31">
        <v>-41.15</v>
      </c>
      <c r="H31">
        <v>-21.47</v>
      </c>
      <c r="I31">
        <f t="shared" si="9"/>
        <v>31.31</v>
      </c>
      <c r="J31">
        <f t="shared" si="10"/>
        <v>21.47</v>
      </c>
      <c r="K31">
        <f t="shared" si="11"/>
        <v>41.15</v>
      </c>
      <c r="L31">
        <f t="shared" si="12"/>
        <v>5.0204081632653059</v>
      </c>
      <c r="M31">
        <f t="shared" si="13"/>
        <v>20.081632653061224</v>
      </c>
      <c r="N31">
        <f t="shared" si="14"/>
        <v>1.5591361788617886</v>
      </c>
      <c r="O31">
        <f t="shared" si="15"/>
        <v>0.98785425101214575</v>
      </c>
      <c r="P31">
        <f t="shared" si="16"/>
        <v>1.540199302195451</v>
      </c>
      <c r="Q31">
        <f>O31*L31/M31</f>
        <v>0.24696356275303646</v>
      </c>
    </row>
    <row r="32" spans="1:17" x14ac:dyDescent="0.25">
      <c r="A32" t="s">
        <v>28</v>
      </c>
      <c r="B32">
        <v>2020</v>
      </c>
      <c r="C32">
        <v>100</v>
      </c>
      <c r="D32" t="s">
        <v>1</v>
      </c>
      <c r="E32">
        <v>7.46</v>
      </c>
      <c r="F32">
        <v>-1.1599999999999999</v>
      </c>
      <c r="G32">
        <v>-1.57</v>
      </c>
      <c r="H32">
        <v>-0.56999999999999995</v>
      </c>
      <c r="I32">
        <f t="shared" si="9"/>
        <v>1.1599999999999999</v>
      </c>
      <c r="J32">
        <f t="shared" si="10"/>
        <v>0.56999999999999995</v>
      </c>
      <c r="K32">
        <f t="shared" si="11"/>
        <v>1.57</v>
      </c>
      <c r="L32">
        <f t="shared" si="12"/>
        <v>0.25510204081632654</v>
      </c>
      <c r="M32">
        <f t="shared" si="13"/>
        <v>1.2755102040816326</v>
      </c>
      <c r="N32">
        <f t="shared" si="14"/>
        <v>0.90943999999999992</v>
      </c>
      <c r="O32">
        <f t="shared" si="15"/>
        <v>0.99232736572890023</v>
      </c>
      <c r="P32">
        <f t="shared" si="16"/>
        <v>0.90246219948849093</v>
      </c>
      <c r="Q32">
        <f>O32*L32/M32</f>
        <v>0.19846547314578003</v>
      </c>
    </row>
  </sheetData>
  <sortState xmlns:xlrd2="http://schemas.microsoft.com/office/spreadsheetml/2017/richdata2" ref="A2:Q32">
    <sortCondition ref="D2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2025-12-30T01:03:38Z</dcterms:modified>
</cp:coreProperties>
</file>