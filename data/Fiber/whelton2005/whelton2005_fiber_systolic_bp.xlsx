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whelton2005\"/>
    </mc:Choice>
  </mc:AlternateContent>
  <xr:revisionPtr revIDLastSave="0" documentId="13_ncr:1_{D70F2600-A2CC-4741-992F-3A945DAA21AC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10" i="2"/>
  <c r="N9" i="2" l="1"/>
  <c r="O9" i="2" s="1"/>
  <c r="N8" i="2"/>
  <c r="N7" i="2"/>
  <c r="N6" i="2"/>
  <c r="N5" i="2"/>
  <c r="N4" i="2"/>
  <c r="N3" i="2"/>
  <c r="N2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F10" i="2"/>
  <c r="G10" i="2"/>
  <c r="H10" i="2"/>
  <c r="I10" i="2" s="1"/>
  <c r="F11" i="2"/>
  <c r="G11" i="2"/>
  <c r="H11" i="2"/>
  <c r="I11" i="2" s="1"/>
  <c r="F12" i="2"/>
  <c r="I12" i="2" s="1"/>
  <c r="G12" i="2"/>
  <c r="H12" i="2"/>
  <c r="F3" i="2"/>
  <c r="G3" i="2"/>
  <c r="H3" i="2"/>
  <c r="I3" i="2" s="1"/>
  <c r="L3" i="2" s="1"/>
  <c r="M3" i="2" s="1"/>
  <c r="O3" i="2" s="1"/>
  <c r="F4" i="2"/>
  <c r="G4" i="2"/>
  <c r="H4" i="2"/>
  <c r="I4" i="2" s="1"/>
  <c r="L4" i="2" s="1"/>
  <c r="F13" i="2"/>
  <c r="G13" i="2"/>
  <c r="H13" i="2"/>
  <c r="I13" i="2" s="1"/>
  <c r="F14" i="2"/>
  <c r="I14" i="2" s="1"/>
  <c r="M14" i="2" s="1"/>
  <c r="G14" i="2"/>
  <c r="H14" i="2"/>
  <c r="F15" i="2"/>
  <c r="G15" i="2"/>
  <c r="H15" i="2"/>
  <c r="I15" i="2" s="1"/>
  <c r="F16" i="2"/>
  <c r="G16" i="2"/>
  <c r="H16" i="2"/>
  <c r="I16" i="2" s="1"/>
  <c r="F17" i="2"/>
  <c r="G17" i="2"/>
  <c r="H17" i="2"/>
  <c r="I17" i="2" s="1"/>
  <c r="F18" i="2"/>
  <c r="G18" i="2"/>
  <c r="H18" i="2"/>
  <c r="F19" i="2"/>
  <c r="G19" i="2"/>
  <c r="H19" i="2"/>
  <c r="I19" i="2" s="1"/>
  <c r="M19" i="2" s="1"/>
  <c r="F20" i="2"/>
  <c r="G20" i="2"/>
  <c r="H20" i="2"/>
  <c r="I20" i="2" s="1"/>
  <c r="F5" i="2"/>
  <c r="G5" i="2"/>
  <c r="H5" i="2"/>
  <c r="I5" i="2" s="1"/>
  <c r="L5" i="2" s="1"/>
  <c r="F21" i="2"/>
  <c r="I21" i="2" s="1"/>
  <c r="G21" i="2"/>
  <c r="H21" i="2"/>
  <c r="F22" i="2"/>
  <c r="G22" i="2"/>
  <c r="H22" i="2"/>
  <c r="I22" i="2" s="1"/>
  <c r="F6" i="2"/>
  <c r="G6" i="2"/>
  <c r="H6" i="2"/>
  <c r="I6" i="2" s="1"/>
  <c r="L6" i="2" s="1"/>
  <c r="F23" i="2"/>
  <c r="G23" i="2"/>
  <c r="H23" i="2"/>
  <c r="I23" i="2" s="1"/>
  <c r="F7" i="2"/>
  <c r="G7" i="2"/>
  <c r="H7" i="2"/>
  <c r="F8" i="2"/>
  <c r="G8" i="2"/>
  <c r="H8" i="2"/>
  <c r="I8" i="2" s="1"/>
  <c r="L8" i="2" s="1"/>
  <c r="F24" i="2"/>
  <c r="G24" i="2"/>
  <c r="H24" i="2"/>
  <c r="I24" i="2" s="1"/>
  <c r="F9" i="2"/>
  <c r="G9" i="2"/>
  <c r="H9" i="2"/>
  <c r="I9" i="2" s="1"/>
  <c r="L9" i="2" s="1"/>
  <c r="M9" i="2" s="1"/>
  <c r="F25" i="2"/>
  <c r="G25" i="2"/>
  <c r="H25" i="2"/>
  <c r="F26" i="2"/>
  <c r="G26" i="2"/>
  <c r="H26" i="2"/>
  <c r="I26" i="2" s="1"/>
  <c r="M26" i="2" s="1"/>
  <c r="F2" i="2"/>
  <c r="G2" i="2"/>
  <c r="H2" i="2"/>
  <c r="I2" i="2" s="1"/>
  <c r="L2" i="2" s="1"/>
  <c r="O26" i="2" l="1"/>
  <c r="M8" i="2"/>
  <c r="O8" i="2" s="1"/>
  <c r="M15" i="2"/>
  <c r="O15" i="2" s="1"/>
  <c r="M22" i="2"/>
  <c r="I25" i="2"/>
  <c r="M25" i="2" s="1"/>
  <c r="O25" i="2" s="1"/>
  <c r="I7" i="2"/>
  <c r="L7" i="2" s="1"/>
  <c r="M7" i="2" s="1"/>
  <c r="O7" i="2" s="1"/>
  <c r="I18" i="2"/>
  <c r="M18" i="2" s="1"/>
  <c r="O18" i="2" s="1"/>
  <c r="M11" i="2"/>
  <c r="O11" i="2" s="1"/>
  <c r="M24" i="2"/>
  <c r="O24" i="2" s="1"/>
  <c r="M10" i="2"/>
  <c r="O10" i="2" s="1"/>
  <c r="M2" i="2"/>
  <c r="O2" i="2" s="1"/>
  <c r="M16" i="2"/>
  <c r="O16" i="2" s="1"/>
  <c r="O19" i="2"/>
  <c r="M12" i="2"/>
  <c r="O12" i="2" s="1"/>
  <c r="M17" i="2"/>
  <c r="O17" i="2" s="1"/>
  <c r="M23" i="2"/>
  <c r="O23" i="2" s="1"/>
  <c r="M6" i="2"/>
  <c r="O6" i="2" s="1"/>
  <c r="M21" i="2"/>
  <c r="O21" i="2" s="1"/>
  <c r="M5" i="2"/>
  <c r="O5" i="2" s="1"/>
  <c r="M20" i="2"/>
  <c r="O20" i="2" s="1"/>
  <c r="M4" i="2"/>
  <c r="O4" i="2" s="1"/>
  <c r="M13" i="2"/>
  <c r="O13" i="2" s="1"/>
  <c r="O22" i="2"/>
  <c r="O14" i="2"/>
</calcChain>
</file>

<file path=xl/sharedStrings.xml><?xml version="1.0" encoding="utf-8"?>
<sst xmlns="http://schemas.openxmlformats.org/spreadsheetml/2006/main" count="66" uniqueCount="43">
  <si>
    <t>Author</t>
  </si>
  <si>
    <t>Year</t>
  </si>
  <si>
    <t>Kelsay</t>
  </si>
  <si>
    <t>Fehily</t>
  </si>
  <si>
    <t>Margetts</t>
  </si>
  <si>
    <t>Schlamowitz</t>
  </si>
  <si>
    <t>Solum</t>
  </si>
  <si>
    <t>Ryttig</t>
  </si>
  <si>
    <t>Uusitupa</t>
  </si>
  <si>
    <t>Rigaud</t>
  </si>
  <si>
    <t>Swain</t>
  </si>
  <si>
    <t>Eliasson</t>
  </si>
  <si>
    <t>Singh</t>
  </si>
  <si>
    <t>Onning</t>
  </si>
  <si>
    <t>Burke</t>
  </si>
  <si>
    <t>Jenkins</t>
  </si>
  <si>
    <t>Saltzman</t>
  </si>
  <si>
    <t>Pins</t>
  </si>
  <si>
    <t>He</t>
  </si>
  <si>
    <t>Brussaarda</t>
  </si>
  <si>
    <t>Brussaardb</t>
  </si>
  <si>
    <t>Brussaardc</t>
  </si>
  <si>
    <t>Rossnera</t>
  </si>
  <si>
    <t>Rossnerb</t>
  </si>
  <si>
    <t>Rossnerc</t>
  </si>
  <si>
    <t>Jenkinsa</t>
  </si>
  <si>
    <t>Jenkinsb</t>
  </si>
  <si>
    <t xml:space="preserve"> ES_neg</t>
  </si>
  <si>
    <t xml:space="preserve"> CI_lower_neg</t>
  </si>
  <si>
    <t xml:space="preserve"> CI_upper_neg</t>
  </si>
  <si>
    <t>CI_lower</t>
  </si>
  <si>
    <t>ES</t>
  </si>
  <si>
    <t>CI_upper</t>
  </si>
  <si>
    <t>SE</t>
  </si>
  <si>
    <t>Crossover</t>
  </si>
  <si>
    <t>Parallel</t>
  </si>
  <si>
    <t>Design</t>
  </si>
  <si>
    <t>n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</si>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</sst>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E1D6-3554-433C-9961-DE825A2ACB79}">
  <dimension ref="A1:P26"/>
  <sheetViews>
    <sheetView tabSelected="1" topLeftCell="D1" workbookViewId="0">
      <selection activeCell="N12" sqref="N12"/>
    </sheetView>
  </sheetViews>
  <sheetFormatPr defaultRowHeight="15" x14ac:dyDescent="0.25"/>
  <cols>
    <col min="1" max="1" width="12.140625" bestFit="1" customWidth="1"/>
    <col min="2" max="2" width="5" bestFit="1" customWidth="1"/>
    <col min="3" max="5" width="12.7109375" bestFit="1" customWidth="1"/>
  </cols>
  <sheetData>
    <row r="1" spans="1:16" x14ac:dyDescent="0.25">
      <c r="A1" t="s">
        <v>0</v>
      </c>
      <c r="B1" t="s">
        <v>1</v>
      </c>
      <c r="C1" t="s">
        <v>28</v>
      </c>
      <c r="D1" t="s">
        <v>27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 x14ac:dyDescent="0.25">
      <c r="A2" t="s">
        <v>2</v>
      </c>
      <c r="B2">
        <v>1978</v>
      </c>
      <c r="C2">
        <v>-10.930629652361301</v>
      </c>
      <c r="D2">
        <v>-3.0492737201579998</v>
      </c>
      <c r="E2">
        <v>4.7472577624600598</v>
      </c>
      <c r="F2">
        <f t="shared" ref="F2:F26" si="0">-E2</f>
        <v>-4.7472577624600598</v>
      </c>
      <c r="G2">
        <f t="shared" ref="G2:G26" si="1">-D2</f>
        <v>3.0492737201579998</v>
      </c>
      <c r="H2">
        <f t="shared" ref="H2:H26" si="2">-C2</f>
        <v>10.930629652361301</v>
      </c>
      <c r="I2">
        <f t="shared" ref="I2:I26" si="3">(H2-F2)/1.96/2</f>
        <v>3.9994610752095308</v>
      </c>
      <c r="J2" t="s">
        <v>34</v>
      </c>
      <c r="K2">
        <v>12</v>
      </c>
      <c r="L2">
        <f t="shared" ref="L2:L9" si="4">I2*SQRT(K2)</f>
        <v>13.854539570313916</v>
      </c>
      <c r="M2">
        <f t="shared" ref="M2:M26" si="5">G2/L2</f>
        <v>0.22009202865836627</v>
      </c>
      <c r="N2">
        <f t="shared" ref="N2:N9" si="6">1-3/(4*(K2-1)-1)</f>
        <v>0.93023255813953487</v>
      </c>
      <c r="O2">
        <f t="shared" ref="O2:O26" si="7">N2*M2</f>
        <v>0.20473677084499187</v>
      </c>
      <c r="P2">
        <f>N2*I2/L2</f>
        <v>0.26853500892540733</v>
      </c>
    </row>
    <row r="3" spans="1:16" x14ac:dyDescent="0.25">
      <c r="A3" t="s">
        <v>3</v>
      </c>
      <c r="B3">
        <v>1986</v>
      </c>
      <c r="C3">
        <v>-1.76557606660056</v>
      </c>
      <c r="D3">
        <v>-0.409722550084204</v>
      </c>
      <c r="E3">
        <v>0.86146389059376804</v>
      </c>
      <c r="F3">
        <f t="shared" si="0"/>
        <v>-0.86146389059376804</v>
      </c>
      <c r="G3">
        <f t="shared" si="1"/>
        <v>0.409722550084204</v>
      </c>
      <c r="H3">
        <f t="shared" si="2"/>
        <v>1.76557606660056</v>
      </c>
      <c r="I3">
        <f t="shared" si="3"/>
        <v>0.67016325438630819</v>
      </c>
      <c r="J3" t="s">
        <v>34</v>
      </c>
      <c r="K3">
        <v>201</v>
      </c>
      <c r="L3">
        <f t="shared" si="4"/>
        <v>9.5012039391573513</v>
      </c>
      <c r="M3">
        <f t="shared" si="5"/>
        <v>4.3123224457440885E-2</v>
      </c>
      <c r="N3">
        <f t="shared" si="6"/>
        <v>0.99624530663329158</v>
      </c>
      <c r="O3">
        <f t="shared" si="7"/>
        <v>4.2961309972619453E-2</v>
      </c>
      <c r="P3">
        <f>N3*I3/L3</f>
        <v>7.0269725935349706E-2</v>
      </c>
    </row>
    <row r="4" spans="1:16" x14ac:dyDescent="0.25">
      <c r="A4" t="s">
        <v>4</v>
      </c>
      <c r="B4">
        <v>1987</v>
      </c>
      <c r="C4">
        <v>-2.9488692696284402</v>
      </c>
      <c r="D4">
        <v>-1.08446248996742</v>
      </c>
      <c r="E4">
        <v>0.69519852698172702</v>
      </c>
      <c r="F4">
        <f t="shared" si="0"/>
        <v>-0.69519852698172702</v>
      </c>
      <c r="G4">
        <f t="shared" si="1"/>
        <v>1.08446248996742</v>
      </c>
      <c r="H4">
        <f t="shared" si="2"/>
        <v>2.9488692696284402</v>
      </c>
      <c r="I4">
        <f t="shared" si="3"/>
        <v>0.92960913178830806</v>
      </c>
      <c r="J4" t="s">
        <v>34</v>
      </c>
      <c r="K4">
        <v>88</v>
      </c>
      <c r="L4">
        <f t="shared" si="4"/>
        <v>8.7205066444313122</v>
      </c>
      <c r="M4">
        <f t="shared" si="5"/>
        <v>0.12435773908387873</v>
      </c>
      <c r="N4">
        <f t="shared" si="6"/>
        <v>0.99135446685878958</v>
      </c>
      <c r="O4">
        <f t="shared" si="7"/>
        <v>0.12328260012926306</v>
      </c>
      <c r="P4">
        <f>N4*I4/L4</f>
        <v>0.1056787412483141</v>
      </c>
    </row>
    <row r="5" spans="1:16" x14ac:dyDescent="0.25">
      <c r="A5" t="s">
        <v>10</v>
      </c>
      <c r="B5">
        <v>1990</v>
      </c>
      <c r="C5">
        <v>-2.49704924224541</v>
      </c>
      <c r="D5">
        <v>3.0115040208992299</v>
      </c>
      <c r="E5">
        <v>8.5200572840438706</v>
      </c>
      <c r="F5">
        <f t="shared" si="0"/>
        <v>-8.5200572840438706</v>
      </c>
      <c r="G5">
        <f t="shared" si="1"/>
        <v>-3.0115040208992299</v>
      </c>
      <c r="H5">
        <f t="shared" si="2"/>
        <v>2.49704924224541</v>
      </c>
      <c r="I5">
        <f t="shared" si="3"/>
        <v>2.8104863587472657</v>
      </c>
      <c r="J5" t="s">
        <v>34</v>
      </c>
      <c r="K5">
        <v>20</v>
      </c>
      <c r="L5">
        <f t="shared" si="4"/>
        <v>12.568877095989494</v>
      </c>
      <c r="M5">
        <f t="shared" si="5"/>
        <v>-0.239600085027496</v>
      </c>
      <c r="N5">
        <f t="shared" si="6"/>
        <v>0.96</v>
      </c>
      <c r="O5">
        <f t="shared" si="7"/>
        <v>-0.23001608162639614</v>
      </c>
      <c r="P5">
        <f>N5*I5/L5</f>
        <v>0.2146625258399798</v>
      </c>
    </row>
    <row r="6" spans="1:16" x14ac:dyDescent="0.25">
      <c r="A6" t="s">
        <v>13</v>
      </c>
      <c r="B6">
        <v>1999</v>
      </c>
      <c r="C6">
        <v>-5.1145680877516</v>
      </c>
      <c r="D6">
        <v>-1.5552460538532999</v>
      </c>
      <c r="E6">
        <v>2.0040759800450001</v>
      </c>
      <c r="F6">
        <f t="shared" si="0"/>
        <v>-2.0040759800450001</v>
      </c>
      <c r="G6">
        <f t="shared" si="1"/>
        <v>1.5552460538532999</v>
      </c>
      <c r="H6">
        <f t="shared" si="2"/>
        <v>5.1145680877516</v>
      </c>
      <c r="I6">
        <f t="shared" si="3"/>
        <v>1.815980629539949</v>
      </c>
      <c r="J6" t="s">
        <v>34</v>
      </c>
      <c r="K6">
        <v>52</v>
      </c>
      <c r="L6">
        <f t="shared" si="4"/>
        <v>13.095222550111322</v>
      </c>
      <c r="M6">
        <f t="shared" si="5"/>
        <v>0.11876438509554609</v>
      </c>
      <c r="N6">
        <f t="shared" si="6"/>
        <v>0.98522167487684731</v>
      </c>
      <c r="O6">
        <f t="shared" si="7"/>
        <v>0.11700924639955279</v>
      </c>
      <c r="P6">
        <f>N6*I6/L6</f>
        <v>0.13662566409488403</v>
      </c>
    </row>
    <row r="7" spans="1:16" x14ac:dyDescent="0.25">
      <c r="A7" t="s">
        <v>25</v>
      </c>
      <c r="B7">
        <v>2001</v>
      </c>
      <c r="C7">
        <v>-0.27784335017232498</v>
      </c>
      <c r="D7">
        <v>5.4848685142344404</v>
      </c>
      <c r="E7">
        <v>11.162913302802799</v>
      </c>
      <c r="F7">
        <f t="shared" si="0"/>
        <v>-11.162913302802799</v>
      </c>
      <c r="G7">
        <f t="shared" si="1"/>
        <v>-5.4848685142344404</v>
      </c>
      <c r="H7">
        <f t="shared" si="2"/>
        <v>0.27784335017232498</v>
      </c>
      <c r="I7">
        <f t="shared" si="3"/>
        <v>2.9185603706569196</v>
      </c>
      <c r="J7" t="s">
        <v>34</v>
      </c>
      <c r="K7">
        <v>10</v>
      </c>
      <c r="L7">
        <f t="shared" si="4"/>
        <v>9.2292982599811229</v>
      </c>
      <c r="M7">
        <f t="shared" si="5"/>
        <v>-0.59428879203278229</v>
      </c>
      <c r="N7">
        <f t="shared" si="6"/>
        <v>0.91428571428571426</v>
      </c>
      <c r="O7">
        <f t="shared" si="7"/>
        <v>-0.54334975271568664</v>
      </c>
      <c r="P7">
        <f>N7*I7/L7</f>
        <v>0.28912252892968038</v>
      </c>
    </row>
    <row r="8" spans="1:16" x14ac:dyDescent="0.25">
      <c r="A8" t="s">
        <v>26</v>
      </c>
      <c r="B8">
        <v>2001</v>
      </c>
      <c r="C8">
        <v>-1.8001196040476599</v>
      </c>
      <c r="D8">
        <v>4.0473380230709903</v>
      </c>
      <c r="E8">
        <v>9.9795414129014901</v>
      </c>
      <c r="F8">
        <f t="shared" si="0"/>
        <v>-9.9795414129014901</v>
      </c>
      <c r="G8">
        <f t="shared" si="1"/>
        <v>-4.0473380230709903</v>
      </c>
      <c r="H8">
        <f t="shared" si="2"/>
        <v>1.8001196040476599</v>
      </c>
      <c r="I8">
        <f t="shared" si="3"/>
        <v>3.0050155655482529</v>
      </c>
      <c r="J8" t="s">
        <v>34</v>
      </c>
      <c r="K8">
        <v>10</v>
      </c>
      <c r="L8">
        <f t="shared" si="4"/>
        <v>9.5026935913914894</v>
      </c>
      <c r="M8">
        <f t="shared" si="5"/>
        <v>-0.4259148192189931</v>
      </c>
      <c r="N8">
        <f t="shared" si="6"/>
        <v>0.91428571428571426</v>
      </c>
      <c r="O8">
        <f t="shared" si="7"/>
        <v>-0.38940783471450796</v>
      </c>
      <c r="P8">
        <f>N8*I8/L8</f>
        <v>0.28912252892968038</v>
      </c>
    </row>
    <row r="9" spans="1:16" x14ac:dyDescent="0.25">
      <c r="A9" t="s">
        <v>15</v>
      </c>
      <c r="B9">
        <v>2002</v>
      </c>
      <c r="C9">
        <v>-4.3361188486536699</v>
      </c>
      <c r="D9">
        <v>-0.94636702705255205</v>
      </c>
      <c r="E9">
        <v>2.4435421682954699</v>
      </c>
      <c r="F9">
        <f t="shared" si="0"/>
        <v>-2.4435421682954699</v>
      </c>
      <c r="G9">
        <f t="shared" si="1"/>
        <v>0.94636702705255205</v>
      </c>
      <c r="H9">
        <f t="shared" si="2"/>
        <v>4.3361188486536699</v>
      </c>
      <c r="I9">
        <f t="shared" si="3"/>
        <v>1.7295053614666174</v>
      </c>
      <c r="J9" t="s">
        <v>34</v>
      </c>
      <c r="K9">
        <v>68</v>
      </c>
      <c r="L9">
        <f t="shared" si="4"/>
        <v>14.261866570797832</v>
      </c>
      <c r="M9">
        <f t="shared" si="5"/>
        <v>6.6356463395212562E-2</v>
      </c>
      <c r="N9">
        <f t="shared" si="6"/>
        <v>0.9887640449438202</v>
      </c>
      <c r="O9">
        <f t="shared" si="7"/>
        <v>6.5610885154816917E-2</v>
      </c>
      <c r="P9">
        <f>N9*I9/L9</f>
        <v>0.11990525282695112</v>
      </c>
    </row>
    <row r="10" spans="1:16" x14ac:dyDescent="0.25">
      <c r="A10" t="s">
        <v>19</v>
      </c>
      <c r="B10">
        <v>1981</v>
      </c>
      <c r="C10">
        <v>-3.3004422202288302</v>
      </c>
      <c r="D10">
        <v>2.54693672001636</v>
      </c>
      <c r="E10">
        <v>8.3944730340084703</v>
      </c>
      <c r="F10">
        <f t="shared" si="0"/>
        <v>-8.3944730340084703</v>
      </c>
      <c r="G10">
        <f t="shared" si="1"/>
        <v>-2.54693672001636</v>
      </c>
      <c r="H10">
        <f t="shared" si="2"/>
        <v>3.3004422202288302</v>
      </c>
      <c r="I10">
        <f t="shared" si="3"/>
        <v>2.9833967485299238</v>
      </c>
      <c r="J10" t="s">
        <v>35</v>
      </c>
      <c r="K10">
        <v>31</v>
      </c>
      <c r="L10">
        <f>I10*SQRT(K10/4)</f>
        <v>8.3054250483239347</v>
      </c>
      <c r="M10">
        <f t="shared" si="5"/>
        <v>-0.30665940697765265</v>
      </c>
      <c r="N10">
        <f t="shared" ref="N10:N26" si="8">1-3/(4*(K10-2)-1)</f>
        <v>0.97391304347826091</v>
      </c>
      <c r="O10">
        <f t="shared" si="7"/>
        <v>-0.29865959636084433</v>
      </c>
      <c r="P10">
        <f>N10*I10/L10</f>
        <v>0.34983989264345722</v>
      </c>
    </row>
    <row r="11" spans="1:16" x14ac:dyDescent="0.25">
      <c r="A11" t="s">
        <v>20</v>
      </c>
      <c r="B11">
        <v>1981</v>
      </c>
      <c r="C11">
        <v>-1.09398360165557</v>
      </c>
      <c r="D11">
        <v>5.5161858898698597</v>
      </c>
      <c r="E11">
        <v>12.2111798309805</v>
      </c>
      <c r="F11">
        <f t="shared" si="0"/>
        <v>-12.2111798309805</v>
      </c>
      <c r="G11">
        <f t="shared" si="1"/>
        <v>-5.5161858898698597</v>
      </c>
      <c r="H11">
        <f t="shared" si="2"/>
        <v>1.09398360165557</v>
      </c>
      <c r="I11">
        <f t="shared" si="3"/>
        <v>3.3941743450602218</v>
      </c>
      <c r="J11" t="s">
        <v>35</v>
      </c>
      <c r="K11">
        <v>32</v>
      </c>
      <c r="L11">
        <f t="shared" ref="L11:L26" si="9">I11*SQRT(K11/4)</f>
        <v>9.6001747836859668</v>
      </c>
      <c r="M11">
        <f t="shared" si="5"/>
        <v>-0.57459223547093918</v>
      </c>
      <c r="N11">
        <f t="shared" si="8"/>
        <v>0.97478991596638653</v>
      </c>
      <c r="O11">
        <f t="shared" si="7"/>
        <v>-0.56010671692965497</v>
      </c>
      <c r="P11">
        <f>N11*I11/L11</f>
        <v>0.34464027990604834</v>
      </c>
    </row>
    <row r="12" spans="1:16" x14ac:dyDescent="0.25">
      <c r="A12" t="s">
        <v>21</v>
      </c>
      <c r="B12">
        <v>1981</v>
      </c>
      <c r="C12">
        <v>-2.19253104197157</v>
      </c>
      <c r="D12">
        <v>3.4856711203436999</v>
      </c>
      <c r="E12">
        <v>9.0786553987063705</v>
      </c>
      <c r="F12">
        <f t="shared" si="0"/>
        <v>-9.0786553987063705</v>
      </c>
      <c r="G12">
        <f t="shared" si="1"/>
        <v>-3.4856711203436999</v>
      </c>
      <c r="H12">
        <f t="shared" si="2"/>
        <v>2.19253104197157</v>
      </c>
      <c r="I12">
        <f t="shared" si="3"/>
        <v>2.8753026634382501</v>
      </c>
      <c r="J12" t="s">
        <v>35</v>
      </c>
      <c r="K12">
        <v>31</v>
      </c>
      <c r="L12">
        <f t="shared" si="9"/>
        <v>8.0045038509208659</v>
      </c>
      <c r="M12">
        <f t="shared" si="5"/>
        <v>-0.43546373207662287</v>
      </c>
      <c r="N12">
        <f t="shared" si="8"/>
        <v>0.97391304347826091</v>
      </c>
      <c r="O12">
        <f t="shared" si="7"/>
        <v>-0.42410380863114577</v>
      </c>
      <c r="P12">
        <f>N12*I12/L12</f>
        <v>0.34983989264345727</v>
      </c>
    </row>
    <row r="13" spans="1:16" x14ac:dyDescent="0.25">
      <c r="A13" t="s">
        <v>5</v>
      </c>
      <c r="B13">
        <v>1987</v>
      </c>
      <c r="C13">
        <v>-18.962749634106</v>
      </c>
      <c r="D13">
        <v>-10.9966479391907</v>
      </c>
      <c r="E13">
        <v>-3.0303888705286202</v>
      </c>
      <c r="F13">
        <f t="shared" si="0"/>
        <v>3.0303888705286202</v>
      </c>
      <c r="G13">
        <f t="shared" si="1"/>
        <v>10.9966479391907</v>
      </c>
      <c r="H13">
        <f t="shared" si="2"/>
        <v>18.962749634106</v>
      </c>
      <c r="I13">
        <f t="shared" si="3"/>
        <v>4.0643777458105559</v>
      </c>
      <c r="J13" t="s">
        <v>35</v>
      </c>
      <c r="K13">
        <v>46</v>
      </c>
      <c r="L13">
        <f t="shared" si="9"/>
        <v>13.782975524079012</v>
      </c>
      <c r="M13">
        <f t="shared" si="5"/>
        <v>0.79784281122602541</v>
      </c>
      <c r="N13">
        <f t="shared" si="8"/>
        <v>0.98285714285714287</v>
      </c>
      <c r="O13">
        <f t="shared" si="7"/>
        <v>0.78416550589072209</v>
      </c>
      <c r="P13">
        <f>N13*I13/L13</f>
        <v>0.28982875952734066</v>
      </c>
    </row>
    <row r="14" spans="1:16" x14ac:dyDescent="0.25">
      <c r="A14" t="s">
        <v>6</v>
      </c>
      <c r="B14">
        <v>1987</v>
      </c>
      <c r="C14">
        <v>-22.9427316934988</v>
      </c>
      <c r="D14">
        <v>-9.0442692350062099</v>
      </c>
      <c r="E14">
        <v>4.9387816124514003</v>
      </c>
      <c r="F14">
        <f t="shared" si="0"/>
        <v>-4.9387816124514003</v>
      </c>
      <c r="G14">
        <f t="shared" si="1"/>
        <v>9.0442692350062099</v>
      </c>
      <c r="H14">
        <f t="shared" si="2"/>
        <v>22.9427316934988</v>
      </c>
      <c r="I14">
        <f t="shared" si="3"/>
        <v>7.112630945395459</v>
      </c>
      <c r="J14" t="s">
        <v>35</v>
      </c>
      <c r="K14">
        <v>70</v>
      </c>
      <c r="L14">
        <f t="shared" si="9"/>
        <v>29.754269977508258</v>
      </c>
      <c r="M14">
        <f t="shared" si="5"/>
        <v>0.30396542216774003</v>
      </c>
      <c r="N14">
        <f t="shared" si="8"/>
        <v>0.98892988929889303</v>
      </c>
      <c r="O14">
        <f t="shared" si="7"/>
        <v>0.30060049129503441</v>
      </c>
      <c r="P14">
        <f>N14*I14/L14</f>
        <v>0.23639945926318634</v>
      </c>
    </row>
    <row r="15" spans="1:16" x14ac:dyDescent="0.25">
      <c r="A15" t="s">
        <v>22</v>
      </c>
      <c r="B15">
        <v>1987</v>
      </c>
      <c r="C15">
        <v>-6.1598445147380403</v>
      </c>
      <c r="D15">
        <v>2.9927765450167598</v>
      </c>
      <c r="E15">
        <v>12.1453189178981</v>
      </c>
      <c r="F15">
        <f t="shared" si="0"/>
        <v>-12.1453189178981</v>
      </c>
      <c r="G15">
        <f t="shared" si="1"/>
        <v>-2.9927765450167598</v>
      </c>
      <c r="H15">
        <f t="shared" si="2"/>
        <v>6.1598445147380403</v>
      </c>
      <c r="I15">
        <f t="shared" si="3"/>
        <v>4.6696845491418735</v>
      </c>
      <c r="J15" t="s">
        <v>35</v>
      </c>
      <c r="K15">
        <v>54</v>
      </c>
      <c r="L15">
        <f t="shared" si="9"/>
        <v>17.157516607734163</v>
      </c>
      <c r="M15">
        <f t="shared" si="5"/>
        <v>-0.17442947096829234</v>
      </c>
      <c r="N15">
        <f t="shared" si="8"/>
        <v>0.98550724637681164</v>
      </c>
      <c r="O15">
        <f t="shared" si="7"/>
        <v>-0.17190150762092579</v>
      </c>
      <c r="P15">
        <f>N15*I15/L15</f>
        <v>0.26822109904872166</v>
      </c>
    </row>
    <row r="16" spans="1:16" x14ac:dyDescent="0.25">
      <c r="A16" t="s">
        <v>23</v>
      </c>
      <c r="B16">
        <v>1987</v>
      </c>
      <c r="C16">
        <v>-12.4278834804777</v>
      </c>
      <c r="D16">
        <v>2.9743638166287601E-2</v>
      </c>
      <c r="E16">
        <v>12.4027036809719</v>
      </c>
      <c r="F16">
        <f t="shared" si="0"/>
        <v>-12.4027036809719</v>
      </c>
      <c r="G16">
        <f t="shared" si="1"/>
        <v>-2.9743638166287601E-2</v>
      </c>
      <c r="H16">
        <f t="shared" si="2"/>
        <v>12.4278834804777</v>
      </c>
      <c r="I16">
        <f t="shared" si="3"/>
        <v>6.334333459553469</v>
      </c>
      <c r="J16" t="s">
        <v>35</v>
      </c>
      <c r="K16">
        <v>41</v>
      </c>
      <c r="L16">
        <f t="shared" si="9"/>
        <v>20.279762051424342</v>
      </c>
      <c r="M16">
        <f t="shared" si="5"/>
        <v>-1.4666660334014406E-3</v>
      </c>
      <c r="N16">
        <f t="shared" si="8"/>
        <v>0.98064516129032253</v>
      </c>
      <c r="O16">
        <f t="shared" si="7"/>
        <v>-1.4382789488839934E-3</v>
      </c>
      <c r="P16">
        <f>N16*I16/L16</f>
        <v>0.30630208783313706</v>
      </c>
    </row>
    <row r="17" spans="1:16" x14ac:dyDescent="0.25">
      <c r="A17" t="s">
        <v>24</v>
      </c>
      <c r="B17">
        <v>1988</v>
      </c>
      <c r="C17">
        <v>-4.2891427852005704</v>
      </c>
      <c r="D17">
        <v>0.965173189808467</v>
      </c>
      <c r="E17">
        <v>6.2193317910706103</v>
      </c>
      <c r="F17">
        <f t="shared" si="0"/>
        <v>-6.2193317910706103</v>
      </c>
      <c r="G17">
        <f t="shared" si="1"/>
        <v>-0.965173189808467</v>
      </c>
      <c r="H17">
        <f t="shared" si="2"/>
        <v>4.2891427852005704</v>
      </c>
      <c r="I17">
        <f t="shared" si="3"/>
        <v>2.68073331027326</v>
      </c>
      <c r="J17" t="s">
        <v>35</v>
      </c>
      <c r="K17">
        <v>62</v>
      </c>
      <c r="L17">
        <f t="shared" si="9"/>
        <v>10.554057596608699</v>
      </c>
      <c r="M17">
        <f t="shared" si="5"/>
        <v>-9.1450437992550176E-2</v>
      </c>
      <c r="N17">
        <f t="shared" si="8"/>
        <v>0.9874476987447699</v>
      </c>
      <c r="O17">
        <f t="shared" si="7"/>
        <v>-9.0302524544944945E-2</v>
      </c>
      <c r="P17">
        <f>N17*I17/L17</f>
        <v>0.25081196629326324</v>
      </c>
    </row>
    <row r="18" spans="1:16" x14ac:dyDescent="0.25">
      <c r="A18" t="s">
        <v>7</v>
      </c>
      <c r="B18">
        <v>1989</v>
      </c>
      <c r="C18">
        <v>-6.7435437420329603</v>
      </c>
      <c r="D18">
        <v>0.12094172450152001</v>
      </c>
      <c r="E18">
        <v>6.9853485041625296</v>
      </c>
      <c r="F18">
        <f t="shared" si="0"/>
        <v>-6.9853485041625296</v>
      </c>
      <c r="G18">
        <f t="shared" si="1"/>
        <v>-0.12094172450152001</v>
      </c>
      <c r="H18">
        <f t="shared" si="2"/>
        <v>6.7435437420329603</v>
      </c>
      <c r="I18">
        <f t="shared" si="3"/>
        <v>3.5022684301519105</v>
      </c>
      <c r="J18" t="s">
        <v>35</v>
      </c>
      <c r="K18">
        <v>97</v>
      </c>
      <c r="L18">
        <f t="shared" si="9"/>
        <v>17.246671876142919</v>
      </c>
      <c r="M18">
        <f t="shared" si="5"/>
        <v>-7.0124674122673493E-3</v>
      </c>
      <c r="N18">
        <f t="shared" si="8"/>
        <v>0.9920844327176781</v>
      </c>
      <c r="O18">
        <f t="shared" si="7"/>
        <v>-6.9569597546504571E-3</v>
      </c>
      <c r="P18">
        <f>N18*I18/L18</f>
        <v>0.20146182484973127</v>
      </c>
    </row>
    <row r="19" spans="1:16" x14ac:dyDescent="0.25">
      <c r="A19" t="s">
        <v>8</v>
      </c>
      <c r="B19">
        <v>1989</v>
      </c>
      <c r="C19">
        <v>-12.842169869222399</v>
      </c>
      <c r="D19">
        <v>0.12393182569283499</v>
      </c>
      <c r="E19">
        <v>13.005366444769599</v>
      </c>
      <c r="F19">
        <f t="shared" si="0"/>
        <v>-13.005366444769599</v>
      </c>
      <c r="G19">
        <f t="shared" si="1"/>
        <v>-0.12393182569283499</v>
      </c>
      <c r="H19">
        <f t="shared" si="2"/>
        <v>12.842169869222399</v>
      </c>
      <c r="I19">
        <f t="shared" si="3"/>
        <v>6.5937592637734692</v>
      </c>
      <c r="J19" t="s">
        <v>35</v>
      </c>
      <c r="K19">
        <v>39</v>
      </c>
      <c r="L19">
        <f t="shared" si="9"/>
        <v>20.589006702093105</v>
      </c>
      <c r="M19">
        <f t="shared" si="5"/>
        <v>-6.019320285142067E-3</v>
      </c>
      <c r="N19">
        <f t="shared" si="8"/>
        <v>0.97959183673469385</v>
      </c>
      <c r="O19">
        <f t="shared" si="7"/>
        <v>-5.8964770140167181E-3</v>
      </c>
      <c r="P19">
        <f>N19*I19/L19</f>
        <v>0.31372046459772174</v>
      </c>
    </row>
    <row r="20" spans="1:16" x14ac:dyDescent="0.25">
      <c r="A20" t="s">
        <v>9</v>
      </c>
      <c r="B20">
        <v>1990</v>
      </c>
      <c r="C20">
        <v>-7.4999606565632702</v>
      </c>
      <c r="D20">
        <v>-1.31359866547062</v>
      </c>
      <c r="E20">
        <v>4.8729206993689198</v>
      </c>
      <c r="F20">
        <f t="shared" si="0"/>
        <v>-4.8729206993689198</v>
      </c>
      <c r="G20">
        <f t="shared" si="1"/>
        <v>1.31359866547062</v>
      </c>
      <c r="H20">
        <f t="shared" si="2"/>
        <v>7.4999606565632702</v>
      </c>
      <c r="I20">
        <f t="shared" si="3"/>
        <v>3.156347284676579</v>
      </c>
      <c r="J20" t="s">
        <v>35</v>
      </c>
      <c r="K20">
        <v>52</v>
      </c>
      <c r="L20">
        <f t="shared" si="9"/>
        <v>11.380371978072938</v>
      </c>
      <c r="M20">
        <f t="shared" si="5"/>
        <v>0.11542668974279471</v>
      </c>
      <c r="N20">
        <f t="shared" si="8"/>
        <v>0.98492462311557794</v>
      </c>
      <c r="O20">
        <f t="shared" si="7"/>
        <v>0.11368658889240082</v>
      </c>
      <c r="P20">
        <f>N20*I20/L20</f>
        <v>0.27316894085463544</v>
      </c>
    </row>
    <row r="21" spans="1:16" x14ac:dyDescent="0.25">
      <c r="A21" t="s">
        <v>11</v>
      </c>
      <c r="B21">
        <v>1992</v>
      </c>
      <c r="C21">
        <v>-3.5953606219410399</v>
      </c>
      <c r="D21">
        <v>-0.12086303762806901</v>
      </c>
      <c r="E21">
        <v>3.35387060730528</v>
      </c>
      <c r="F21">
        <f t="shared" si="0"/>
        <v>-3.35387060730528</v>
      </c>
      <c r="G21">
        <f t="shared" si="1"/>
        <v>0.12086303762806901</v>
      </c>
      <c r="H21">
        <f t="shared" si="2"/>
        <v>3.5953606219410399</v>
      </c>
      <c r="I21">
        <f t="shared" si="3"/>
        <v>1.7727630686852858</v>
      </c>
      <c r="J21" t="s">
        <v>35</v>
      </c>
      <c r="K21">
        <v>63</v>
      </c>
      <c r="L21">
        <f t="shared" si="9"/>
        <v>7.035435319771473</v>
      </c>
      <c r="M21">
        <f t="shared" si="5"/>
        <v>1.717918396441102E-2</v>
      </c>
      <c r="N21">
        <f t="shared" si="8"/>
        <v>0.98765432098765427</v>
      </c>
      <c r="O21">
        <f t="shared" si="7"/>
        <v>1.6967095273492366E-2</v>
      </c>
      <c r="P21">
        <f>N21*I21/L21</f>
        <v>0.24886549663158994</v>
      </c>
    </row>
    <row r="22" spans="1:16" x14ac:dyDescent="0.25">
      <c r="A22" t="s">
        <v>12</v>
      </c>
      <c r="B22">
        <v>1992</v>
      </c>
      <c r="C22">
        <v>-11.982122342350801</v>
      </c>
      <c r="D22">
        <v>-8.9313535715971906</v>
      </c>
      <c r="E22">
        <v>-6.0498402656468802</v>
      </c>
      <c r="F22">
        <f t="shared" si="0"/>
        <v>6.0498402656468802</v>
      </c>
      <c r="G22">
        <f t="shared" si="1"/>
        <v>8.9313535715971906</v>
      </c>
      <c r="H22">
        <f t="shared" si="2"/>
        <v>11.982122342350801</v>
      </c>
      <c r="I22">
        <f t="shared" si="3"/>
        <v>1.5133372644652858</v>
      </c>
      <c r="J22" t="s">
        <v>35</v>
      </c>
      <c r="K22">
        <v>120</v>
      </c>
      <c r="L22">
        <f t="shared" si="9"/>
        <v>8.2888895686079831</v>
      </c>
      <c r="M22">
        <f t="shared" si="5"/>
        <v>1.0775090556668017</v>
      </c>
      <c r="N22">
        <f t="shared" si="8"/>
        <v>0.99363057324840764</v>
      </c>
      <c r="O22">
        <f t="shared" si="7"/>
        <v>1.0706459406625546</v>
      </c>
      <c r="P22">
        <f>N22*I22/L22</f>
        <v>0.18141129293164737</v>
      </c>
    </row>
    <row r="23" spans="1:16" x14ac:dyDescent="0.25">
      <c r="A23" t="s">
        <v>14</v>
      </c>
      <c r="B23">
        <v>2001</v>
      </c>
      <c r="C23">
        <v>-8.0776009946020793</v>
      </c>
      <c r="D23">
        <v>-5.87413247722015</v>
      </c>
      <c r="E23">
        <v>-3.7554884094235401</v>
      </c>
      <c r="F23">
        <f t="shared" si="0"/>
        <v>3.7554884094235401</v>
      </c>
      <c r="G23">
        <f t="shared" si="1"/>
        <v>5.87413247722015</v>
      </c>
      <c r="H23">
        <f t="shared" si="2"/>
        <v>8.0776009946020793</v>
      </c>
      <c r="I23">
        <f t="shared" si="3"/>
        <v>1.1025797411169742</v>
      </c>
      <c r="J23" t="s">
        <v>35</v>
      </c>
      <c r="K23">
        <v>36</v>
      </c>
      <c r="L23">
        <f t="shared" si="9"/>
        <v>3.3077392233509224</v>
      </c>
      <c r="M23">
        <f t="shared" si="5"/>
        <v>1.7758753277017194</v>
      </c>
      <c r="N23">
        <f t="shared" si="8"/>
        <v>0.97777777777777775</v>
      </c>
      <c r="O23">
        <f t="shared" si="7"/>
        <v>1.7364114315305701</v>
      </c>
      <c r="P23">
        <f>N23*I23/L23</f>
        <v>0.3259259259259259</v>
      </c>
    </row>
    <row r="24" spans="1:16" x14ac:dyDescent="0.25">
      <c r="A24" t="s">
        <v>16</v>
      </c>
      <c r="B24">
        <v>2001</v>
      </c>
      <c r="C24">
        <v>-10.1021355617455</v>
      </c>
      <c r="D24">
        <v>-5.0173111121602698</v>
      </c>
      <c r="E24">
        <v>0.15225910013691599</v>
      </c>
      <c r="F24">
        <f t="shared" si="0"/>
        <v>-0.15225910013691599</v>
      </c>
      <c r="G24">
        <f t="shared" si="1"/>
        <v>5.0173111121602698</v>
      </c>
      <c r="H24">
        <f t="shared" si="2"/>
        <v>10.1021355617455</v>
      </c>
      <c r="I24">
        <f t="shared" si="3"/>
        <v>2.6159170055822494</v>
      </c>
      <c r="J24" t="s">
        <v>35</v>
      </c>
      <c r="K24">
        <v>43</v>
      </c>
      <c r="L24">
        <f t="shared" si="9"/>
        <v>8.5768574743908861</v>
      </c>
      <c r="M24">
        <f t="shared" si="5"/>
        <v>0.58498245157286943</v>
      </c>
      <c r="N24">
        <f t="shared" si="8"/>
        <v>0.98159509202453987</v>
      </c>
      <c r="O24">
        <f t="shared" si="7"/>
        <v>0.57421590338441175</v>
      </c>
      <c r="P24">
        <f>N24*I24/L24</f>
        <v>0.29938369635848772</v>
      </c>
    </row>
    <row r="25" spans="1:16" x14ac:dyDescent="0.25">
      <c r="A25" t="s">
        <v>17</v>
      </c>
      <c r="B25">
        <v>2002</v>
      </c>
      <c r="C25">
        <v>-11.9600900177832</v>
      </c>
      <c r="D25">
        <v>-5.9431408652408599</v>
      </c>
      <c r="E25">
        <v>-1.09374754103583E-2</v>
      </c>
      <c r="F25">
        <f t="shared" si="0"/>
        <v>1.09374754103583E-2</v>
      </c>
      <c r="G25">
        <f t="shared" si="1"/>
        <v>5.9431408652408599</v>
      </c>
      <c r="H25">
        <f t="shared" si="2"/>
        <v>11.9600900177832</v>
      </c>
      <c r="I25">
        <f t="shared" si="3"/>
        <v>3.0482531995849085</v>
      </c>
      <c r="J25" t="s">
        <v>35</v>
      </c>
      <c r="K25">
        <v>88</v>
      </c>
      <c r="L25">
        <f t="shared" si="9"/>
        <v>14.297574847265249</v>
      </c>
      <c r="M25">
        <f t="shared" si="5"/>
        <v>0.41567475104896034</v>
      </c>
      <c r="N25">
        <f t="shared" si="8"/>
        <v>0.99125364431486884</v>
      </c>
      <c r="O25">
        <f t="shared" si="7"/>
        <v>0.41203911182695779</v>
      </c>
      <c r="P25">
        <f>N25*I25/L25</f>
        <v>0.21133598705803949</v>
      </c>
    </row>
    <row r="26" spans="1:16" x14ac:dyDescent="0.25">
      <c r="A26" t="s">
        <v>18</v>
      </c>
      <c r="B26">
        <v>2004</v>
      </c>
      <c r="C26">
        <v>-2.6349086445399101</v>
      </c>
      <c r="D26">
        <v>-0.43151881403144898</v>
      </c>
      <c r="E26">
        <v>1.6870465668917001</v>
      </c>
      <c r="F26">
        <f t="shared" si="0"/>
        <v>-1.6870465668917001</v>
      </c>
      <c r="G26">
        <f t="shared" si="1"/>
        <v>0.43151881403144898</v>
      </c>
      <c r="H26">
        <f t="shared" si="2"/>
        <v>2.6349086445399101</v>
      </c>
      <c r="I26">
        <f t="shared" si="3"/>
        <v>1.1025395947529617</v>
      </c>
      <c r="J26" t="s">
        <v>35</v>
      </c>
      <c r="K26">
        <v>110</v>
      </c>
      <c r="L26">
        <f t="shared" si="9"/>
        <v>5.7817664121741972</v>
      </c>
      <c r="M26">
        <f t="shared" si="5"/>
        <v>7.4634425410690194E-2</v>
      </c>
      <c r="N26">
        <f t="shared" si="8"/>
        <v>0.99303944315545245</v>
      </c>
      <c r="O26">
        <f t="shared" si="7"/>
        <v>7.4114928250058942E-2</v>
      </c>
      <c r="P26">
        <f>N26*I26/L26</f>
        <v>0.18936519173879976</v>
      </c>
    </row>
  </sheetData>
  <sortState xmlns:xlrd2="http://schemas.microsoft.com/office/spreadsheetml/2017/richdata2" ref="A2:O26">
    <sortCondition ref="J2:J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2025-12-30T01:15:29Z</dcterms:modified>
</cp:coreProperties>
</file>