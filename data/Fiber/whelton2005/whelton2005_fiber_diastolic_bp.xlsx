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whelton2005\"/>
    </mc:Choice>
  </mc:AlternateContent>
  <xr:revisionPtr revIDLastSave="0" documentId="13_ncr:1_{E6B24501-C6BC-49C3-B4EB-0EAB69622D5B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10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3" i="2"/>
  <c r="N4" i="2"/>
  <c r="N5" i="2"/>
  <c r="N6" i="2"/>
  <c r="N7" i="2"/>
  <c r="N8" i="2"/>
  <c r="N9" i="2"/>
  <c r="N2" i="2"/>
  <c r="F10" i="2"/>
  <c r="G10" i="2"/>
  <c r="H10" i="2"/>
  <c r="F11" i="2"/>
  <c r="G11" i="2"/>
  <c r="H11" i="2"/>
  <c r="F12" i="2"/>
  <c r="G12" i="2"/>
  <c r="H12" i="2"/>
  <c r="I12" i="2" s="1"/>
  <c r="F3" i="2"/>
  <c r="G3" i="2"/>
  <c r="H3" i="2"/>
  <c r="F4" i="2"/>
  <c r="I4" i="2" s="1"/>
  <c r="L4" i="2" s="1"/>
  <c r="G4" i="2"/>
  <c r="H4" i="2"/>
  <c r="F13" i="2"/>
  <c r="G13" i="2"/>
  <c r="H13" i="2"/>
  <c r="I13" i="2"/>
  <c r="F14" i="2"/>
  <c r="G14" i="2"/>
  <c r="H14" i="2"/>
  <c r="I14" i="2"/>
  <c r="F15" i="2"/>
  <c r="G15" i="2"/>
  <c r="H15" i="2"/>
  <c r="F16" i="2"/>
  <c r="G16" i="2"/>
  <c r="H16" i="2"/>
  <c r="I16" i="2"/>
  <c r="F17" i="2"/>
  <c r="G17" i="2"/>
  <c r="H17" i="2"/>
  <c r="I17" i="2" s="1"/>
  <c r="F18" i="2"/>
  <c r="I18" i="2" s="1"/>
  <c r="G18" i="2"/>
  <c r="H18" i="2"/>
  <c r="F19" i="2"/>
  <c r="G19" i="2"/>
  <c r="H19" i="2"/>
  <c r="I19" i="2" s="1"/>
  <c r="F20" i="2"/>
  <c r="G20" i="2"/>
  <c r="H20" i="2"/>
  <c r="I20" i="2" s="1"/>
  <c r="F5" i="2"/>
  <c r="G5" i="2"/>
  <c r="H5" i="2"/>
  <c r="F21" i="2"/>
  <c r="G21" i="2"/>
  <c r="H21" i="2"/>
  <c r="I21" i="2" s="1"/>
  <c r="F22" i="2"/>
  <c r="G22" i="2"/>
  <c r="H22" i="2"/>
  <c r="I22" i="2" s="1"/>
  <c r="F6" i="2"/>
  <c r="I6" i="2" s="1"/>
  <c r="L6" i="2" s="1"/>
  <c r="G6" i="2"/>
  <c r="H6" i="2"/>
  <c r="F23" i="2"/>
  <c r="G23" i="2"/>
  <c r="H23" i="2"/>
  <c r="I23" i="2" s="1"/>
  <c r="M23" i="2" s="1"/>
  <c r="F7" i="2"/>
  <c r="G7" i="2"/>
  <c r="H7" i="2"/>
  <c r="F8" i="2"/>
  <c r="G8" i="2"/>
  <c r="H8" i="2"/>
  <c r="F24" i="2"/>
  <c r="G24" i="2"/>
  <c r="H24" i="2"/>
  <c r="I24" i="2"/>
  <c r="F9" i="2"/>
  <c r="G9" i="2"/>
  <c r="H9" i="2"/>
  <c r="F25" i="2"/>
  <c r="I25" i="2" s="1"/>
  <c r="G25" i="2"/>
  <c r="H25" i="2"/>
  <c r="F26" i="2"/>
  <c r="G26" i="2"/>
  <c r="H26" i="2"/>
  <c r="I26" i="2" s="1"/>
  <c r="M26" i="2" s="1"/>
  <c r="H2" i="2"/>
  <c r="G2" i="2"/>
  <c r="F2" i="2"/>
  <c r="M18" i="2" l="1"/>
  <c r="O18" i="2" s="1"/>
  <c r="I5" i="2"/>
  <c r="L5" i="2" s="1"/>
  <c r="M6" i="2"/>
  <c r="I8" i="2"/>
  <c r="L8" i="2" s="1"/>
  <c r="I7" i="2"/>
  <c r="L7" i="2" s="1"/>
  <c r="M7" i="2" s="1"/>
  <c r="O7" i="2" s="1"/>
  <c r="I2" i="2"/>
  <c r="L2" i="2" s="1"/>
  <c r="M2" i="2" s="1"/>
  <c r="O2" i="2" s="1"/>
  <c r="M5" i="2"/>
  <c r="I9" i="2"/>
  <c r="L9" i="2" s="1"/>
  <c r="M9" i="2" s="1"/>
  <c r="O9" i="2" s="1"/>
  <c r="M21" i="2"/>
  <c r="O21" i="2" s="1"/>
  <c r="I3" i="2"/>
  <c r="L3" i="2" s="1"/>
  <c r="M3" i="2" s="1"/>
  <c r="O3" i="2" s="1"/>
  <c r="M17" i="2"/>
  <c r="O17" i="2" s="1"/>
  <c r="M12" i="2"/>
  <c r="O12" i="2" s="1"/>
  <c r="M20" i="2"/>
  <c r="M13" i="2"/>
  <c r="M22" i="2"/>
  <c r="O22" i="2" s="1"/>
  <c r="M16" i="2"/>
  <c r="O16" i="2" s="1"/>
  <c r="M14" i="2"/>
  <c r="O14" i="2" s="1"/>
  <c r="M24" i="2"/>
  <c r="O24" i="2" s="1"/>
  <c r="M8" i="2"/>
  <c r="O8" i="2" s="1"/>
  <c r="M25" i="2"/>
  <c r="O25" i="2" s="1"/>
  <c r="M19" i="2"/>
  <c r="O19" i="2" s="1"/>
  <c r="M4" i="2"/>
  <c r="O4" i="2" s="1"/>
  <c r="M10" i="2"/>
  <c r="O10" i="2" s="1"/>
  <c r="O26" i="2"/>
  <c r="I11" i="2"/>
  <c r="M11" i="2" s="1"/>
  <c r="O11" i="2" s="1"/>
  <c r="O6" i="2"/>
  <c r="I10" i="2"/>
  <c r="O20" i="2"/>
  <c r="I15" i="2"/>
  <c r="M15" i="2" s="1"/>
  <c r="O15" i="2" s="1"/>
  <c r="O5" i="2"/>
  <c r="O23" i="2"/>
  <c r="O13" i="2"/>
</calcChain>
</file>

<file path=xl/sharedStrings.xml><?xml version="1.0" encoding="utf-8"?>
<sst xmlns="http://schemas.openxmlformats.org/spreadsheetml/2006/main" count="66" uniqueCount="43">
  <si>
    <t>CI_lower_neg</t>
  </si>
  <si>
    <t>ES_neg</t>
  </si>
  <si>
    <t>CI_upper_neg</t>
  </si>
  <si>
    <t>Author</t>
  </si>
  <si>
    <t>Year</t>
  </si>
  <si>
    <t>Kelsay</t>
  </si>
  <si>
    <t>Brussaarda</t>
  </si>
  <si>
    <t>Brussaardb</t>
  </si>
  <si>
    <t>Brussaardc</t>
  </si>
  <si>
    <t>Fehily</t>
  </si>
  <si>
    <t>Margetts</t>
  </si>
  <si>
    <t>Schlamowitz</t>
  </si>
  <si>
    <t>Solum</t>
  </si>
  <si>
    <t>Rossnera</t>
  </si>
  <si>
    <t>Rossnerb</t>
  </si>
  <si>
    <t>Rossnerc</t>
  </si>
  <si>
    <t>Ryttig</t>
  </si>
  <si>
    <t>Uusitupa</t>
  </si>
  <si>
    <t>Rigaud</t>
  </si>
  <si>
    <t>Swain</t>
  </si>
  <si>
    <t>Eliasson</t>
  </si>
  <si>
    <t>Singh</t>
  </si>
  <si>
    <t>Onning</t>
  </si>
  <si>
    <t>Burke</t>
  </si>
  <si>
    <t>Jenkinsa</t>
  </si>
  <si>
    <t>Jenkinsb</t>
  </si>
  <si>
    <t>Saltzman</t>
  </si>
  <si>
    <t>Jenkins</t>
  </si>
  <si>
    <t>Pins</t>
  </si>
  <si>
    <t>He</t>
  </si>
  <si>
    <t>CI_lower</t>
  </si>
  <si>
    <t>ES</t>
  </si>
  <si>
    <t>CI_upper</t>
  </si>
  <si>
    <t>SE</t>
  </si>
  <si>
    <t>Design</t>
  </si>
  <si>
    <t>n</t>
  </si>
  <si>
    <t>pooled_sd</t>
  </si>
  <si>
    <t>Crossover</t>
  </si>
  <si>
    <t>Parallel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</si>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</sst>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9AD3-BD2C-45A0-B289-74FCE90C05A0}">
  <dimension ref="A1:P26"/>
  <sheetViews>
    <sheetView tabSelected="1" topLeftCell="D1" workbookViewId="0">
      <selection activeCell="K7" sqref="K7:L7"/>
    </sheetView>
  </sheetViews>
  <sheetFormatPr defaultRowHeight="15" x14ac:dyDescent="0.25"/>
  <cols>
    <col min="1" max="1" width="12.140625" bestFit="1" customWidth="1"/>
    <col min="2" max="2" width="5" bestFit="1" customWidth="1"/>
    <col min="3" max="3" width="13.28515625" bestFit="1" customWidth="1"/>
    <col min="4" max="4" width="12.7109375" bestFit="1" customWidth="1"/>
    <col min="5" max="5" width="13.42578125" bestFit="1" customWidth="1"/>
  </cols>
  <sheetData>
    <row r="1" spans="1:16" x14ac:dyDescent="0.25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39</v>
      </c>
      <c r="N1" t="s">
        <v>40</v>
      </c>
      <c r="O1" t="s">
        <v>41</v>
      </c>
      <c r="P1" t="s">
        <v>42</v>
      </c>
    </row>
    <row r="2" spans="1:16" x14ac:dyDescent="0.25">
      <c r="A2" t="s">
        <v>5</v>
      </c>
      <c r="B2">
        <v>1978</v>
      </c>
      <c r="C2">
        <v>-11.8578352180936</v>
      </c>
      <c r="D2">
        <v>-5.9773828756058096</v>
      </c>
      <c r="E2">
        <v>-0.15347334410338201</v>
      </c>
      <c r="F2">
        <f t="shared" ref="F2:F26" si="0">-E2</f>
        <v>0.15347334410338201</v>
      </c>
      <c r="G2">
        <f t="shared" ref="G2:G26" si="1">-D2</f>
        <v>5.9773828756058096</v>
      </c>
      <c r="H2">
        <f t="shared" ref="H2:H26" si="2">-C2</f>
        <v>11.8578352180936</v>
      </c>
      <c r="I2">
        <f t="shared" ref="I2:I26" si="3">(H2-F2)/1.96/2</f>
        <v>2.9858066005077086</v>
      </c>
      <c r="J2" t="s">
        <v>37</v>
      </c>
      <c r="K2">
        <v>12</v>
      </c>
      <c r="L2">
        <f t="shared" ref="L2:L9" si="4">I2*SQRT(K2)</f>
        <v>10.343137467307722</v>
      </c>
      <c r="M2">
        <f t="shared" ref="M2:M26" si="5">G2/L2</f>
        <v>0.57790809553667266</v>
      </c>
      <c r="N2">
        <f t="shared" ref="N2:N9" si="6">1-3/(4*(K2-1)-1)</f>
        <v>0.93023255813953487</v>
      </c>
      <c r="O2">
        <f t="shared" ref="O2:O26" si="7">N2*M2</f>
        <v>0.5375889260806257</v>
      </c>
      <c r="P2">
        <f>N2*I2/L2</f>
        <v>0.26853500892540733</v>
      </c>
    </row>
    <row r="3" spans="1:16" x14ac:dyDescent="0.25">
      <c r="A3" t="s">
        <v>9</v>
      </c>
      <c r="B3">
        <v>1986</v>
      </c>
      <c r="C3">
        <v>-0.94507269789983095</v>
      </c>
      <c r="D3">
        <v>0.24232633279483901</v>
      </c>
      <c r="E3">
        <v>1.37318255250404</v>
      </c>
      <c r="F3">
        <f t="shared" si="0"/>
        <v>-1.37318255250404</v>
      </c>
      <c r="G3">
        <f t="shared" si="1"/>
        <v>-0.24232633279483901</v>
      </c>
      <c r="H3">
        <f t="shared" si="2"/>
        <v>0.94507269789983095</v>
      </c>
      <c r="I3">
        <f t="shared" si="3"/>
        <v>0.5913916455111915</v>
      </c>
      <c r="J3" t="s">
        <v>37</v>
      </c>
      <c r="K3">
        <v>201</v>
      </c>
      <c r="L3">
        <f t="shared" si="4"/>
        <v>8.3844236387760969</v>
      </c>
      <c r="M3">
        <f t="shared" si="5"/>
        <v>-2.890196669859733E-2</v>
      </c>
      <c r="N3">
        <f t="shared" si="6"/>
        <v>0.99624530663329158</v>
      </c>
      <c r="O3">
        <f t="shared" si="7"/>
        <v>-2.8793448675949278E-2</v>
      </c>
      <c r="P3">
        <f>N3*I3/L3</f>
        <v>7.0269725935349706E-2</v>
      </c>
    </row>
    <row r="4" spans="1:16" x14ac:dyDescent="0.25">
      <c r="A4" t="s">
        <v>10</v>
      </c>
      <c r="B4">
        <v>1987</v>
      </c>
      <c r="C4">
        <v>-3.0371567043618599</v>
      </c>
      <c r="D4">
        <v>-1.17124394184166</v>
      </c>
      <c r="E4">
        <v>0.63812600969305999</v>
      </c>
      <c r="F4">
        <f t="shared" si="0"/>
        <v>-0.63812600969305999</v>
      </c>
      <c r="G4">
        <f t="shared" si="1"/>
        <v>1.17124394184166</v>
      </c>
      <c r="H4">
        <f t="shared" si="2"/>
        <v>3.0371567043618599</v>
      </c>
      <c r="I4">
        <f t="shared" si="3"/>
        <v>0.93757212093237752</v>
      </c>
      <c r="J4" t="s">
        <v>37</v>
      </c>
      <c r="K4">
        <v>88</v>
      </c>
      <c r="L4">
        <f t="shared" si="4"/>
        <v>8.7952061039846043</v>
      </c>
      <c r="M4">
        <f t="shared" si="5"/>
        <v>0.13316844744673312</v>
      </c>
      <c r="N4">
        <f t="shared" si="6"/>
        <v>0.99135446685878958</v>
      </c>
      <c r="O4">
        <f t="shared" si="7"/>
        <v>0.13201713522096886</v>
      </c>
      <c r="P4">
        <f>N4*I4/L4</f>
        <v>0.1056787412483141</v>
      </c>
    </row>
    <row r="5" spans="1:16" x14ac:dyDescent="0.25">
      <c r="A5" t="s">
        <v>19</v>
      </c>
      <c r="B5">
        <v>1990</v>
      </c>
      <c r="C5">
        <v>-1.6801292407108099</v>
      </c>
      <c r="D5">
        <v>2.0516962843295601</v>
      </c>
      <c r="E5">
        <v>5.6704361873990399</v>
      </c>
      <c r="F5">
        <f t="shared" si="0"/>
        <v>-5.6704361873990399</v>
      </c>
      <c r="G5">
        <f t="shared" si="1"/>
        <v>-2.0516962843295601</v>
      </c>
      <c r="H5">
        <f t="shared" si="2"/>
        <v>1.6801292407108099</v>
      </c>
      <c r="I5">
        <f t="shared" si="3"/>
        <v>1.8751442418647575</v>
      </c>
      <c r="J5" t="s">
        <v>37</v>
      </c>
      <c r="K5">
        <v>20</v>
      </c>
      <c r="L5">
        <f t="shared" si="4"/>
        <v>8.3858999848538094</v>
      </c>
      <c r="M5">
        <f t="shared" si="5"/>
        <v>-0.24466023778428442</v>
      </c>
      <c r="N5">
        <f t="shared" si="6"/>
        <v>0.96</v>
      </c>
      <c r="O5">
        <f t="shared" si="7"/>
        <v>-0.23487382827291303</v>
      </c>
      <c r="P5">
        <f>N5*I5/L5</f>
        <v>0.21466252583997983</v>
      </c>
    </row>
    <row r="6" spans="1:16" x14ac:dyDescent="0.25">
      <c r="A6" t="s">
        <v>22</v>
      </c>
      <c r="B6">
        <v>1999</v>
      </c>
      <c r="C6">
        <v>-3.99838449111469</v>
      </c>
      <c r="D6">
        <v>-1.51050080775443</v>
      </c>
      <c r="E6">
        <v>1.03392568659128</v>
      </c>
      <c r="F6">
        <f t="shared" si="0"/>
        <v>-1.03392568659128</v>
      </c>
      <c r="G6">
        <f t="shared" si="1"/>
        <v>1.51050080775443</v>
      </c>
      <c r="H6">
        <f t="shared" si="2"/>
        <v>3.99838449111469</v>
      </c>
      <c r="I6">
        <f t="shared" si="3"/>
        <v>1.2837525963535636</v>
      </c>
      <c r="J6" t="s">
        <v>37</v>
      </c>
      <c r="K6">
        <v>52</v>
      </c>
      <c r="L6">
        <f t="shared" si="4"/>
        <v>9.2572716223255984</v>
      </c>
      <c r="M6">
        <f t="shared" si="5"/>
        <v>0.16316911390085842</v>
      </c>
      <c r="N6">
        <f t="shared" si="6"/>
        <v>0.98522167487684731</v>
      </c>
      <c r="O6">
        <f t="shared" si="7"/>
        <v>0.1607577476855748</v>
      </c>
      <c r="P6">
        <f>N6*I6/L6</f>
        <v>0.13662566409488403</v>
      </c>
    </row>
    <row r="7" spans="1:16" x14ac:dyDescent="0.25">
      <c r="A7" t="s">
        <v>24</v>
      </c>
      <c r="B7">
        <v>2001</v>
      </c>
      <c r="C7">
        <v>-7.8432956381260004</v>
      </c>
      <c r="D7">
        <v>-3.2067851373182399</v>
      </c>
      <c r="E7">
        <v>1.4297253634895</v>
      </c>
      <c r="F7">
        <f t="shared" si="0"/>
        <v>-1.4297253634895</v>
      </c>
      <c r="G7">
        <f t="shared" si="1"/>
        <v>3.2067851373182399</v>
      </c>
      <c r="H7">
        <f t="shared" si="2"/>
        <v>7.8432956381260004</v>
      </c>
      <c r="I7">
        <f t="shared" si="3"/>
        <v>2.3655665820447704</v>
      </c>
      <c r="J7" t="s">
        <v>37</v>
      </c>
      <c r="K7">
        <v>10</v>
      </c>
      <c r="L7">
        <f t="shared" si="4"/>
        <v>7.4805783560410477</v>
      </c>
      <c r="M7">
        <f t="shared" si="5"/>
        <v>0.42868144476136055</v>
      </c>
      <c r="N7">
        <f t="shared" si="6"/>
        <v>0.91428571428571426</v>
      </c>
      <c r="O7">
        <f t="shared" si="7"/>
        <v>0.39193732092467248</v>
      </c>
      <c r="P7">
        <f>N7*I7/L7</f>
        <v>0.28912252892968032</v>
      </c>
    </row>
    <row r="8" spans="1:16" x14ac:dyDescent="0.25">
      <c r="A8" t="s">
        <v>25</v>
      </c>
      <c r="B8">
        <v>2001</v>
      </c>
      <c r="C8">
        <v>-10.896607431340801</v>
      </c>
      <c r="D8">
        <v>-6.0904684975767198</v>
      </c>
      <c r="E8">
        <v>-1.28432956381259</v>
      </c>
      <c r="F8">
        <f t="shared" si="0"/>
        <v>1.28432956381259</v>
      </c>
      <c r="G8">
        <f t="shared" si="1"/>
        <v>6.0904684975767198</v>
      </c>
      <c r="H8">
        <f t="shared" si="2"/>
        <v>10.896607431340801</v>
      </c>
      <c r="I8">
        <f t="shared" si="3"/>
        <v>2.4521117009000535</v>
      </c>
      <c r="J8" t="s">
        <v>37</v>
      </c>
      <c r="K8">
        <v>10</v>
      </c>
      <c r="L8">
        <f t="shared" si="4"/>
        <v>7.7542580519937268</v>
      </c>
      <c r="M8">
        <f t="shared" si="5"/>
        <v>0.78543536425264782</v>
      </c>
      <c r="N8">
        <f t="shared" si="6"/>
        <v>0.91428571428571426</v>
      </c>
      <c r="O8">
        <f t="shared" si="7"/>
        <v>0.71811233303099231</v>
      </c>
      <c r="P8">
        <f>N8*I8/L8</f>
        <v>0.28912252892968032</v>
      </c>
    </row>
    <row r="9" spans="1:16" x14ac:dyDescent="0.25">
      <c r="A9" t="s">
        <v>27</v>
      </c>
      <c r="B9">
        <v>2002</v>
      </c>
      <c r="C9">
        <v>-1.6801292407108099</v>
      </c>
      <c r="D9">
        <v>2.0516962843295601</v>
      </c>
      <c r="E9">
        <v>5.6704361873990399</v>
      </c>
      <c r="F9">
        <f t="shared" si="0"/>
        <v>-5.6704361873990399</v>
      </c>
      <c r="G9">
        <f t="shared" si="1"/>
        <v>-2.0516962843295601</v>
      </c>
      <c r="H9">
        <f t="shared" si="2"/>
        <v>1.6801292407108099</v>
      </c>
      <c r="I9">
        <f t="shared" si="3"/>
        <v>1.8751442418647575</v>
      </c>
      <c r="J9" t="s">
        <v>37</v>
      </c>
      <c r="K9">
        <v>68</v>
      </c>
      <c r="L9">
        <f t="shared" si="4"/>
        <v>15.46283554495429</v>
      </c>
      <c r="M9">
        <f t="shared" si="5"/>
        <v>-0.13268564348141523</v>
      </c>
      <c r="N9">
        <f t="shared" si="6"/>
        <v>0.9887640449438202</v>
      </c>
      <c r="O9">
        <f t="shared" si="7"/>
        <v>-0.13119479355465777</v>
      </c>
      <c r="P9">
        <f>N9*I9/L9</f>
        <v>0.11990525282695114</v>
      </c>
    </row>
    <row r="10" spans="1:16" x14ac:dyDescent="0.25">
      <c r="A10" t="s">
        <v>6</v>
      </c>
      <c r="B10">
        <v>1981</v>
      </c>
      <c r="C10">
        <v>-3.99838449111469</v>
      </c>
      <c r="D10">
        <v>3.6348949919224598</v>
      </c>
      <c r="E10">
        <v>11.268174474959601</v>
      </c>
      <c r="F10">
        <f t="shared" si="0"/>
        <v>-11.268174474959601</v>
      </c>
      <c r="G10">
        <f t="shared" si="1"/>
        <v>-3.6348949919224598</v>
      </c>
      <c r="H10">
        <f t="shared" si="2"/>
        <v>3.99838449111469</v>
      </c>
      <c r="I10">
        <f t="shared" si="3"/>
        <v>3.8945303484883396</v>
      </c>
      <c r="J10" t="s">
        <v>38</v>
      </c>
      <c r="K10">
        <v>31</v>
      </c>
      <c r="L10">
        <f>I10*SQRT(K10/4)</f>
        <v>10.841913642136682</v>
      </c>
      <c r="M10">
        <f t="shared" si="5"/>
        <v>-0.33526323044998069</v>
      </c>
      <c r="N10">
        <f t="shared" ref="N10:N26" si="8">1-3/(4*(K10-2)-1)</f>
        <v>0.97391304347826091</v>
      </c>
      <c r="O10">
        <f t="shared" si="7"/>
        <v>-0.32651723313389425</v>
      </c>
      <c r="P10">
        <f>N10*I10/L10</f>
        <v>0.34983989264345722</v>
      </c>
    </row>
    <row r="11" spans="1:16" x14ac:dyDescent="0.25">
      <c r="A11" t="s">
        <v>7</v>
      </c>
      <c r="B11">
        <v>1981</v>
      </c>
      <c r="C11">
        <v>-6.2035541195476398</v>
      </c>
      <c r="D11">
        <v>1.03392568659128</v>
      </c>
      <c r="E11">
        <v>8.2714054927302101</v>
      </c>
      <c r="F11">
        <f t="shared" si="0"/>
        <v>-8.2714054927302101</v>
      </c>
      <c r="G11">
        <f t="shared" si="1"/>
        <v>-1.03392568659128</v>
      </c>
      <c r="H11">
        <f t="shared" si="2"/>
        <v>6.2035541195476398</v>
      </c>
      <c r="I11">
        <f t="shared" si="3"/>
        <v>3.6925917378259823</v>
      </c>
      <c r="J11" t="s">
        <v>38</v>
      </c>
      <c r="K11">
        <v>32</v>
      </c>
      <c r="L11">
        <f t="shared" ref="L11:L26" si="9">I11*SQRT(K11/4)</f>
        <v>10.444226631880682</v>
      </c>
      <c r="M11">
        <f t="shared" si="5"/>
        <v>-9.8994949366117121E-2</v>
      </c>
      <c r="N11">
        <f t="shared" si="8"/>
        <v>0.97478991596638653</v>
      </c>
      <c r="O11">
        <f t="shared" si="7"/>
        <v>-9.6499278373694E-2</v>
      </c>
      <c r="P11">
        <f>N11*I11/L11</f>
        <v>0.34464027990604829</v>
      </c>
    </row>
    <row r="12" spans="1:16" x14ac:dyDescent="0.25">
      <c r="A12" t="s">
        <v>8</v>
      </c>
      <c r="B12">
        <v>1981</v>
      </c>
      <c r="C12">
        <v>-1.9628432956381101</v>
      </c>
      <c r="D12">
        <v>3.9176090468497602</v>
      </c>
      <c r="E12">
        <v>9.7415185783521903</v>
      </c>
      <c r="F12">
        <f t="shared" si="0"/>
        <v>-9.7415185783521903</v>
      </c>
      <c r="G12">
        <f t="shared" si="1"/>
        <v>-3.9176090468497602</v>
      </c>
      <c r="H12">
        <f t="shared" si="2"/>
        <v>1.9628432956381101</v>
      </c>
      <c r="I12">
        <f t="shared" si="3"/>
        <v>2.9858066005077299</v>
      </c>
      <c r="J12" t="s">
        <v>38</v>
      </c>
      <c r="K12">
        <v>31</v>
      </c>
      <c r="L12">
        <f t="shared" si="9"/>
        <v>8.3121337923047971</v>
      </c>
      <c r="M12">
        <f t="shared" si="5"/>
        <v>-0.4713120775891026</v>
      </c>
      <c r="N12">
        <f t="shared" si="8"/>
        <v>0.97391304347826091</v>
      </c>
      <c r="O12">
        <f t="shared" si="7"/>
        <v>-0.45901697991286516</v>
      </c>
      <c r="P12">
        <f>N12*I12/L12</f>
        <v>0.34983989264345722</v>
      </c>
    </row>
    <row r="13" spans="1:16" x14ac:dyDescent="0.25">
      <c r="A13" t="s">
        <v>11</v>
      </c>
      <c r="B13">
        <v>1987</v>
      </c>
      <c r="C13">
        <v>-8.8610662358642802</v>
      </c>
      <c r="D13">
        <v>-2.9806138933763999</v>
      </c>
      <c r="E13">
        <v>2.8432956381260102</v>
      </c>
      <c r="F13">
        <f t="shared" si="0"/>
        <v>-2.8432956381260102</v>
      </c>
      <c r="G13">
        <f t="shared" si="1"/>
        <v>2.9806138933763999</v>
      </c>
      <c r="H13">
        <f t="shared" si="2"/>
        <v>8.8610662358642802</v>
      </c>
      <c r="I13">
        <f t="shared" si="3"/>
        <v>2.9858066005077273</v>
      </c>
      <c r="J13" t="s">
        <v>38</v>
      </c>
      <c r="K13">
        <v>46</v>
      </c>
      <c r="L13">
        <f t="shared" si="9"/>
        <v>10.125362815218445</v>
      </c>
      <c r="M13">
        <f t="shared" si="5"/>
        <v>0.29437107072316759</v>
      </c>
      <c r="N13">
        <f t="shared" si="8"/>
        <v>0.98285714285714287</v>
      </c>
      <c r="O13">
        <f t="shared" si="7"/>
        <v>0.28932470951077044</v>
      </c>
      <c r="P13">
        <f>N13*I13/L13</f>
        <v>0.28982875952734066</v>
      </c>
    </row>
    <row r="14" spans="1:16" x14ac:dyDescent="0.25">
      <c r="A14" t="s">
        <v>12</v>
      </c>
      <c r="B14">
        <v>1987</v>
      </c>
      <c r="C14">
        <v>-14.798061389337599</v>
      </c>
      <c r="D14">
        <v>-5.0161550888529698</v>
      </c>
      <c r="E14">
        <v>4.8222940226171298</v>
      </c>
      <c r="F14">
        <f t="shared" si="0"/>
        <v>-4.8222940226171298</v>
      </c>
      <c r="G14">
        <f t="shared" si="1"/>
        <v>5.0161550888529698</v>
      </c>
      <c r="H14">
        <f t="shared" si="2"/>
        <v>14.798061389337599</v>
      </c>
      <c r="I14">
        <f t="shared" si="3"/>
        <v>5.0051927071313091</v>
      </c>
      <c r="J14" t="s">
        <v>38</v>
      </c>
      <c r="K14">
        <v>70</v>
      </c>
      <c r="L14">
        <f t="shared" si="9"/>
        <v>20.938223315783212</v>
      </c>
      <c r="M14">
        <f t="shared" si="5"/>
        <v>0.23956928022024662</v>
      </c>
      <c r="N14">
        <f t="shared" si="8"/>
        <v>0.98892988929889303</v>
      </c>
      <c r="O14">
        <f t="shared" si="7"/>
        <v>0.23691722176762398</v>
      </c>
      <c r="P14">
        <f>N14*I14/L14</f>
        <v>0.23639945926318634</v>
      </c>
    </row>
    <row r="15" spans="1:16" x14ac:dyDescent="0.25">
      <c r="A15" t="s">
        <v>13</v>
      </c>
      <c r="B15">
        <v>1987</v>
      </c>
      <c r="C15">
        <v>-5.5250403877221199</v>
      </c>
      <c r="D15">
        <v>1.6155088852990201E-2</v>
      </c>
      <c r="E15">
        <v>5.5008077544426497</v>
      </c>
      <c r="F15">
        <f t="shared" si="0"/>
        <v>-5.5008077544426497</v>
      </c>
      <c r="G15">
        <f t="shared" si="1"/>
        <v>-1.6155088852990201E-2</v>
      </c>
      <c r="H15">
        <f t="shared" si="2"/>
        <v>5.5250403877221199</v>
      </c>
      <c r="I15">
        <f t="shared" si="3"/>
        <v>2.812716362797135</v>
      </c>
      <c r="J15" t="s">
        <v>38</v>
      </c>
      <c r="K15">
        <v>54</v>
      </c>
      <c r="L15">
        <f t="shared" si="9"/>
        <v>10.334579820044986</v>
      </c>
      <c r="M15">
        <f t="shared" si="5"/>
        <v>-1.5632071292976746E-3</v>
      </c>
      <c r="N15">
        <f t="shared" si="8"/>
        <v>0.98550724637681164</v>
      </c>
      <c r="O15">
        <f t="shared" si="7"/>
        <v>-1.5405519535107519E-3</v>
      </c>
      <c r="P15">
        <f>N15*I15/L15</f>
        <v>0.2682210990487216</v>
      </c>
    </row>
    <row r="16" spans="1:16" x14ac:dyDescent="0.25">
      <c r="A16" t="s">
        <v>14</v>
      </c>
      <c r="B16">
        <v>1987</v>
      </c>
      <c r="C16">
        <v>-11.8012924071082</v>
      </c>
      <c r="D16">
        <v>-5.0161550888529698</v>
      </c>
      <c r="E16">
        <v>1.8820678513731901</v>
      </c>
      <c r="F16">
        <f t="shared" si="0"/>
        <v>-1.8820678513731901</v>
      </c>
      <c r="G16">
        <f t="shared" si="1"/>
        <v>5.0161550888529698</v>
      </c>
      <c r="H16">
        <f t="shared" si="2"/>
        <v>11.8012924071082</v>
      </c>
      <c r="I16">
        <f t="shared" si="3"/>
        <v>3.4906531271636196</v>
      </c>
      <c r="J16" t="s">
        <v>38</v>
      </c>
      <c r="K16">
        <v>41</v>
      </c>
      <c r="L16">
        <f t="shared" si="9"/>
        <v>11.17554282150607</v>
      </c>
      <c r="M16">
        <f t="shared" si="5"/>
        <v>0.44885113582133529</v>
      </c>
      <c r="N16">
        <f t="shared" si="8"/>
        <v>0.98064516129032253</v>
      </c>
      <c r="O16">
        <f t="shared" si="7"/>
        <v>0.4401636944828578</v>
      </c>
      <c r="P16">
        <f>N16*I16/L16</f>
        <v>0.306302087833137</v>
      </c>
    </row>
    <row r="17" spans="1:16" x14ac:dyDescent="0.25">
      <c r="A17" t="s">
        <v>15</v>
      </c>
      <c r="B17">
        <v>1988</v>
      </c>
      <c r="C17">
        <v>-4.8465266558965903</v>
      </c>
      <c r="D17">
        <v>-2.0193861066235801</v>
      </c>
      <c r="E17">
        <v>0.86429725363490895</v>
      </c>
      <c r="F17">
        <f t="shared" si="0"/>
        <v>-0.86429725363490895</v>
      </c>
      <c r="G17">
        <f t="shared" si="1"/>
        <v>2.0193861066235801</v>
      </c>
      <c r="H17">
        <f t="shared" si="2"/>
        <v>4.8465266558965903</v>
      </c>
      <c r="I17">
        <f t="shared" si="3"/>
        <v>1.4568428340641582</v>
      </c>
      <c r="J17" t="s">
        <v>38</v>
      </c>
      <c r="K17">
        <v>62</v>
      </c>
      <c r="L17">
        <f t="shared" si="9"/>
        <v>5.7355959733094322</v>
      </c>
      <c r="M17">
        <f t="shared" si="5"/>
        <v>0.35207956000052715</v>
      </c>
      <c r="N17">
        <f t="shared" si="8"/>
        <v>0.9874476987447699</v>
      </c>
      <c r="O17">
        <f t="shared" si="7"/>
        <v>0.34766015129759165</v>
      </c>
      <c r="P17">
        <f>N17*I17/L17</f>
        <v>0.25081196629326324</v>
      </c>
    </row>
    <row r="18" spans="1:16" x14ac:dyDescent="0.25">
      <c r="A18" t="s">
        <v>16</v>
      </c>
      <c r="B18">
        <v>1989</v>
      </c>
      <c r="C18">
        <v>-6.8255250403877099</v>
      </c>
      <c r="D18">
        <v>-2.9240710823909399</v>
      </c>
      <c r="E18">
        <v>0.97738287560581905</v>
      </c>
      <c r="F18">
        <f t="shared" si="0"/>
        <v>-0.97738287560581905</v>
      </c>
      <c r="G18">
        <f t="shared" si="1"/>
        <v>2.9240710823909399</v>
      </c>
      <c r="H18">
        <f t="shared" si="2"/>
        <v>6.8255250403877099</v>
      </c>
      <c r="I18">
        <f t="shared" si="3"/>
        <v>1.9905377336718186</v>
      </c>
      <c r="J18" t="s">
        <v>38</v>
      </c>
      <c r="K18">
        <v>97</v>
      </c>
      <c r="L18">
        <f t="shared" si="9"/>
        <v>9.8022615440216132</v>
      </c>
      <c r="M18">
        <f t="shared" si="5"/>
        <v>0.29830576028389361</v>
      </c>
      <c r="N18">
        <f t="shared" si="8"/>
        <v>0.9920844327176781</v>
      </c>
      <c r="O18">
        <f t="shared" si="7"/>
        <v>0.29594450096766228</v>
      </c>
      <c r="P18">
        <f>N18*I18/L18</f>
        <v>0.2014618248497313</v>
      </c>
    </row>
    <row r="19" spans="1:16" x14ac:dyDescent="0.25">
      <c r="A19" t="s">
        <v>17</v>
      </c>
      <c r="B19">
        <v>1989</v>
      </c>
      <c r="C19">
        <v>-4.7899838449111396</v>
      </c>
      <c r="D19">
        <v>0.24232633279483901</v>
      </c>
      <c r="E19">
        <v>5.2180936995153502</v>
      </c>
      <c r="F19">
        <f t="shared" si="0"/>
        <v>-5.2180936995153502</v>
      </c>
      <c r="G19">
        <f t="shared" si="1"/>
        <v>-0.24232633279483901</v>
      </c>
      <c r="H19">
        <f t="shared" si="2"/>
        <v>4.7899838449111396</v>
      </c>
      <c r="I19">
        <f t="shared" si="3"/>
        <v>2.5530810062312472</v>
      </c>
      <c r="J19" t="s">
        <v>38</v>
      </c>
      <c r="K19">
        <v>39</v>
      </c>
      <c r="L19">
        <f t="shared" si="9"/>
        <v>7.9719928868315542</v>
      </c>
      <c r="M19">
        <f t="shared" si="5"/>
        <v>-3.0397208857915942E-2</v>
      </c>
      <c r="N19">
        <f t="shared" si="8"/>
        <v>0.97959183673469385</v>
      </c>
      <c r="O19">
        <f t="shared" si="7"/>
        <v>-2.9776857656733983E-2</v>
      </c>
      <c r="P19">
        <f>N19*I19/L19</f>
        <v>0.31372046459772174</v>
      </c>
    </row>
    <row r="20" spans="1:16" x14ac:dyDescent="0.25">
      <c r="A20" t="s">
        <v>18</v>
      </c>
      <c r="B20">
        <v>1990</v>
      </c>
      <c r="C20">
        <v>-1.7366720516962699</v>
      </c>
      <c r="D20">
        <v>2.5040387722132502</v>
      </c>
      <c r="E20">
        <v>6.7447495961227899</v>
      </c>
      <c r="F20">
        <f t="shared" si="0"/>
        <v>-6.7447495961227899</v>
      </c>
      <c r="G20">
        <f t="shared" si="1"/>
        <v>-2.5040387722132502</v>
      </c>
      <c r="H20">
        <f t="shared" si="2"/>
        <v>1.7366720516962699</v>
      </c>
      <c r="I20">
        <f t="shared" si="3"/>
        <v>2.1636279713824131</v>
      </c>
      <c r="J20" t="s">
        <v>38</v>
      </c>
      <c r="K20">
        <v>52</v>
      </c>
      <c r="L20">
        <f t="shared" si="9"/>
        <v>7.8010715918474229</v>
      </c>
      <c r="M20">
        <f t="shared" si="5"/>
        <v>-0.32098651354899982</v>
      </c>
      <c r="N20">
        <f t="shared" si="8"/>
        <v>0.98492462311557794</v>
      </c>
      <c r="O20">
        <f t="shared" si="7"/>
        <v>-0.31614752088243198</v>
      </c>
      <c r="P20">
        <f>N20*I20/L20</f>
        <v>0.2731689408546355</v>
      </c>
    </row>
    <row r="21" spans="1:16" x14ac:dyDescent="0.25">
      <c r="A21" t="s">
        <v>20</v>
      </c>
      <c r="B21">
        <v>1992</v>
      </c>
      <c r="C21">
        <v>-6.0904684975767198</v>
      </c>
      <c r="D21">
        <v>-4.3941841680129103</v>
      </c>
      <c r="E21">
        <v>-2.6978998384491</v>
      </c>
      <c r="F21">
        <f t="shared" si="0"/>
        <v>2.6978998384491</v>
      </c>
      <c r="G21">
        <f t="shared" si="1"/>
        <v>4.3941841680129103</v>
      </c>
      <c r="H21">
        <f t="shared" si="2"/>
        <v>6.0904684975767198</v>
      </c>
      <c r="I21">
        <f t="shared" si="3"/>
        <v>0.86545118855296421</v>
      </c>
      <c r="J21" t="s">
        <v>38</v>
      </c>
      <c r="K21">
        <v>63</v>
      </c>
      <c r="L21">
        <f t="shared" si="9"/>
        <v>3.4346529251646198</v>
      </c>
      <c r="M21">
        <f t="shared" si="5"/>
        <v>1.2793677450836756</v>
      </c>
      <c r="N21">
        <f t="shared" si="8"/>
        <v>0.98765432098765427</v>
      </c>
      <c r="O21">
        <f t="shared" si="7"/>
        <v>1.263573081564124</v>
      </c>
      <c r="P21">
        <f>N21*I21/L21</f>
        <v>0.24886549663158991</v>
      </c>
    </row>
    <row r="22" spans="1:16" x14ac:dyDescent="0.25">
      <c r="A22" t="s">
        <v>21</v>
      </c>
      <c r="B22">
        <v>1992</v>
      </c>
      <c r="C22">
        <v>-11.518578352180899</v>
      </c>
      <c r="D22">
        <v>-8.0129240710823808</v>
      </c>
      <c r="E22">
        <v>-4.5072697899838303</v>
      </c>
      <c r="F22">
        <f t="shared" si="0"/>
        <v>4.5072697899838303</v>
      </c>
      <c r="G22">
        <f t="shared" si="1"/>
        <v>8.0129240710823808</v>
      </c>
      <c r="H22">
        <f t="shared" si="2"/>
        <v>11.518578352180899</v>
      </c>
      <c r="I22">
        <f t="shared" si="3"/>
        <v>1.7885991230094564</v>
      </c>
      <c r="J22" t="s">
        <v>38</v>
      </c>
      <c r="K22">
        <v>120</v>
      </c>
      <c r="L22">
        <f t="shared" si="9"/>
        <v>9.7965608600623675</v>
      </c>
      <c r="M22">
        <f t="shared" si="5"/>
        <v>0.81793235254104968</v>
      </c>
      <c r="N22">
        <f t="shared" si="8"/>
        <v>0.99363057324840764</v>
      </c>
      <c r="O22">
        <f t="shared" si="7"/>
        <v>0.81272259233378186</v>
      </c>
      <c r="P22">
        <f>N22*I22/L22</f>
        <v>0.18141129293164734</v>
      </c>
    </row>
    <row r="23" spans="1:16" x14ac:dyDescent="0.25">
      <c r="A23" t="s">
        <v>23</v>
      </c>
      <c r="B23">
        <v>2001</v>
      </c>
      <c r="C23">
        <v>-2.9806138933763999</v>
      </c>
      <c r="D23">
        <v>-1.34087237479805</v>
      </c>
      <c r="E23">
        <v>0.18578352180937599</v>
      </c>
      <c r="F23">
        <f t="shared" si="0"/>
        <v>-0.18578352180937599</v>
      </c>
      <c r="G23">
        <f t="shared" si="1"/>
        <v>1.34087237479805</v>
      </c>
      <c r="H23">
        <f t="shared" si="2"/>
        <v>2.9806138933763999</v>
      </c>
      <c r="I23">
        <f t="shared" si="3"/>
        <v>0.80775444264943264</v>
      </c>
      <c r="J23" t="s">
        <v>38</v>
      </c>
      <c r="K23">
        <v>36</v>
      </c>
      <c r="L23">
        <f t="shared" si="9"/>
        <v>2.4232633279482978</v>
      </c>
      <c r="M23">
        <f t="shared" si="5"/>
        <v>0.55333333333333001</v>
      </c>
      <c r="N23">
        <f t="shared" si="8"/>
        <v>0.97777777777777775</v>
      </c>
      <c r="O23">
        <f t="shared" si="7"/>
        <v>0.54103703703703376</v>
      </c>
      <c r="P23">
        <f>N23*I23/L23</f>
        <v>0.32592592592592595</v>
      </c>
    </row>
    <row r="24" spans="1:16" x14ac:dyDescent="0.25">
      <c r="A24" t="s">
        <v>26</v>
      </c>
      <c r="B24">
        <v>2001</v>
      </c>
      <c r="C24">
        <v>-4.2810985460419904</v>
      </c>
      <c r="D24">
        <v>-0.94507269789983095</v>
      </c>
      <c r="E24">
        <v>2.2778675282714098</v>
      </c>
      <c r="F24">
        <f t="shared" si="0"/>
        <v>-2.2778675282714098</v>
      </c>
      <c r="G24">
        <f t="shared" si="1"/>
        <v>0.94507269789983095</v>
      </c>
      <c r="H24">
        <f t="shared" si="2"/>
        <v>4.2810985460419904</v>
      </c>
      <c r="I24">
        <f t="shared" si="3"/>
        <v>1.673205631202398</v>
      </c>
      <c r="J24" t="s">
        <v>38</v>
      </c>
      <c r="K24">
        <v>43</v>
      </c>
      <c r="L24">
        <f t="shared" si="9"/>
        <v>5.4859715325628251</v>
      </c>
      <c r="M24">
        <f t="shared" si="5"/>
        <v>0.17227079876193432</v>
      </c>
      <c r="N24">
        <f t="shared" si="8"/>
        <v>0.98159509202453987</v>
      </c>
      <c r="O24">
        <f t="shared" si="7"/>
        <v>0.16910017056386192</v>
      </c>
      <c r="P24">
        <f>N24*I24/L24</f>
        <v>0.29938369635848772</v>
      </c>
    </row>
    <row r="25" spans="1:16" x14ac:dyDescent="0.25">
      <c r="A25" t="s">
        <v>28</v>
      </c>
      <c r="B25">
        <v>2002</v>
      </c>
      <c r="C25">
        <v>-8.9176090468497495</v>
      </c>
      <c r="D25">
        <v>-5.0161550888529698</v>
      </c>
      <c r="E25">
        <v>-1.11470113085621</v>
      </c>
      <c r="F25">
        <f t="shared" si="0"/>
        <v>1.11470113085621</v>
      </c>
      <c r="G25">
        <f t="shared" si="1"/>
        <v>5.0161550888529698</v>
      </c>
      <c r="H25">
        <f t="shared" si="2"/>
        <v>8.9176090468497495</v>
      </c>
      <c r="I25">
        <f t="shared" si="3"/>
        <v>1.9905377336718215</v>
      </c>
      <c r="J25" t="s">
        <v>38</v>
      </c>
      <c r="K25">
        <v>88</v>
      </c>
      <c r="L25">
        <f t="shared" si="9"/>
        <v>9.3364495565375254</v>
      </c>
      <c r="M25">
        <f t="shared" si="5"/>
        <v>0.53726580521613598</v>
      </c>
      <c r="N25">
        <f t="shared" si="8"/>
        <v>0.99125364431486884</v>
      </c>
      <c r="O25">
        <f t="shared" si="7"/>
        <v>0.53256668738625723</v>
      </c>
      <c r="P25">
        <f>N25*I25/L25</f>
        <v>0.21133598705803947</v>
      </c>
    </row>
    <row r="26" spans="1:16" x14ac:dyDescent="0.25">
      <c r="A26" t="s">
        <v>29</v>
      </c>
      <c r="B26">
        <v>2004</v>
      </c>
      <c r="C26">
        <v>-2.5848142164781698</v>
      </c>
      <c r="D26">
        <v>-0.94507269789983095</v>
      </c>
      <c r="E26">
        <v>0.581583198707598</v>
      </c>
      <c r="F26">
        <f t="shared" si="0"/>
        <v>-0.581583198707598</v>
      </c>
      <c r="G26">
        <f t="shared" si="1"/>
        <v>0.94507269789983095</v>
      </c>
      <c r="H26">
        <f t="shared" si="2"/>
        <v>2.5848142164781698</v>
      </c>
      <c r="I26">
        <f t="shared" si="3"/>
        <v>0.80775444264943064</v>
      </c>
      <c r="J26" t="s">
        <v>38</v>
      </c>
      <c r="K26">
        <v>110</v>
      </c>
      <c r="L26">
        <f t="shared" si="9"/>
        <v>4.2359000329973604</v>
      </c>
      <c r="M26">
        <f t="shared" si="5"/>
        <v>0.22311024588346792</v>
      </c>
      <c r="N26">
        <f t="shared" si="8"/>
        <v>0.99303944315545245</v>
      </c>
      <c r="O26">
        <f t="shared" si="7"/>
        <v>0.22155727433439507</v>
      </c>
      <c r="P26">
        <f>N26*I26/L26</f>
        <v>0.18936519173879979</v>
      </c>
    </row>
  </sheetData>
  <sortState xmlns:xlrd2="http://schemas.microsoft.com/office/spreadsheetml/2017/richdata2" ref="A2:O26">
    <sortCondition ref="J2:J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2025-12-30T01:15:56Z</dcterms:modified>
</cp:coreProperties>
</file>