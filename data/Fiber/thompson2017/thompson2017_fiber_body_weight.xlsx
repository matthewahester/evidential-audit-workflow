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iber\thompson2017\"/>
    </mc:Choice>
  </mc:AlternateContent>
  <xr:revisionPtr revIDLastSave="0" documentId="13_ncr:1_{17B9E3CF-717D-4C46-ADCC-A7089AA1EB70}" xr6:coauthVersionLast="47" xr6:coauthVersionMax="47" xr10:uidLastSave="{00000000-0000-0000-0000-000000000000}"/>
  <bookViews>
    <workbookView xWindow="38280" yWindow="2820" windowWidth="29040" windowHeight="16440" xr2:uid="{45F6E9CE-8D23-4E03-ABBB-B2EA9D29C6D4}"/>
  </bookViews>
  <sheets>
    <sheet name="thompson_fiber_wk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2" i="1"/>
  <c r="M3" i="1"/>
  <c r="M4" i="1"/>
  <c r="M5" i="1"/>
  <c r="M6" i="1"/>
  <c r="M7" i="1"/>
  <c r="M8" i="1"/>
  <c r="M9" i="1"/>
  <c r="M10" i="1"/>
  <c r="M11" i="1"/>
  <c r="M2" i="1"/>
  <c r="N3" i="1" l="1"/>
  <c r="O3" i="1"/>
  <c r="P3" i="1" s="1"/>
  <c r="N4" i="1"/>
  <c r="O4" i="1"/>
  <c r="N5" i="1"/>
  <c r="O5" i="1"/>
  <c r="P5" i="1" s="1"/>
  <c r="N6" i="1"/>
  <c r="O6" i="1"/>
  <c r="P6" i="1" s="1"/>
  <c r="N7" i="1"/>
  <c r="O7" i="1"/>
  <c r="P7" i="1" s="1"/>
  <c r="N8" i="1"/>
  <c r="O8" i="1"/>
  <c r="N9" i="1"/>
  <c r="O9" i="1"/>
  <c r="P9" i="1" s="1"/>
  <c r="N10" i="1"/>
  <c r="O10" i="1"/>
  <c r="P10" i="1" s="1"/>
  <c r="N11" i="1"/>
  <c r="O11" i="1"/>
  <c r="P11" i="1" s="1"/>
  <c r="O2" i="1"/>
  <c r="N2" i="1"/>
  <c r="P4" i="1" l="1"/>
  <c r="P8" i="1"/>
  <c r="P2" i="1"/>
</calcChain>
</file>

<file path=xl/sharedStrings.xml><?xml version="1.0" encoding="utf-8"?>
<sst xmlns="http://schemas.openxmlformats.org/spreadsheetml/2006/main" count="27" uniqueCount="27">
  <si>
    <t>Author</t>
  </si>
  <si>
    <t>Year</t>
  </si>
  <si>
    <t>n_treatment</t>
  </si>
  <si>
    <t>n_control</t>
  </si>
  <si>
    <t>weight</t>
  </si>
  <si>
    <t>ES_neg</t>
  </si>
  <si>
    <t>CI_lower_neg</t>
  </si>
  <si>
    <t>CI_upper_neg</t>
  </si>
  <si>
    <t>ES</t>
  </si>
  <si>
    <t>CI_lower</t>
  </si>
  <si>
    <t>CI_upper</t>
  </si>
  <si>
    <t>SE</t>
  </si>
  <si>
    <t>pooled_sd</t>
  </si>
  <si>
    <t>Brahe</t>
  </si>
  <si>
    <t>Genta</t>
  </si>
  <si>
    <t>Kobayakawa</t>
  </si>
  <si>
    <t>Li</t>
  </si>
  <si>
    <t>Morel</t>
  </si>
  <si>
    <t>Parnell</t>
  </si>
  <si>
    <t>Reimer</t>
  </si>
  <si>
    <t>Salinardi</t>
  </si>
  <si>
    <t>Savastano</t>
  </si>
  <si>
    <t>Walsh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</si>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</sst>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20688-BACA-49BA-92FD-E87BA8BB5977}">
  <dimension ref="A1:Q11"/>
  <sheetViews>
    <sheetView tabSelected="1" topLeftCell="D1" workbookViewId="0">
      <selection activeCell="E5" sqref="E5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23</v>
      </c>
      <c r="O1" t="s">
        <v>24</v>
      </c>
      <c r="P1" t="s">
        <v>25</v>
      </c>
      <c r="Q1" t="s">
        <v>26</v>
      </c>
    </row>
    <row r="2" spans="1:17" x14ac:dyDescent="0.25">
      <c r="A2" t="s">
        <v>13</v>
      </c>
      <c r="B2">
        <v>2015</v>
      </c>
      <c r="C2">
        <v>19</v>
      </c>
      <c r="D2">
        <v>16</v>
      </c>
      <c r="E2">
        <v>9.6</v>
      </c>
      <c r="F2">
        <v>-0.12</v>
      </c>
      <c r="G2">
        <v>-2.3199999999999998</v>
      </c>
      <c r="H2">
        <v>2.08</v>
      </c>
      <c r="I2">
        <v>0.12</v>
      </c>
      <c r="J2">
        <v>-2.08</v>
      </c>
      <c r="K2">
        <v>2.3199999999999998</v>
      </c>
      <c r="L2">
        <v>1.1224489799999999</v>
      </c>
      <c r="M2">
        <f>L2/SQRT(1/C2+1/D2)</f>
        <v>3.3080295415062175</v>
      </c>
      <c r="N2">
        <f>I2/M2</f>
        <v>3.6275371333401515E-2</v>
      </c>
      <c r="O2">
        <f t="shared" ref="O2:O11" si="0">1-3/(4*(D2+C2-1)-1)</f>
        <v>0.97777777777777775</v>
      </c>
      <c r="P2">
        <f t="shared" ref="P2:P11" si="1">O2*N2</f>
        <v>3.5469251970437037E-2</v>
      </c>
      <c r="Q2">
        <f>O2*L2/M2</f>
        <v>0.33177021412983365</v>
      </c>
    </row>
    <row r="3" spans="1:17" x14ac:dyDescent="0.25">
      <c r="A3" t="s">
        <v>14</v>
      </c>
      <c r="B3">
        <v>2009</v>
      </c>
      <c r="C3">
        <v>20</v>
      </c>
      <c r="D3">
        <v>15</v>
      </c>
      <c r="E3">
        <v>9.6</v>
      </c>
      <c r="F3">
        <v>-16.600000000000001</v>
      </c>
      <c r="G3">
        <v>-18.8</v>
      </c>
      <c r="H3">
        <v>-14.4</v>
      </c>
      <c r="I3">
        <v>16.600000000000001</v>
      </c>
      <c r="J3">
        <v>14.4</v>
      </c>
      <c r="K3">
        <v>18.8</v>
      </c>
      <c r="L3">
        <v>1.1224489799999999</v>
      </c>
      <c r="M3">
        <f t="shared" ref="M3:M11" si="2">L3/SQRT(1/C3+1/D3)</f>
        <v>3.28619412438902</v>
      </c>
      <c r="N3">
        <f t="shared" ref="N3:N11" si="3">I3/M3</f>
        <v>5.0514362121216223</v>
      </c>
      <c r="O3">
        <f t="shared" si="0"/>
        <v>0.97777777777777775</v>
      </c>
      <c r="P3">
        <f t="shared" si="1"/>
        <v>4.9391820740744752</v>
      </c>
      <c r="Q3">
        <f>O3*L3/M3</f>
        <v>0.33397469163127574</v>
      </c>
    </row>
    <row r="4" spans="1:17" x14ac:dyDescent="0.25">
      <c r="A4" t="s">
        <v>15</v>
      </c>
      <c r="B4">
        <v>2013</v>
      </c>
      <c r="C4">
        <v>15</v>
      </c>
      <c r="D4">
        <v>15</v>
      </c>
      <c r="E4">
        <v>9.4</v>
      </c>
      <c r="F4">
        <v>-1.4</v>
      </c>
      <c r="G4">
        <v>-3.76</v>
      </c>
      <c r="H4">
        <v>0.96</v>
      </c>
      <c r="I4">
        <v>1.4</v>
      </c>
      <c r="J4">
        <v>-0.96</v>
      </c>
      <c r="K4">
        <v>3.76</v>
      </c>
      <c r="L4">
        <v>1.2040816329999999</v>
      </c>
      <c r="M4">
        <f t="shared" si="2"/>
        <v>3.2975133573587843</v>
      </c>
      <c r="N4">
        <f t="shared" si="3"/>
        <v>0.42456234388732261</v>
      </c>
      <c r="O4">
        <f t="shared" si="0"/>
        <v>0.97391304347826091</v>
      </c>
      <c r="P4">
        <f t="shared" si="1"/>
        <v>0.41348680448156638</v>
      </c>
      <c r="Q4">
        <f>O4*L4/M4</f>
        <v>0.35562276197436871</v>
      </c>
    </row>
    <row r="5" spans="1:17" x14ac:dyDescent="0.25">
      <c r="A5" t="s">
        <v>16</v>
      </c>
      <c r="B5">
        <v>2010</v>
      </c>
      <c r="C5">
        <v>60</v>
      </c>
      <c r="D5">
        <v>60</v>
      </c>
      <c r="E5">
        <v>11.2</v>
      </c>
      <c r="F5">
        <v>-1.73</v>
      </c>
      <c r="G5">
        <v>-2.25</v>
      </c>
      <c r="H5">
        <v>-1.21</v>
      </c>
      <c r="I5">
        <v>1.73</v>
      </c>
      <c r="J5">
        <v>1.21</v>
      </c>
      <c r="K5">
        <v>2.25</v>
      </c>
      <c r="L5">
        <v>0.26530612199999998</v>
      </c>
      <c r="M5">
        <f t="shared" si="2"/>
        <v>1.4531414766361761</v>
      </c>
      <c r="N5">
        <f t="shared" si="3"/>
        <v>1.1905241353407059</v>
      </c>
      <c r="O5">
        <f t="shared" si="0"/>
        <v>0.99368421052631584</v>
      </c>
      <c r="P5">
        <f t="shared" si="1"/>
        <v>1.1830050355385542</v>
      </c>
      <c r="Q5">
        <f>O5*L5/M5</f>
        <v>0.18142108571399185</v>
      </c>
    </row>
    <row r="6" spans="1:17" x14ac:dyDescent="0.25">
      <c r="A6" t="s">
        <v>17</v>
      </c>
      <c r="B6">
        <v>2015</v>
      </c>
      <c r="C6">
        <v>22</v>
      </c>
      <c r="D6">
        <v>22</v>
      </c>
      <c r="E6">
        <v>9.9</v>
      </c>
      <c r="F6">
        <v>-0.25</v>
      </c>
      <c r="G6">
        <v>-2.19</v>
      </c>
      <c r="H6">
        <v>1.69</v>
      </c>
      <c r="I6">
        <v>0.25</v>
      </c>
      <c r="J6">
        <v>-1.69</v>
      </c>
      <c r="K6">
        <v>2.19</v>
      </c>
      <c r="L6">
        <v>0.989795918</v>
      </c>
      <c r="M6">
        <f t="shared" si="2"/>
        <v>3.2827816790313804</v>
      </c>
      <c r="N6">
        <f t="shared" si="3"/>
        <v>7.6154927266977174E-2</v>
      </c>
      <c r="O6">
        <f t="shared" si="0"/>
        <v>0.98245614035087714</v>
      </c>
      <c r="P6">
        <f t="shared" si="1"/>
        <v>7.4818875911416172E-2</v>
      </c>
      <c r="Q6">
        <f>O6*L6/M6</f>
        <v>0.296221671865873</v>
      </c>
    </row>
    <row r="7" spans="1:17" x14ac:dyDescent="0.25">
      <c r="A7" t="s">
        <v>18</v>
      </c>
      <c r="B7">
        <v>2009</v>
      </c>
      <c r="C7">
        <v>21</v>
      </c>
      <c r="D7">
        <v>17</v>
      </c>
      <c r="E7">
        <v>7.9</v>
      </c>
      <c r="F7">
        <v>-1.48</v>
      </c>
      <c r="G7">
        <v>-4.8499999999999996</v>
      </c>
      <c r="H7">
        <v>1.89</v>
      </c>
      <c r="I7">
        <v>1.48</v>
      </c>
      <c r="J7">
        <v>-1.89</v>
      </c>
      <c r="K7">
        <v>4.8499999999999996</v>
      </c>
      <c r="L7">
        <v>1.7193877550000001</v>
      </c>
      <c r="M7">
        <f t="shared" si="2"/>
        <v>5.270067032380255</v>
      </c>
      <c r="N7">
        <f t="shared" si="3"/>
        <v>0.28083134254395808</v>
      </c>
      <c r="O7">
        <f t="shared" si="0"/>
        <v>0.97959183673469385</v>
      </c>
      <c r="P7">
        <f t="shared" si="1"/>
        <v>0.27510009065530588</v>
      </c>
      <c r="Q7">
        <f>O7*L7/M7</f>
        <v>0.31959711302170463</v>
      </c>
    </row>
    <row r="8" spans="1:17" x14ac:dyDescent="0.25">
      <c r="A8" t="s">
        <v>19</v>
      </c>
      <c r="B8">
        <v>2013</v>
      </c>
      <c r="C8">
        <v>28</v>
      </c>
      <c r="D8">
        <v>28</v>
      </c>
      <c r="E8">
        <v>10.3</v>
      </c>
      <c r="F8">
        <v>-0.2</v>
      </c>
      <c r="G8">
        <v>-1.84</v>
      </c>
      <c r="H8">
        <v>1.44</v>
      </c>
      <c r="I8">
        <v>0.2</v>
      </c>
      <c r="J8">
        <v>-1.44</v>
      </c>
      <c r="K8">
        <v>1.84</v>
      </c>
      <c r="L8">
        <v>0.836734694</v>
      </c>
      <c r="M8">
        <f t="shared" si="2"/>
        <v>3.1307745485751335</v>
      </c>
      <c r="N8">
        <f t="shared" si="3"/>
        <v>6.3881955374596761E-2</v>
      </c>
      <c r="O8">
        <f t="shared" si="0"/>
        <v>0.98630136986301364</v>
      </c>
      <c r="P8">
        <f t="shared" si="1"/>
        <v>6.3006860095492695E-2</v>
      </c>
      <c r="Q8">
        <f>O8*L8/M8</f>
        <v>0.26360012900951446</v>
      </c>
    </row>
    <row r="9" spans="1:17" x14ac:dyDescent="0.25">
      <c r="A9" t="s">
        <v>20</v>
      </c>
      <c r="B9">
        <v>2010</v>
      </c>
      <c r="C9">
        <v>29</v>
      </c>
      <c r="D9">
        <v>25</v>
      </c>
      <c r="E9">
        <v>11.3</v>
      </c>
      <c r="F9">
        <v>-0.4</v>
      </c>
      <c r="G9">
        <v>-0.76</v>
      </c>
      <c r="H9">
        <v>-0.04</v>
      </c>
      <c r="I9">
        <v>0.4</v>
      </c>
      <c r="J9">
        <v>0.04</v>
      </c>
      <c r="K9">
        <v>0.76</v>
      </c>
      <c r="L9">
        <v>0.18367346900000001</v>
      </c>
      <c r="M9">
        <f t="shared" si="2"/>
        <v>0.67300540461354341</v>
      </c>
      <c r="N9">
        <f t="shared" si="3"/>
        <v>0.59434886742059678</v>
      </c>
      <c r="O9">
        <f t="shared" si="0"/>
        <v>0.98578199052132698</v>
      </c>
      <c r="P9">
        <f t="shared" si="1"/>
        <v>0.58589840958997219</v>
      </c>
      <c r="Q9">
        <f>O9*L9/M9</f>
        <v>0.26903498342743265</v>
      </c>
    </row>
    <row r="10" spans="1:17" x14ac:dyDescent="0.25">
      <c r="A10" t="s">
        <v>21</v>
      </c>
      <c r="B10">
        <v>2014</v>
      </c>
      <c r="C10">
        <v>59</v>
      </c>
      <c r="D10">
        <v>29</v>
      </c>
      <c r="E10">
        <v>9.9</v>
      </c>
      <c r="F10">
        <v>-0.39</v>
      </c>
      <c r="G10">
        <v>-2.35</v>
      </c>
      <c r="H10">
        <v>1.57</v>
      </c>
      <c r="I10">
        <v>0.39</v>
      </c>
      <c r="J10">
        <v>-1.57</v>
      </c>
      <c r="K10">
        <v>2.35</v>
      </c>
      <c r="L10">
        <v>1</v>
      </c>
      <c r="M10">
        <f t="shared" si="2"/>
        <v>4.4094423477557596</v>
      </c>
      <c r="N10">
        <f t="shared" si="3"/>
        <v>8.8446558372283823E-2</v>
      </c>
      <c r="O10">
        <f t="shared" si="0"/>
        <v>0.99135446685878958</v>
      </c>
      <c r="P10">
        <f t="shared" si="1"/>
        <v>8.7681890720650246E-2</v>
      </c>
      <c r="Q10">
        <f>O10*L10/M10</f>
        <v>0.2248253608221801</v>
      </c>
    </row>
    <row r="11" spans="1:17" x14ac:dyDescent="0.25">
      <c r="A11" t="s">
        <v>22</v>
      </c>
      <c r="B11">
        <v>1984</v>
      </c>
      <c r="C11">
        <v>10</v>
      </c>
      <c r="D11">
        <v>10</v>
      </c>
      <c r="E11">
        <v>10.8</v>
      </c>
      <c r="F11">
        <v>-3.18</v>
      </c>
      <c r="G11">
        <v>-4.3899999999999997</v>
      </c>
      <c r="H11">
        <v>-1.97</v>
      </c>
      <c r="I11">
        <v>3.18</v>
      </c>
      <c r="J11">
        <v>1.97</v>
      </c>
      <c r="K11">
        <v>4.3899999999999997</v>
      </c>
      <c r="L11">
        <v>0.61734693900000004</v>
      </c>
      <c r="M11">
        <f t="shared" si="2"/>
        <v>1.3804297213054162</v>
      </c>
      <c r="N11">
        <f t="shared" si="3"/>
        <v>2.3036304934037521</v>
      </c>
      <c r="O11">
        <f t="shared" si="0"/>
        <v>0.96</v>
      </c>
      <c r="P11">
        <f t="shared" si="1"/>
        <v>2.2114852736676021</v>
      </c>
      <c r="Q11">
        <f>O11*L11/M11</f>
        <v>0.42932505167995955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thompson_fiber_wkg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2025-10-18T23:23:37Z</dcterms:created>
  <dcterms:modified xsi:type="dcterms:W3CDTF">2025-12-30T01:14:48Z</dcterms:modified>
</cp:coreProperties>
</file>