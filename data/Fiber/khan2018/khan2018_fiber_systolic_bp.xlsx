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khan2018\"/>
    </mc:Choice>
  </mc:AlternateContent>
  <xr:revisionPtr revIDLastSave="0" documentId="13_ncr:1_{6E16FCF3-9F7E-44ED-96C3-EAE01C6597E4}" xr6:coauthVersionLast="47" xr6:coauthVersionMax="47" xr10:uidLastSave="{00000000-0000-0000-0000-000000000000}"/>
  <bookViews>
    <workbookView xWindow="38280" yWindow="2820" windowWidth="29040" windowHeight="16440" xr2:uid="{79D21A77-1BF7-4AD7-8B09-216149B7FA3A}"/>
  </bookViews>
  <sheets>
    <sheet name="khan_fiber_sb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" i="1"/>
  <c r="Q3" i="1"/>
  <c r="Q4" i="1"/>
  <c r="Q5" i="1"/>
  <c r="Q2" i="1"/>
  <c r="O20" i="1"/>
  <c r="O21" i="1"/>
  <c r="O22" i="1"/>
  <c r="O23" i="1"/>
  <c r="O24" i="1"/>
  <c r="O25" i="1"/>
  <c r="O12" i="1"/>
  <c r="O13" i="1"/>
  <c r="O14" i="1"/>
  <c r="O15" i="1"/>
  <c r="O16" i="1"/>
  <c r="O17" i="1"/>
  <c r="O18" i="1"/>
  <c r="P18" i="1" s="1"/>
  <c r="O19" i="1"/>
  <c r="O7" i="1"/>
  <c r="O8" i="1"/>
  <c r="O9" i="1"/>
  <c r="P9" i="1" s="1"/>
  <c r="R9" i="1" s="1"/>
  <c r="O10" i="1"/>
  <c r="P10" i="1" s="1"/>
  <c r="O11" i="1"/>
  <c r="O6" i="1"/>
  <c r="P6" i="1" s="1"/>
  <c r="O3" i="1"/>
  <c r="P3" i="1" s="1"/>
  <c r="O4" i="1"/>
  <c r="P4" i="1" s="1"/>
  <c r="O5" i="1"/>
  <c r="O2" i="1"/>
  <c r="P2" i="1" s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6" i="1"/>
  <c r="P7" i="1"/>
  <c r="R7" i="1" s="1"/>
  <c r="P8" i="1"/>
  <c r="R8" i="1" s="1"/>
  <c r="P11" i="1"/>
  <c r="P12" i="1"/>
  <c r="P13" i="1"/>
  <c r="P14" i="1"/>
  <c r="P15" i="1"/>
  <c r="P16" i="1"/>
  <c r="P17" i="1"/>
  <c r="P19" i="1"/>
  <c r="R19" i="1" s="1"/>
  <c r="P20" i="1"/>
  <c r="R20" i="1" s="1"/>
  <c r="P21" i="1"/>
  <c r="P22" i="1"/>
  <c r="R22" i="1"/>
  <c r="P23" i="1"/>
  <c r="P24" i="1"/>
  <c r="P25" i="1"/>
  <c r="P5" i="1"/>
  <c r="R14" i="1" l="1"/>
  <c r="R13" i="1"/>
  <c r="R10" i="1"/>
  <c r="R18" i="1"/>
  <c r="R25" i="1"/>
  <c r="R15" i="1"/>
  <c r="R5" i="1"/>
  <c r="R4" i="1"/>
  <c r="R17" i="1"/>
  <c r="R21" i="1"/>
  <c r="R2" i="1"/>
  <c r="R6" i="1"/>
  <c r="R16" i="1"/>
  <c r="R24" i="1"/>
  <c r="R12" i="1"/>
  <c r="R23" i="1"/>
  <c r="R11" i="1"/>
  <c r="R3" i="1"/>
</calcChain>
</file>

<file path=xl/sharedStrings.xml><?xml version="1.0" encoding="utf-8"?>
<sst xmlns="http://schemas.openxmlformats.org/spreadsheetml/2006/main" count="91" uniqueCount="47">
  <si>
    <t>Author</t>
  </si>
  <si>
    <t>Year</t>
  </si>
  <si>
    <t>subgroup</t>
  </si>
  <si>
    <t>ES_neg</t>
  </si>
  <si>
    <t>CI_lower_neg</t>
  </si>
  <si>
    <t>CI_upper_neg</t>
  </si>
  <si>
    <t>ES</t>
  </si>
  <si>
    <t>CI_lower</t>
  </si>
  <si>
    <t>CI_upper</t>
  </si>
  <si>
    <t>SE</t>
  </si>
  <si>
    <t>n_control</t>
  </si>
  <si>
    <t>n_treatment</t>
  </si>
  <si>
    <t>n_total</t>
  </si>
  <si>
    <t>design</t>
  </si>
  <si>
    <t>pooled_sd</t>
  </si>
  <si>
    <t>Arvil and Bondin</t>
  </si>
  <si>
    <t>Konjac Glucomannan</t>
  </si>
  <si>
    <t>C</t>
  </si>
  <si>
    <t>de Bock</t>
  </si>
  <si>
    <t>Psyllium</t>
  </si>
  <si>
    <t>Landin</t>
  </si>
  <si>
    <t>Guar Gum</t>
  </si>
  <si>
    <t>Onning</t>
  </si>
  <si>
    <t>B-glucan</t>
  </si>
  <si>
    <t>Bell</t>
  </si>
  <si>
    <t>P</t>
  </si>
  <si>
    <t>Pectin</t>
  </si>
  <si>
    <t>Burke</t>
  </si>
  <si>
    <t>Charleton</t>
  </si>
  <si>
    <t>Cicero</t>
  </si>
  <si>
    <t>Dall'Alba</t>
  </si>
  <si>
    <t>Davy</t>
  </si>
  <si>
    <t>He</t>
  </si>
  <si>
    <t>Makkonen</t>
  </si>
  <si>
    <t>Pins</t>
  </si>
  <si>
    <t>Queenan</t>
  </si>
  <si>
    <t>Saltzman</t>
  </si>
  <si>
    <t>Sanore</t>
  </si>
  <si>
    <t>Schwab</t>
  </si>
  <si>
    <t>Sola</t>
  </si>
  <si>
    <t>Uusitupa</t>
  </si>
  <si>
    <t>Wood</t>
  </si>
  <si>
    <t>Zhang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</si>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</sst>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9EA2-EF2F-43AF-A245-B2DE148116BD}">
  <dimension ref="A1:S25"/>
  <sheetViews>
    <sheetView tabSelected="1" topLeftCell="F1" workbookViewId="0">
      <selection activeCell="Q10" sqref="Q10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</row>
    <row r="2" spans="1:19" x14ac:dyDescent="0.25">
      <c r="A2" t="s">
        <v>15</v>
      </c>
      <c r="B2">
        <v>1995</v>
      </c>
      <c r="C2" t="s">
        <v>16</v>
      </c>
      <c r="D2">
        <v>-3.43</v>
      </c>
      <c r="E2">
        <v>-6.15</v>
      </c>
      <c r="F2">
        <v>-0.71</v>
      </c>
      <c r="G2">
        <v>3.43</v>
      </c>
      <c r="H2">
        <v>0.71</v>
      </c>
      <c r="I2">
        <v>6.15</v>
      </c>
      <c r="J2">
        <v>1.3879999999999999</v>
      </c>
      <c r="M2">
        <v>63</v>
      </c>
      <c r="N2" t="s">
        <v>17</v>
      </c>
      <c r="O2">
        <f>J2*SQRT(M2)</f>
        <v>11.016908459272955</v>
      </c>
      <c r="P2">
        <f>G2/O2</f>
        <v>0.31133961153257672</v>
      </c>
      <c r="Q2">
        <f>1-3/(4*(M2-1)-1)</f>
        <v>0.98785425101214575</v>
      </c>
      <c r="R2">
        <f t="shared" ref="R2:R25" si="0">Q2*P2</f>
        <v>0.30755815876092601</v>
      </c>
      <c r="S2">
        <f>Q2*J2/O2</f>
        <v>0.12445793713124352</v>
      </c>
    </row>
    <row r="3" spans="1:19" x14ac:dyDescent="0.25">
      <c r="A3" t="s">
        <v>18</v>
      </c>
      <c r="B3">
        <v>2012</v>
      </c>
      <c r="C3" t="s">
        <v>19</v>
      </c>
      <c r="D3">
        <v>-1.3</v>
      </c>
      <c r="E3">
        <v>-4.57</v>
      </c>
      <c r="F3">
        <v>1.97</v>
      </c>
      <c r="G3">
        <v>1.3</v>
      </c>
      <c r="H3">
        <v>-1.97</v>
      </c>
      <c r="I3">
        <v>4.57</v>
      </c>
      <c r="J3">
        <v>1.6679999999999999</v>
      </c>
      <c r="M3">
        <v>45</v>
      </c>
      <c r="N3" t="s">
        <v>17</v>
      </c>
      <c r="O3">
        <f t="shared" ref="O3:O5" si="1">J3*SQRT(M3)</f>
        <v>11.189284159408947</v>
      </c>
      <c r="P3">
        <f t="shared" ref="P3:P6" si="2">G3/O3</f>
        <v>0.11618258875898189</v>
      </c>
      <c r="Q3">
        <f t="shared" ref="Q3:Q5" si="3">1-3/(4*(M3-1)-1)</f>
        <v>0.98285714285714287</v>
      </c>
      <c r="R3">
        <f t="shared" si="0"/>
        <v>0.11419088723739935</v>
      </c>
      <c r="S3">
        <f>Q3*J3/O3</f>
        <v>0.1465156922399862</v>
      </c>
    </row>
    <row r="4" spans="1:19" x14ac:dyDescent="0.25">
      <c r="A4" t="s">
        <v>20</v>
      </c>
      <c r="B4">
        <v>1993</v>
      </c>
      <c r="C4" t="s">
        <v>21</v>
      </c>
      <c r="D4">
        <v>-6</v>
      </c>
      <c r="E4">
        <v>-23.64</v>
      </c>
      <c r="F4">
        <v>11.64</v>
      </c>
      <c r="G4">
        <v>6</v>
      </c>
      <c r="H4">
        <v>-11.64</v>
      </c>
      <c r="I4">
        <v>23.64</v>
      </c>
      <c r="J4">
        <v>9</v>
      </c>
      <c r="M4">
        <v>25</v>
      </c>
      <c r="N4" t="s">
        <v>17</v>
      </c>
      <c r="O4">
        <f t="shared" si="1"/>
        <v>45</v>
      </c>
      <c r="P4">
        <f t="shared" si="2"/>
        <v>0.13333333333333333</v>
      </c>
      <c r="Q4">
        <f t="shared" si="3"/>
        <v>0.96842105263157896</v>
      </c>
      <c r="R4">
        <f t="shared" si="0"/>
        <v>0.12912280701754386</v>
      </c>
      <c r="S4">
        <f>Q4*J4/O4</f>
        <v>0.19368421052631579</v>
      </c>
    </row>
    <row r="5" spans="1:19" x14ac:dyDescent="0.25">
      <c r="A5" t="s">
        <v>22</v>
      </c>
      <c r="B5">
        <v>1999</v>
      </c>
      <c r="C5" t="s">
        <v>23</v>
      </c>
      <c r="D5">
        <v>-1.6</v>
      </c>
      <c r="E5">
        <v>-5.5</v>
      </c>
      <c r="F5">
        <v>2.2999999999999998</v>
      </c>
      <c r="G5">
        <v>1.6</v>
      </c>
      <c r="H5">
        <v>-2.2999999999999998</v>
      </c>
      <c r="I5">
        <v>5.5</v>
      </c>
      <c r="J5">
        <v>1.99</v>
      </c>
      <c r="M5">
        <v>52</v>
      </c>
      <c r="N5" t="s">
        <v>17</v>
      </c>
      <c r="O5">
        <f t="shared" si="1"/>
        <v>14.350094076346677</v>
      </c>
      <c r="P5">
        <f t="shared" si="2"/>
        <v>0.11149752687944305</v>
      </c>
      <c r="Q5">
        <f t="shared" si="3"/>
        <v>0.98522167487684731</v>
      </c>
      <c r="R5">
        <f t="shared" si="0"/>
        <v>0.10984978017679119</v>
      </c>
      <c r="S5">
        <f>Q5*J5/O5</f>
        <v>0.13662566409488403</v>
      </c>
    </row>
    <row r="6" spans="1:19" x14ac:dyDescent="0.25">
      <c r="A6" t="s">
        <v>24</v>
      </c>
      <c r="B6">
        <v>1990</v>
      </c>
      <c r="C6" t="s">
        <v>19</v>
      </c>
      <c r="D6">
        <v>2.2000000000000002</v>
      </c>
      <c r="E6">
        <v>-3.09</v>
      </c>
      <c r="F6">
        <v>7.49</v>
      </c>
      <c r="G6">
        <v>-2.2000000000000002</v>
      </c>
      <c r="H6">
        <v>-7.49</v>
      </c>
      <c r="I6">
        <v>3.09</v>
      </c>
      <c r="J6">
        <v>2.6989999999999998</v>
      </c>
      <c r="K6">
        <v>19</v>
      </c>
      <c r="L6">
        <v>19</v>
      </c>
      <c r="N6" t="s">
        <v>25</v>
      </c>
      <c r="O6">
        <f>J6/SQRT(1/K6+1/L6)</f>
        <v>8.3188766970066332</v>
      </c>
      <c r="P6">
        <f t="shared" si="2"/>
        <v>-0.26445878213240281</v>
      </c>
      <c r="Q6">
        <f t="shared" ref="Q6:Q25" si="4">1-3/(4*(K6+L6-2)-1)</f>
        <v>0.97902097902097907</v>
      </c>
      <c r="R6">
        <f t="shared" si="0"/>
        <v>-0.25891069579396081</v>
      </c>
      <c r="S6">
        <f>Q6*J6/O6</f>
        <v>0.31763634906722737</v>
      </c>
    </row>
    <row r="7" spans="1:19" x14ac:dyDescent="0.25">
      <c r="A7" t="s">
        <v>24</v>
      </c>
      <c r="B7">
        <v>1990</v>
      </c>
      <c r="C7" t="s">
        <v>26</v>
      </c>
      <c r="D7">
        <v>0.6</v>
      </c>
      <c r="E7">
        <v>-5.93</v>
      </c>
      <c r="F7">
        <v>7.13</v>
      </c>
      <c r="G7">
        <v>-0.6</v>
      </c>
      <c r="H7">
        <v>-7.13</v>
      </c>
      <c r="I7">
        <v>5.93</v>
      </c>
      <c r="J7">
        <v>3.3319999999999999</v>
      </c>
      <c r="K7">
        <v>19</v>
      </c>
      <c r="L7">
        <v>20</v>
      </c>
      <c r="N7" t="s">
        <v>25</v>
      </c>
      <c r="O7">
        <f t="shared" ref="O7:O25" si="5">J7/SQRT(1/K7+1/L7)</f>
        <v>10.400745929856949</v>
      </c>
      <c r="P7">
        <f t="shared" ref="P7:P25" si="6">G7/O7</f>
        <v>-5.7688170064572698E-2</v>
      </c>
      <c r="Q7">
        <f t="shared" si="4"/>
        <v>0.97959183673469385</v>
      </c>
      <c r="R7">
        <f t="shared" si="0"/>
        <v>-5.6510860471418151E-2</v>
      </c>
      <c r="S7">
        <f>Q7*J7/O7</f>
        <v>0.31382364515127548</v>
      </c>
    </row>
    <row r="8" spans="1:19" x14ac:dyDescent="0.25">
      <c r="A8" t="s">
        <v>27</v>
      </c>
      <c r="B8">
        <v>2001</v>
      </c>
      <c r="C8" t="s">
        <v>19</v>
      </c>
      <c r="D8">
        <v>-6.5</v>
      </c>
      <c r="E8">
        <v>-9.01</v>
      </c>
      <c r="F8">
        <v>-3.99</v>
      </c>
      <c r="G8">
        <v>6.5</v>
      </c>
      <c r="H8">
        <v>3.99</v>
      </c>
      <c r="I8">
        <v>9.01</v>
      </c>
      <c r="J8">
        <v>1.2809999999999999</v>
      </c>
      <c r="K8">
        <v>9</v>
      </c>
      <c r="L8">
        <v>9</v>
      </c>
      <c r="N8" t="s">
        <v>25</v>
      </c>
      <c r="O8">
        <f t="shared" si="5"/>
        <v>2.7174113600999021</v>
      </c>
      <c r="P8">
        <f t="shared" si="6"/>
        <v>2.3919823459341965</v>
      </c>
      <c r="Q8">
        <f t="shared" si="4"/>
        <v>0.95238095238095233</v>
      </c>
      <c r="R8">
        <f t="shared" si="0"/>
        <v>2.2780784246992347</v>
      </c>
      <c r="S8">
        <f>Q8*J8/O8</f>
        <v>0.44895668646764914</v>
      </c>
    </row>
    <row r="9" spans="1:19" x14ac:dyDescent="0.25">
      <c r="A9" t="s">
        <v>28</v>
      </c>
      <c r="B9">
        <v>2012</v>
      </c>
      <c r="C9" t="s">
        <v>23</v>
      </c>
      <c r="D9">
        <v>2.25</v>
      </c>
      <c r="E9">
        <v>-2.34</v>
      </c>
      <c r="F9">
        <v>6.84</v>
      </c>
      <c r="G9">
        <v>-2.25</v>
      </c>
      <c r="H9">
        <v>-6.84</v>
      </c>
      <c r="I9">
        <v>2.34</v>
      </c>
      <c r="J9">
        <v>2.3420000000000001</v>
      </c>
      <c r="K9">
        <v>31</v>
      </c>
      <c r="L9">
        <v>56</v>
      </c>
      <c r="N9" t="s">
        <v>25</v>
      </c>
      <c r="O9">
        <f t="shared" si="5"/>
        <v>10.461696695427872</v>
      </c>
      <c r="P9">
        <f t="shared" si="6"/>
        <v>-0.21507027640968879</v>
      </c>
      <c r="Q9">
        <f t="shared" si="4"/>
        <v>0.99115044247787609</v>
      </c>
      <c r="R9">
        <f t="shared" si="0"/>
        <v>-0.21316699962730215</v>
      </c>
      <c r="S9">
        <f>Q9*J9/O9</f>
        <v>0.22188316138984074</v>
      </c>
    </row>
    <row r="10" spans="1:19" x14ac:dyDescent="0.25">
      <c r="A10" t="s">
        <v>29</v>
      </c>
      <c r="B10">
        <v>2007</v>
      </c>
      <c r="C10" t="s">
        <v>21</v>
      </c>
      <c r="D10">
        <v>-1.5</v>
      </c>
      <c r="E10">
        <v>-2.75</v>
      </c>
      <c r="F10">
        <v>-0.25</v>
      </c>
      <c r="G10">
        <v>1.5</v>
      </c>
      <c r="H10">
        <v>0.25</v>
      </c>
      <c r="I10">
        <v>2.75</v>
      </c>
      <c r="J10">
        <v>0.63800000000000001</v>
      </c>
      <c r="K10">
        <v>45</v>
      </c>
      <c r="L10">
        <v>48</v>
      </c>
      <c r="N10" t="s">
        <v>25</v>
      </c>
      <c r="O10">
        <f t="shared" si="5"/>
        <v>3.0747235910387656</v>
      </c>
      <c r="P10">
        <f t="shared" si="6"/>
        <v>0.48784873032871212</v>
      </c>
      <c r="Q10">
        <f t="shared" si="4"/>
        <v>0.99173553719008267</v>
      </c>
      <c r="R10">
        <f t="shared" si="0"/>
        <v>0.48381692264004511</v>
      </c>
      <c r="S10">
        <f>Q10*J10/O10</f>
        <v>0.20578346442956585</v>
      </c>
    </row>
    <row r="11" spans="1:19" x14ac:dyDescent="0.25">
      <c r="A11" t="s">
        <v>29</v>
      </c>
      <c r="B11">
        <v>2007</v>
      </c>
      <c r="C11" t="s">
        <v>19</v>
      </c>
      <c r="D11">
        <v>-3.5</v>
      </c>
      <c r="E11">
        <v>-6.09</v>
      </c>
      <c r="F11">
        <v>-0.91</v>
      </c>
      <c r="G11">
        <v>3.5</v>
      </c>
      <c r="H11">
        <v>0.91</v>
      </c>
      <c r="I11">
        <v>6.09</v>
      </c>
      <c r="J11">
        <v>1.321</v>
      </c>
      <c r="K11">
        <v>45</v>
      </c>
      <c r="L11">
        <v>48</v>
      </c>
      <c r="N11" t="s">
        <v>25</v>
      </c>
      <c r="O11">
        <f t="shared" si="5"/>
        <v>6.3663164008812059</v>
      </c>
      <c r="P11">
        <f t="shared" si="6"/>
        <v>0.54976846571991622</v>
      </c>
      <c r="Q11">
        <f t="shared" si="4"/>
        <v>0.99173553719008267</v>
      </c>
      <c r="R11">
        <f t="shared" si="0"/>
        <v>0.54522492468090866</v>
      </c>
      <c r="S11">
        <f>Q11*J11/O11</f>
        <v>0.20578346442956583</v>
      </c>
    </row>
    <row r="12" spans="1:19" x14ac:dyDescent="0.25">
      <c r="A12" t="s">
        <v>30</v>
      </c>
      <c r="B12">
        <v>2013</v>
      </c>
      <c r="C12" t="s">
        <v>21</v>
      </c>
      <c r="D12">
        <v>4.4000000000000004</v>
      </c>
      <c r="E12">
        <v>-0.64</v>
      </c>
      <c r="F12">
        <v>9.44</v>
      </c>
      <c r="G12">
        <v>-4.4000000000000004</v>
      </c>
      <c r="H12">
        <v>-9.44</v>
      </c>
      <c r="I12">
        <v>0.64</v>
      </c>
      <c r="J12">
        <v>2.5710000000000002</v>
      </c>
      <c r="K12">
        <v>21</v>
      </c>
      <c r="L12">
        <v>23</v>
      </c>
      <c r="N12" t="s">
        <v>25</v>
      </c>
      <c r="O12">
        <f t="shared" si="5"/>
        <v>8.5182288531979786</v>
      </c>
      <c r="P12">
        <f t="shared" si="6"/>
        <v>-0.5165393036309559</v>
      </c>
      <c r="Q12">
        <f t="shared" si="4"/>
        <v>0.98203592814371254</v>
      </c>
      <c r="R12">
        <f t="shared" si="0"/>
        <v>-0.50726015446393269</v>
      </c>
      <c r="S12">
        <f>Q12*J12/O12</f>
        <v>0.29640133116517531</v>
      </c>
    </row>
    <row r="13" spans="1:19" x14ac:dyDescent="0.25">
      <c r="A13" t="s">
        <v>31</v>
      </c>
      <c r="B13">
        <v>2002</v>
      </c>
      <c r="C13" t="s">
        <v>23</v>
      </c>
      <c r="D13">
        <v>-5.7</v>
      </c>
      <c r="E13">
        <v>-11.23</v>
      </c>
      <c r="F13">
        <v>-0.17</v>
      </c>
      <c r="G13">
        <v>5.7</v>
      </c>
      <c r="H13">
        <v>0.17</v>
      </c>
      <c r="I13">
        <v>11.23</v>
      </c>
      <c r="J13">
        <v>2.8210000000000002</v>
      </c>
      <c r="K13">
        <v>18</v>
      </c>
      <c r="L13">
        <v>18</v>
      </c>
      <c r="N13" t="s">
        <v>25</v>
      </c>
      <c r="O13">
        <f t="shared" si="5"/>
        <v>8.463000000000001</v>
      </c>
      <c r="P13">
        <f t="shared" si="6"/>
        <v>0.67352002835873803</v>
      </c>
      <c r="Q13">
        <f t="shared" si="4"/>
        <v>0.97777777777777775</v>
      </c>
      <c r="R13">
        <f t="shared" si="0"/>
        <v>0.65855291661743276</v>
      </c>
      <c r="S13">
        <f>Q13*J13/O13</f>
        <v>0.3259259259259259</v>
      </c>
    </row>
    <row r="14" spans="1:19" x14ac:dyDescent="0.25">
      <c r="A14" t="s">
        <v>32</v>
      </c>
      <c r="B14">
        <v>2004</v>
      </c>
      <c r="C14" t="s">
        <v>23</v>
      </c>
      <c r="D14">
        <v>-1.8</v>
      </c>
      <c r="E14">
        <v>-4.33</v>
      </c>
      <c r="F14">
        <v>0.73</v>
      </c>
      <c r="G14">
        <v>1.8</v>
      </c>
      <c r="H14">
        <v>-0.73</v>
      </c>
      <c r="I14">
        <v>4.33</v>
      </c>
      <c r="J14">
        <v>1.2909999999999999</v>
      </c>
      <c r="K14">
        <v>56</v>
      </c>
      <c r="L14">
        <v>54</v>
      </c>
      <c r="N14" t="s">
        <v>25</v>
      </c>
      <c r="O14">
        <f t="shared" si="5"/>
        <v>6.7689420040760764</v>
      </c>
      <c r="P14">
        <f t="shared" si="6"/>
        <v>0.26592043467296483</v>
      </c>
      <c r="Q14">
        <f t="shared" si="4"/>
        <v>0.99303944315545245</v>
      </c>
      <c r="R14">
        <f t="shared" si="0"/>
        <v>0.26406948037129685</v>
      </c>
      <c r="S14">
        <f>Q14*J14/O14</f>
        <v>0.18939649953296903</v>
      </c>
    </row>
    <row r="15" spans="1:19" x14ac:dyDescent="0.25">
      <c r="A15" t="s">
        <v>33</v>
      </c>
      <c r="B15">
        <v>1993</v>
      </c>
      <c r="C15" t="s">
        <v>21</v>
      </c>
      <c r="D15">
        <v>1.35</v>
      </c>
      <c r="E15">
        <v>-6.76</v>
      </c>
      <c r="F15">
        <v>9.4600000000000009</v>
      </c>
      <c r="G15">
        <v>-1.35</v>
      </c>
      <c r="H15">
        <v>-9.4600000000000009</v>
      </c>
      <c r="I15">
        <v>6.76</v>
      </c>
      <c r="J15">
        <v>4.1379999999999999</v>
      </c>
      <c r="K15">
        <v>15</v>
      </c>
      <c r="L15">
        <v>15</v>
      </c>
      <c r="N15" t="s">
        <v>25</v>
      </c>
      <c r="O15">
        <f t="shared" si="5"/>
        <v>11.332379714781887</v>
      </c>
      <c r="P15">
        <f t="shared" si="6"/>
        <v>-0.1191276707961937</v>
      </c>
      <c r="Q15">
        <f t="shared" si="4"/>
        <v>0.97297297297297303</v>
      </c>
      <c r="R15">
        <f t="shared" si="0"/>
        <v>-0.1159080040179182</v>
      </c>
      <c r="S15">
        <f>Q15*J15/O15</f>
        <v>0.35527949676010778</v>
      </c>
    </row>
    <row r="16" spans="1:19" x14ac:dyDescent="0.25">
      <c r="A16" t="s">
        <v>34</v>
      </c>
      <c r="B16">
        <v>2002</v>
      </c>
      <c r="C16" t="s">
        <v>23</v>
      </c>
      <c r="D16">
        <v>-6</v>
      </c>
      <c r="E16">
        <v>-11.8</v>
      </c>
      <c r="F16">
        <v>-0.2</v>
      </c>
      <c r="G16">
        <v>6</v>
      </c>
      <c r="H16">
        <v>0.2</v>
      </c>
      <c r="I16">
        <v>11.8</v>
      </c>
      <c r="J16">
        <v>2.9590000000000001</v>
      </c>
      <c r="K16">
        <v>25</v>
      </c>
      <c r="L16">
        <v>12</v>
      </c>
      <c r="N16" t="s">
        <v>25</v>
      </c>
      <c r="O16">
        <f t="shared" si="5"/>
        <v>8.4256755282949349</v>
      </c>
      <c r="P16">
        <f t="shared" si="6"/>
        <v>0.71210907420430802</v>
      </c>
      <c r="Q16">
        <f t="shared" si="4"/>
        <v>0.97841726618705038</v>
      </c>
      <c r="R16">
        <f t="shared" si="0"/>
        <v>0.6967398136099705</v>
      </c>
      <c r="S16">
        <f>Q16*J16/O16</f>
        <v>0.34360885141198377</v>
      </c>
    </row>
    <row r="17" spans="1:19" x14ac:dyDescent="0.25">
      <c r="A17" t="s">
        <v>35</v>
      </c>
      <c r="B17">
        <v>2007</v>
      </c>
      <c r="C17" t="s">
        <v>23</v>
      </c>
      <c r="D17">
        <v>0</v>
      </c>
      <c r="E17">
        <v>-0.1</v>
      </c>
      <c r="F17">
        <v>0.1</v>
      </c>
      <c r="G17">
        <v>0</v>
      </c>
      <c r="H17">
        <v>-0.1</v>
      </c>
      <c r="I17">
        <v>0.1</v>
      </c>
      <c r="J17">
        <v>5.0999999999999997E-2</v>
      </c>
      <c r="K17">
        <v>40</v>
      </c>
      <c r="L17">
        <v>35</v>
      </c>
      <c r="N17" t="s">
        <v>25</v>
      </c>
      <c r="O17">
        <f t="shared" si="5"/>
        <v>0.22034518374586723</v>
      </c>
      <c r="P17">
        <f t="shared" si="6"/>
        <v>0</v>
      </c>
      <c r="Q17">
        <f t="shared" si="4"/>
        <v>0.98969072164948457</v>
      </c>
      <c r="R17">
        <f t="shared" si="0"/>
        <v>0</v>
      </c>
      <c r="S17">
        <f>Q17*J17/O17</f>
        <v>0.22906889066537356</v>
      </c>
    </row>
    <row r="18" spans="1:19" x14ac:dyDescent="0.25">
      <c r="A18" t="s">
        <v>36</v>
      </c>
      <c r="B18">
        <v>2001</v>
      </c>
      <c r="C18" t="s">
        <v>23</v>
      </c>
      <c r="D18">
        <v>-5</v>
      </c>
      <c r="E18">
        <v>-9.25</v>
      </c>
      <c r="F18">
        <v>-0.75</v>
      </c>
      <c r="G18">
        <v>5</v>
      </c>
      <c r="H18">
        <v>0.75</v>
      </c>
      <c r="I18">
        <v>9.25</v>
      </c>
      <c r="J18">
        <v>2.1680000000000001</v>
      </c>
      <c r="K18">
        <v>21</v>
      </c>
      <c r="L18">
        <v>22</v>
      </c>
      <c r="N18" t="s">
        <v>25</v>
      </c>
      <c r="O18">
        <f t="shared" si="5"/>
        <v>7.1063409090951364</v>
      </c>
      <c r="P18">
        <f t="shared" si="6"/>
        <v>0.70359697964963785</v>
      </c>
      <c r="Q18">
        <f t="shared" si="4"/>
        <v>0.98159509202453987</v>
      </c>
      <c r="R18">
        <f t="shared" si="0"/>
        <v>0.69064734198737454</v>
      </c>
      <c r="S18">
        <f>Q18*J18/O18</f>
        <v>0.29946468748572569</v>
      </c>
    </row>
    <row r="19" spans="1:19" x14ac:dyDescent="0.25">
      <c r="A19" t="s">
        <v>37</v>
      </c>
      <c r="B19">
        <v>2009</v>
      </c>
      <c r="C19" t="s">
        <v>19</v>
      </c>
      <c r="D19">
        <v>-0.18</v>
      </c>
      <c r="E19">
        <v>-8.08</v>
      </c>
      <c r="F19">
        <v>7.72</v>
      </c>
      <c r="G19">
        <v>0.18</v>
      </c>
      <c r="H19">
        <v>-7.72</v>
      </c>
      <c r="I19">
        <v>8.08</v>
      </c>
      <c r="J19">
        <v>4.0309999999999997</v>
      </c>
      <c r="K19">
        <v>20</v>
      </c>
      <c r="L19">
        <v>20</v>
      </c>
      <c r="N19" t="s">
        <v>25</v>
      </c>
      <c r="O19">
        <f t="shared" si="5"/>
        <v>12.747141248138735</v>
      </c>
      <c r="P19">
        <f t="shared" si="6"/>
        <v>1.4120813168700281E-2</v>
      </c>
      <c r="Q19">
        <f t="shared" si="4"/>
        <v>0.98013245033112584</v>
      </c>
      <c r="R19">
        <f t="shared" si="0"/>
        <v>1.3840267211706236E-2</v>
      </c>
      <c r="S19">
        <f>Q19*J19/O19</f>
        <v>0.30994509516882129</v>
      </c>
    </row>
    <row r="20" spans="1:19" x14ac:dyDescent="0.25">
      <c r="A20" t="s">
        <v>38</v>
      </c>
      <c r="B20">
        <v>2006</v>
      </c>
      <c r="C20" t="s">
        <v>26</v>
      </c>
      <c r="D20">
        <v>-5</v>
      </c>
      <c r="E20">
        <v>-11.06</v>
      </c>
      <c r="F20">
        <v>1.06</v>
      </c>
      <c r="G20">
        <v>5</v>
      </c>
      <c r="H20">
        <v>-1.06</v>
      </c>
      <c r="I20">
        <v>11.06</v>
      </c>
      <c r="J20">
        <v>3.0920000000000001</v>
      </c>
      <c r="K20">
        <v>22</v>
      </c>
      <c r="L20">
        <v>22</v>
      </c>
      <c r="N20" t="s">
        <v>25</v>
      </c>
      <c r="O20">
        <f>J20/SQRT(1/K20+1/L20)</f>
        <v>10.255003851778897</v>
      </c>
      <c r="P20">
        <f t="shared" si="6"/>
        <v>0.48756685733791011</v>
      </c>
      <c r="Q20">
        <f t="shared" si="4"/>
        <v>0.98203592814371254</v>
      </c>
      <c r="R20">
        <f t="shared" si="0"/>
        <v>0.47880817127794761</v>
      </c>
      <c r="S20">
        <f>Q20*J20/O20</f>
        <v>0.29609497311828281</v>
      </c>
    </row>
    <row r="21" spans="1:19" x14ac:dyDescent="0.25">
      <c r="A21" t="s">
        <v>39</v>
      </c>
      <c r="B21">
        <v>2010</v>
      </c>
      <c r="C21" t="s">
        <v>19</v>
      </c>
      <c r="D21">
        <v>-4.01</v>
      </c>
      <c r="E21">
        <v>-6.74</v>
      </c>
      <c r="F21">
        <v>-1.29</v>
      </c>
      <c r="G21">
        <v>4.01</v>
      </c>
      <c r="H21">
        <v>1.29</v>
      </c>
      <c r="I21">
        <v>6.74</v>
      </c>
      <c r="J21">
        <v>1.39</v>
      </c>
      <c r="K21">
        <v>108</v>
      </c>
      <c r="L21">
        <v>101</v>
      </c>
      <c r="N21" t="s">
        <v>25</v>
      </c>
      <c r="O21">
        <f t="shared" si="5"/>
        <v>10.041861376473298</v>
      </c>
      <c r="P21">
        <f t="shared" si="6"/>
        <v>0.39932835653307058</v>
      </c>
      <c r="Q21">
        <f t="shared" si="4"/>
        <v>0.99637243047158408</v>
      </c>
      <c r="R21">
        <f t="shared" si="0"/>
        <v>0.39787976515507884</v>
      </c>
      <c r="S21">
        <f>Q21*J21/O21</f>
        <v>0.13791842233555099</v>
      </c>
    </row>
    <row r="22" spans="1:19" x14ac:dyDescent="0.25">
      <c r="A22" t="s">
        <v>39</v>
      </c>
      <c r="B22">
        <v>2012</v>
      </c>
      <c r="C22" t="s">
        <v>19</v>
      </c>
      <c r="D22">
        <v>0.56000000000000005</v>
      </c>
      <c r="E22">
        <v>-2.77</v>
      </c>
      <c r="F22">
        <v>3.89</v>
      </c>
      <c r="G22">
        <v>-0.56000000000000005</v>
      </c>
      <c r="H22">
        <v>-3.89</v>
      </c>
      <c r="I22">
        <v>2.77</v>
      </c>
      <c r="J22">
        <v>1.6990000000000001</v>
      </c>
      <c r="K22">
        <v>30</v>
      </c>
      <c r="L22">
        <v>27</v>
      </c>
      <c r="N22" t="s">
        <v>25</v>
      </c>
      <c r="O22">
        <f t="shared" si="5"/>
        <v>6.4046951116883166</v>
      </c>
      <c r="P22">
        <f t="shared" si="6"/>
        <v>-8.7435856076587021E-2</v>
      </c>
      <c r="Q22">
        <f t="shared" si="4"/>
        <v>0.98630136986301364</v>
      </c>
      <c r="R22">
        <f t="shared" si="0"/>
        <v>-8.6238104623483081E-2</v>
      </c>
      <c r="S22">
        <f>Q22*J22/O22</f>
        <v>0.26164024956303167</v>
      </c>
    </row>
    <row r="23" spans="1:19" x14ac:dyDescent="0.25">
      <c r="A23" t="s">
        <v>40</v>
      </c>
      <c r="B23">
        <v>1989</v>
      </c>
      <c r="C23" t="s">
        <v>21</v>
      </c>
      <c r="D23">
        <v>-3.2</v>
      </c>
      <c r="E23">
        <v>-11.94</v>
      </c>
      <c r="F23">
        <v>5.54</v>
      </c>
      <c r="G23">
        <v>3.2</v>
      </c>
      <c r="H23">
        <v>-5.54</v>
      </c>
      <c r="I23">
        <v>11.94</v>
      </c>
      <c r="J23">
        <v>4.4589999999999996</v>
      </c>
      <c r="K23">
        <v>19</v>
      </c>
      <c r="L23">
        <v>20</v>
      </c>
      <c r="N23" t="s">
        <v>25</v>
      </c>
      <c r="O23">
        <f t="shared" si="5"/>
        <v>13.918645288485035</v>
      </c>
      <c r="P23">
        <f t="shared" si="6"/>
        <v>0.22990743234525679</v>
      </c>
      <c r="Q23">
        <f t="shared" si="4"/>
        <v>0.97959183673469385</v>
      </c>
      <c r="R23">
        <f t="shared" si="0"/>
        <v>0.22521544393004747</v>
      </c>
      <c r="S23">
        <f>Q23*J23/O23</f>
        <v>0.31382364515127548</v>
      </c>
    </row>
    <row r="24" spans="1:19" x14ac:dyDescent="0.25">
      <c r="A24" t="s">
        <v>41</v>
      </c>
      <c r="B24">
        <v>2007</v>
      </c>
      <c r="C24" t="s">
        <v>16</v>
      </c>
      <c r="D24">
        <v>5.9</v>
      </c>
      <c r="E24">
        <v>0.96</v>
      </c>
      <c r="F24">
        <v>10.84</v>
      </c>
      <c r="G24">
        <v>-5.9</v>
      </c>
      <c r="H24">
        <v>-10.84</v>
      </c>
      <c r="I24">
        <v>-0.96</v>
      </c>
      <c r="J24">
        <v>2.52</v>
      </c>
      <c r="K24">
        <v>14</v>
      </c>
      <c r="L24">
        <v>15</v>
      </c>
      <c r="N24" t="s">
        <v>25</v>
      </c>
      <c r="O24">
        <f t="shared" si="5"/>
        <v>6.7812723859474771</v>
      </c>
      <c r="P24">
        <f t="shared" si="6"/>
        <v>-0.87004321080307911</v>
      </c>
      <c r="Q24">
        <f t="shared" si="4"/>
        <v>0.9719626168224299</v>
      </c>
      <c r="R24">
        <f t="shared" si="0"/>
        <v>-0.84564947592074979</v>
      </c>
      <c r="S24">
        <f>Q24*J24/O24</f>
        <v>0.36119265751191348</v>
      </c>
    </row>
    <row r="25" spans="1:19" x14ac:dyDescent="0.25">
      <c r="A25" t="s">
        <v>42</v>
      </c>
      <c r="B25">
        <v>2012</v>
      </c>
      <c r="C25" t="s">
        <v>23</v>
      </c>
      <c r="D25">
        <v>0.16</v>
      </c>
      <c r="E25">
        <v>-2.92</v>
      </c>
      <c r="F25">
        <v>3.24</v>
      </c>
      <c r="G25">
        <v>-0.16</v>
      </c>
      <c r="H25">
        <v>-3.24</v>
      </c>
      <c r="I25">
        <v>2.92</v>
      </c>
      <c r="J25">
        <v>1.571</v>
      </c>
      <c r="K25">
        <v>81</v>
      </c>
      <c r="L25">
        <v>85</v>
      </c>
      <c r="N25" t="s">
        <v>25</v>
      </c>
      <c r="O25">
        <f t="shared" si="5"/>
        <v>10.117520972675575</v>
      </c>
      <c r="P25">
        <f t="shared" si="6"/>
        <v>-1.5814150564363798E-2</v>
      </c>
      <c r="Q25">
        <f t="shared" si="4"/>
        <v>0.99541984732824429</v>
      </c>
      <c r="R25">
        <f t="shared" si="0"/>
        <v>-1.5741719340404879E-2</v>
      </c>
      <c r="S25">
        <f>Q25*J25/O25</f>
        <v>0.15456400677360041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khan_fiber_sbp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2025-10-18T20:49:34Z</dcterms:created>
  <dcterms:modified xsi:type="dcterms:W3CDTF">2025-12-30T01:09:35Z</dcterms:modified>
</cp:coreProperties>
</file>