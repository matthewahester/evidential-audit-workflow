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khan2018\"/>
    </mc:Choice>
  </mc:AlternateContent>
  <xr:revisionPtr revIDLastSave="0" documentId="13_ncr:1_{084D2A7D-9022-4EDF-B27D-3E67DD3E62BA}" xr6:coauthVersionLast="47" xr6:coauthVersionMax="47" xr10:uidLastSave="{00000000-0000-0000-0000-000000000000}"/>
  <bookViews>
    <workbookView xWindow="38280" yWindow="2820" windowWidth="29040" windowHeight="16440" xr2:uid="{617421F5-2927-4CF0-82CB-0CE9C8888E6B}"/>
  </bookViews>
  <sheets>
    <sheet name="khan_fiber_db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" i="1"/>
  <c r="O7" i="1"/>
  <c r="O8" i="1"/>
  <c r="O9" i="1"/>
  <c r="O10" i="1"/>
  <c r="O11" i="1"/>
  <c r="O12" i="1"/>
  <c r="O13" i="1"/>
  <c r="O14" i="1"/>
  <c r="O15" i="1"/>
  <c r="O16" i="1"/>
  <c r="O17" i="1"/>
  <c r="P17" i="1" s="1"/>
  <c r="O18" i="1"/>
  <c r="P18" i="1" s="1"/>
  <c r="O19" i="1"/>
  <c r="O20" i="1"/>
  <c r="O21" i="1"/>
  <c r="O22" i="1"/>
  <c r="O23" i="1"/>
  <c r="O24" i="1"/>
  <c r="O6" i="1"/>
  <c r="O3" i="1"/>
  <c r="O4" i="1"/>
  <c r="O5" i="1"/>
  <c r="P5" i="1" s="1"/>
  <c r="O2" i="1"/>
  <c r="G6" i="1"/>
  <c r="G7" i="1"/>
  <c r="P7" i="1" s="1"/>
  <c r="G8" i="1"/>
  <c r="G9" i="1"/>
  <c r="G10" i="1"/>
  <c r="P10" i="1" s="1"/>
  <c r="G11" i="1"/>
  <c r="P11" i="1" s="1"/>
  <c r="G3" i="1"/>
  <c r="G12" i="1"/>
  <c r="G13" i="1"/>
  <c r="P13" i="1" s="1"/>
  <c r="R13" i="1" s="1"/>
  <c r="G14" i="1"/>
  <c r="P14" i="1" s="1"/>
  <c r="G15" i="1"/>
  <c r="G4" i="1"/>
  <c r="G16" i="1"/>
  <c r="P16" i="1" s="1"/>
  <c r="G17" i="1"/>
  <c r="G18" i="1"/>
  <c r="G5" i="1"/>
  <c r="G19" i="1"/>
  <c r="G20" i="1"/>
  <c r="P20" i="1" s="1"/>
  <c r="G21" i="1"/>
  <c r="P21" i="1" s="1"/>
  <c r="R21" i="1" s="1"/>
  <c r="G22" i="1"/>
  <c r="P22" i="1" s="1"/>
  <c r="G23" i="1"/>
  <c r="P23" i="1" s="1"/>
  <c r="G24" i="1"/>
  <c r="P24" i="1" s="1"/>
  <c r="G2" i="1"/>
  <c r="Q19" i="1"/>
  <c r="Q20" i="1"/>
  <c r="Q12" i="1"/>
  <c r="Q21" i="1"/>
  <c r="Q13" i="1"/>
  <c r="Q6" i="1"/>
  <c r="Q7" i="1"/>
  <c r="Q14" i="1"/>
  <c r="Q8" i="1"/>
  <c r="Q9" i="1"/>
  <c r="Q10" i="1"/>
  <c r="Q22" i="1"/>
  <c r="Q18" i="1"/>
  <c r="Q23" i="1"/>
  <c r="Q24" i="1"/>
  <c r="Q15" i="1"/>
  <c r="Q16" i="1"/>
  <c r="Q11" i="1"/>
  <c r="Q17" i="1"/>
  <c r="Q5" i="1"/>
  <c r="Q3" i="1"/>
  <c r="Q2" i="1"/>
  <c r="P3" i="1"/>
  <c r="P19" i="1"/>
  <c r="P8" i="1"/>
  <c r="P9" i="1"/>
  <c r="Q4" i="1"/>
  <c r="R11" i="1" l="1"/>
  <c r="R19" i="1"/>
  <c r="P15" i="1"/>
  <c r="R18" i="1"/>
  <c r="R8" i="1"/>
  <c r="P12" i="1"/>
  <c r="R12" i="1" s="1"/>
  <c r="P6" i="1"/>
  <c r="R6" i="1" s="1"/>
  <c r="P4" i="1"/>
  <c r="P2" i="1"/>
  <c r="R2" i="1" s="1"/>
  <c r="R3" i="1"/>
  <c r="R17" i="1"/>
  <c r="R16" i="1"/>
  <c r="R23" i="1"/>
  <c r="R10" i="1"/>
  <c r="R24" i="1"/>
  <c r="R20" i="1"/>
  <c r="R9" i="1"/>
  <c r="R7" i="1"/>
  <c r="R22" i="1"/>
  <c r="R5" i="1"/>
  <c r="R4" i="1"/>
  <c r="R15" i="1"/>
  <c r="R14" i="1"/>
</calcChain>
</file>

<file path=xl/sharedStrings.xml><?xml version="1.0" encoding="utf-8"?>
<sst xmlns="http://schemas.openxmlformats.org/spreadsheetml/2006/main" count="88" uniqueCount="46">
  <si>
    <t>Author</t>
  </si>
  <si>
    <t>Year</t>
  </si>
  <si>
    <t>subgroup</t>
  </si>
  <si>
    <t>ES_neg</t>
  </si>
  <si>
    <t>CI_lower_neg</t>
  </si>
  <si>
    <t>CI_upper_neg</t>
  </si>
  <si>
    <t>ES</t>
  </si>
  <si>
    <t>CI_lower</t>
  </si>
  <si>
    <t>CI_upper</t>
  </si>
  <si>
    <t>SE</t>
  </si>
  <si>
    <t>n_control</t>
  </si>
  <si>
    <t>n_treatment</t>
  </si>
  <si>
    <t>n_total</t>
  </si>
  <si>
    <t>design</t>
  </si>
  <si>
    <t>pooled_sd</t>
  </si>
  <si>
    <t>ArvilBondin</t>
  </si>
  <si>
    <t>Konjac Glucomannan</t>
  </si>
  <si>
    <t>C</t>
  </si>
  <si>
    <t>de Bock</t>
  </si>
  <si>
    <t>Psyllium</t>
  </si>
  <si>
    <t>Landin</t>
  </si>
  <si>
    <t>Guar Gum</t>
  </si>
  <si>
    <t>Onning</t>
  </si>
  <si>
    <t>B-glucan</t>
  </si>
  <si>
    <t>Bell</t>
  </si>
  <si>
    <t>Pectin</t>
  </si>
  <si>
    <t>P</t>
  </si>
  <si>
    <t>Burke</t>
  </si>
  <si>
    <t>Cicero</t>
  </si>
  <si>
    <t>Dall'Alba</t>
  </si>
  <si>
    <t>Davy</t>
  </si>
  <si>
    <t>He</t>
  </si>
  <si>
    <t>Makkonen</t>
  </si>
  <si>
    <t>Pins</t>
  </si>
  <si>
    <t>Queenan</t>
  </si>
  <si>
    <t>Saltzman</t>
  </si>
  <si>
    <t>Sanore</t>
  </si>
  <si>
    <t>Schwab</t>
  </si>
  <si>
    <t>Sola</t>
  </si>
  <si>
    <t>Uusitupa</t>
  </si>
  <si>
    <t>Wood</t>
  </si>
  <si>
    <t>Zhang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</si>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</sst>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96E2-1BE7-4BF4-9170-4154B963E796}">
  <dimension ref="A1:S24"/>
  <sheetViews>
    <sheetView tabSelected="1" topLeftCell="G1" workbookViewId="0">
      <selection activeCell="S8" sqref="S8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42</v>
      </c>
      <c r="Q1" t="s">
        <v>43</v>
      </c>
      <c r="R1" t="s">
        <v>44</v>
      </c>
      <c r="S1" t="s">
        <v>45</v>
      </c>
    </row>
    <row r="2" spans="1:19" x14ac:dyDescent="0.25">
      <c r="A2" t="s">
        <v>22</v>
      </c>
      <c r="B2">
        <v>1999</v>
      </c>
      <c r="C2" t="s">
        <v>23</v>
      </c>
      <c r="D2">
        <v>-1.5</v>
      </c>
      <c r="E2">
        <v>-2.44</v>
      </c>
      <c r="F2">
        <v>-0.56000000000000005</v>
      </c>
      <c r="G2">
        <f t="shared" ref="G2:G24" si="0">-D2</f>
        <v>1.5</v>
      </c>
      <c r="H2">
        <v>0.56000000000000005</v>
      </c>
      <c r="I2">
        <v>2.44</v>
      </c>
      <c r="J2">
        <v>0.47959183700000002</v>
      </c>
      <c r="M2">
        <v>52</v>
      </c>
      <c r="N2" t="s">
        <v>17</v>
      </c>
      <c r="O2">
        <f>J2*SQRT(M2)</f>
        <v>3.4583859191949351</v>
      </c>
      <c r="P2">
        <f t="shared" ref="P2:P24" si="1">G2/O2</f>
        <v>0.43372834468085603</v>
      </c>
      <c r="Q2">
        <f>1-3/(4*(M2-2)-1)</f>
        <v>0.98492462311557794</v>
      </c>
      <c r="R2">
        <f t="shared" ref="R2:R24" si="2">Q2*P2</f>
        <v>0.42718972641933561</v>
      </c>
      <c r="S2">
        <f>Q2*J2/O2</f>
        <v>0.13658447042731775</v>
      </c>
    </row>
    <row r="3" spans="1:19" x14ac:dyDescent="0.25">
      <c r="A3" t="s">
        <v>20</v>
      </c>
      <c r="B3">
        <v>1993</v>
      </c>
      <c r="C3" t="s">
        <v>21</v>
      </c>
      <c r="D3">
        <v>-3</v>
      </c>
      <c r="E3">
        <v>-6.92</v>
      </c>
      <c r="F3">
        <v>0.92</v>
      </c>
      <c r="G3">
        <f t="shared" si="0"/>
        <v>3</v>
      </c>
      <c r="H3">
        <v>-0.92</v>
      </c>
      <c r="I3">
        <v>6.92</v>
      </c>
      <c r="J3">
        <v>2</v>
      </c>
      <c r="M3">
        <v>25</v>
      </c>
      <c r="N3" t="s">
        <v>17</v>
      </c>
      <c r="O3">
        <f t="shared" ref="O3:O5" si="3">J3*SQRT(M3)</f>
        <v>10</v>
      </c>
      <c r="P3">
        <f t="shared" si="1"/>
        <v>0.3</v>
      </c>
      <c r="Q3">
        <f>1-3/(4*(M3-2)-1)</f>
        <v>0.96703296703296704</v>
      </c>
      <c r="R3">
        <f t="shared" si="2"/>
        <v>0.29010989010989008</v>
      </c>
      <c r="S3">
        <f>Q3*J3/O3</f>
        <v>0.19340659340659341</v>
      </c>
    </row>
    <row r="4" spans="1:19" x14ac:dyDescent="0.25">
      <c r="A4" t="s">
        <v>15</v>
      </c>
      <c r="B4">
        <v>1995</v>
      </c>
      <c r="C4" t="s">
        <v>16</v>
      </c>
      <c r="D4">
        <v>-0.27</v>
      </c>
      <c r="E4">
        <v>-2.29</v>
      </c>
      <c r="F4">
        <v>1.75</v>
      </c>
      <c r="G4">
        <f t="shared" si="0"/>
        <v>0.27</v>
      </c>
      <c r="H4">
        <v>-1.75</v>
      </c>
      <c r="I4">
        <v>2.29</v>
      </c>
      <c r="J4">
        <v>1.0306122449999999</v>
      </c>
      <c r="M4">
        <v>63</v>
      </c>
      <c r="N4" t="s">
        <v>17</v>
      </c>
      <c r="O4">
        <f t="shared" si="3"/>
        <v>8.1802310952239132</v>
      </c>
      <c r="P4">
        <f t="shared" si="1"/>
        <v>3.3006402491201188E-2</v>
      </c>
      <c r="Q4">
        <f>1-3/(4*(M4-2)-1)</f>
        <v>0.98765432098765427</v>
      </c>
      <c r="R4">
        <f t="shared" si="2"/>
        <v>3.2598916040692531E-2</v>
      </c>
      <c r="S4">
        <f>Q4*J4/O4</f>
        <v>0.12443274831579494</v>
      </c>
    </row>
    <row r="5" spans="1:19" x14ac:dyDescent="0.25">
      <c r="A5" t="s">
        <v>18</v>
      </c>
      <c r="B5">
        <v>2012</v>
      </c>
      <c r="C5" t="s">
        <v>19</v>
      </c>
      <c r="D5">
        <v>0</v>
      </c>
      <c r="E5">
        <v>-0.12</v>
      </c>
      <c r="F5">
        <v>0.12</v>
      </c>
      <c r="G5">
        <f t="shared" si="0"/>
        <v>0</v>
      </c>
      <c r="H5">
        <v>-0.12</v>
      </c>
      <c r="I5">
        <v>0.12</v>
      </c>
      <c r="J5">
        <v>6.1224489999999999E-2</v>
      </c>
      <c r="M5">
        <v>45</v>
      </c>
      <c r="N5" t="s">
        <v>17</v>
      </c>
      <c r="O5">
        <f t="shared" si="3"/>
        <v>0.41070636458326831</v>
      </c>
      <c r="P5">
        <f t="shared" si="1"/>
        <v>0</v>
      </c>
      <c r="Q5">
        <f>1-3/(4*(M5-2)-1)</f>
        <v>0.98245614035087714</v>
      </c>
      <c r="R5">
        <f t="shared" si="2"/>
        <v>0</v>
      </c>
      <c r="S5">
        <f>Q5*J5/O5</f>
        <v>0.14645591431577568</v>
      </c>
    </row>
    <row r="6" spans="1:19" x14ac:dyDescent="0.25">
      <c r="A6" t="s">
        <v>30</v>
      </c>
      <c r="B6">
        <v>2002</v>
      </c>
      <c r="C6" t="s">
        <v>23</v>
      </c>
      <c r="D6">
        <v>-3.3</v>
      </c>
      <c r="E6">
        <v>-7.22</v>
      </c>
      <c r="F6">
        <v>0.62</v>
      </c>
      <c r="G6">
        <f t="shared" si="0"/>
        <v>3.3</v>
      </c>
      <c r="H6">
        <v>-0.62</v>
      </c>
      <c r="I6">
        <v>7.22</v>
      </c>
      <c r="J6">
        <v>2</v>
      </c>
      <c r="K6">
        <v>18</v>
      </c>
      <c r="L6">
        <v>18</v>
      </c>
      <c r="N6" t="s">
        <v>26</v>
      </c>
      <c r="O6">
        <f>J6/SQRT(1/K6+1/L6)</f>
        <v>6</v>
      </c>
      <c r="P6">
        <f t="shared" si="1"/>
        <v>0.54999999999999993</v>
      </c>
      <c r="Q6">
        <f t="shared" ref="Q6:Q24" si="4">1-3/(4*(K6+L6-2)-1)</f>
        <v>0.97777777777777775</v>
      </c>
      <c r="R6">
        <f t="shared" si="2"/>
        <v>0.53777777777777769</v>
      </c>
      <c r="S6">
        <f>Q6*J6/O6</f>
        <v>0.3259259259259259</v>
      </c>
    </row>
    <row r="7" spans="1:19" x14ac:dyDescent="0.25">
      <c r="A7" t="s">
        <v>31</v>
      </c>
      <c r="B7">
        <v>2004</v>
      </c>
      <c r="C7" t="s">
        <v>23</v>
      </c>
      <c r="D7">
        <v>-1.2</v>
      </c>
      <c r="E7">
        <v>-2.92</v>
      </c>
      <c r="F7">
        <v>0.52</v>
      </c>
      <c r="G7">
        <f t="shared" si="0"/>
        <v>1.2</v>
      </c>
      <c r="H7">
        <v>-0.52</v>
      </c>
      <c r="I7">
        <v>2.92</v>
      </c>
      <c r="J7">
        <v>0.87755101999999996</v>
      </c>
      <c r="K7">
        <v>56</v>
      </c>
      <c r="L7">
        <v>54</v>
      </c>
      <c r="N7" t="s">
        <v>26</v>
      </c>
      <c r="O7">
        <f t="shared" ref="O7:O24" si="5">J7/SQRT(1/K7+1/L7)</f>
        <v>4.6011556622756045</v>
      </c>
      <c r="P7">
        <f t="shared" si="1"/>
        <v>0.26080404317521244</v>
      </c>
      <c r="Q7">
        <f t="shared" si="4"/>
        <v>0.99303944315545245</v>
      </c>
      <c r="R7">
        <f t="shared" si="2"/>
        <v>0.25898870180740352</v>
      </c>
      <c r="S7">
        <f>Q7*J7/O7</f>
        <v>0.18939649953296903</v>
      </c>
    </row>
    <row r="8" spans="1:19" x14ac:dyDescent="0.25">
      <c r="A8" t="s">
        <v>33</v>
      </c>
      <c r="B8">
        <v>2002</v>
      </c>
      <c r="C8" t="s">
        <v>23</v>
      </c>
      <c r="D8">
        <v>-5</v>
      </c>
      <c r="E8">
        <v>-12.17</v>
      </c>
      <c r="F8">
        <v>2.17</v>
      </c>
      <c r="G8">
        <f t="shared" si="0"/>
        <v>5</v>
      </c>
      <c r="H8">
        <v>-2.17</v>
      </c>
      <c r="I8">
        <v>12.17</v>
      </c>
      <c r="J8">
        <v>3.6581632650000002</v>
      </c>
      <c r="K8">
        <v>25</v>
      </c>
      <c r="L8">
        <v>12</v>
      </c>
      <c r="N8" t="s">
        <v>26</v>
      </c>
      <c r="O8">
        <f t="shared" si="5"/>
        <v>10.416524738228455</v>
      </c>
      <c r="P8">
        <f t="shared" si="1"/>
        <v>0.4800065401515432</v>
      </c>
      <c r="Q8">
        <f t="shared" si="4"/>
        <v>0.97841726618705038</v>
      </c>
      <c r="R8">
        <f t="shared" si="2"/>
        <v>0.46964668676697752</v>
      </c>
      <c r="S8">
        <f>Q8*J8/O8</f>
        <v>0.34360885141198377</v>
      </c>
    </row>
    <row r="9" spans="1:19" x14ac:dyDescent="0.25">
      <c r="A9" t="s">
        <v>34</v>
      </c>
      <c r="B9">
        <v>2007</v>
      </c>
      <c r="C9" t="s">
        <v>23</v>
      </c>
      <c r="D9">
        <v>0</v>
      </c>
      <c r="E9">
        <v>-0.12</v>
      </c>
      <c r="F9">
        <v>0.12</v>
      </c>
      <c r="G9">
        <f t="shared" si="0"/>
        <v>0</v>
      </c>
      <c r="H9">
        <v>-0.12</v>
      </c>
      <c r="I9">
        <v>0.12</v>
      </c>
      <c r="J9">
        <v>6.1224489999999999E-2</v>
      </c>
      <c r="K9">
        <v>40</v>
      </c>
      <c r="L9">
        <v>35</v>
      </c>
      <c r="N9" t="s">
        <v>26</v>
      </c>
      <c r="O9">
        <f t="shared" si="5"/>
        <v>0.2645200293881767</v>
      </c>
      <c r="P9">
        <f t="shared" si="1"/>
        <v>0</v>
      </c>
      <c r="Q9">
        <f t="shared" si="4"/>
        <v>0.98969072164948457</v>
      </c>
      <c r="R9">
        <f t="shared" si="2"/>
        <v>0</v>
      </c>
      <c r="S9">
        <f>Q9*J9/O9</f>
        <v>0.22906889066537356</v>
      </c>
    </row>
    <row r="10" spans="1:19" x14ac:dyDescent="0.25">
      <c r="A10" t="s">
        <v>35</v>
      </c>
      <c r="B10">
        <v>2001</v>
      </c>
      <c r="C10" t="s">
        <v>23</v>
      </c>
      <c r="D10">
        <v>-1</v>
      </c>
      <c r="E10">
        <v>-8.68</v>
      </c>
      <c r="F10">
        <v>6.68</v>
      </c>
      <c r="G10">
        <f t="shared" si="0"/>
        <v>1</v>
      </c>
      <c r="H10">
        <v>-6.68</v>
      </c>
      <c r="I10">
        <v>8.68</v>
      </c>
      <c r="J10">
        <v>3.9183673469999998</v>
      </c>
      <c r="K10">
        <v>21</v>
      </c>
      <c r="L10">
        <v>22</v>
      </c>
      <c r="N10" t="s">
        <v>26</v>
      </c>
      <c r="O10">
        <f t="shared" si="5"/>
        <v>12.843751925668206</v>
      </c>
      <c r="P10">
        <f t="shared" si="1"/>
        <v>7.7858869105179654E-2</v>
      </c>
      <c r="Q10">
        <f t="shared" si="4"/>
        <v>0.98159509202453987</v>
      </c>
      <c r="R10">
        <f t="shared" si="2"/>
        <v>7.6425883784225421E-2</v>
      </c>
      <c r="S10">
        <f>Q10*J10/O10</f>
        <v>0.29946468748572569</v>
      </c>
    </row>
    <row r="11" spans="1:19" x14ac:dyDescent="0.25">
      <c r="A11" t="s">
        <v>41</v>
      </c>
      <c r="B11">
        <v>2012</v>
      </c>
      <c r="C11" t="s">
        <v>23</v>
      </c>
      <c r="D11">
        <v>-0.89</v>
      </c>
      <c r="E11">
        <v>-3.48</v>
      </c>
      <c r="F11">
        <v>1.7</v>
      </c>
      <c r="G11">
        <f t="shared" si="0"/>
        <v>0.89</v>
      </c>
      <c r="H11">
        <v>-1.7</v>
      </c>
      <c r="I11">
        <v>3.48</v>
      </c>
      <c r="J11">
        <v>1.321428571</v>
      </c>
      <c r="K11">
        <v>81</v>
      </c>
      <c r="L11">
        <v>85</v>
      </c>
      <c r="N11" t="s">
        <v>26</v>
      </c>
      <c r="O11">
        <f t="shared" si="5"/>
        <v>8.5102363341726388</v>
      </c>
      <c r="P11">
        <f t="shared" si="1"/>
        <v>0.10457993938737371</v>
      </c>
      <c r="Q11">
        <f t="shared" si="4"/>
        <v>0.99541984732824429</v>
      </c>
      <c r="R11">
        <f t="shared" si="2"/>
        <v>0.10410094729857658</v>
      </c>
      <c r="S11">
        <f>Q11*J11/O11</f>
        <v>0.15456400677360041</v>
      </c>
    </row>
    <row r="12" spans="1:19" x14ac:dyDescent="0.25">
      <c r="A12" t="s">
        <v>28</v>
      </c>
      <c r="B12">
        <v>2007</v>
      </c>
      <c r="C12" t="s">
        <v>21</v>
      </c>
      <c r="D12">
        <v>-1</v>
      </c>
      <c r="E12">
        <v>-2.2000000000000002</v>
      </c>
      <c r="F12">
        <v>0.2</v>
      </c>
      <c r="G12">
        <f t="shared" si="0"/>
        <v>1</v>
      </c>
      <c r="H12">
        <v>-0.2</v>
      </c>
      <c r="I12">
        <v>2.2000000000000002</v>
      </c>
      <c r="J12">
        <v>0.61224489800000004</v>
      </c>
      <c r="K12">
        <v>45</v>
      </c>
      <c r="L12">
        <v>48</v>
      </c>
      <c r="N12" t="s">
        <v>26</v>
      </c>
      <c r="O12">
        <f t="shared" si="5"/>
        <v>2.9506016165732332</v>
      </c>
      <c r="P12">
        <f t="shared" si="1"/>
        <v>0.33891393347821014</v>
      </c>
      <c r="Q12">
        <f t="shared" si="4"/>
        <v>0.99173553719008267</v>
      </c>
      <c r="R12">
        <f t="shared" si="2"/>
        <v>0.33611299187921667</v>
      </c>
      <c r="S12">
        <f>Q12*J12/O12</f>
        <v>0.20578346442956583</v>
      </c>
    </row>
    <row r="13" spans="1:19" x14ac:dyDescent="0.25">
      <c r="A13" t="s">
        <v>29</v>
      </c>
      <c r="B13">
        <v>2013</v>
      </c>
      <c r="C13" t="s">
        <v>21</v>
      </c>
      <c r="D13">
        <v>5.4</v>
      </c>
      <c r="E13">
        <v>2.0299999999999998</v>
      </c>
      <c r="F13">
        <v>8.77</v>
      </c>
      <c r="G13">
        <f t="shared" si="0"/>
        <v>-5.4</v>
      </c>
      <c r="H13">
        <v>-8.77</v>
      </c>
      <c r="I13">
        <v>-2.0299999999999998</v>
      </c>
      <c r="J13">
        <v>1.7193877550000001</v>
      </c>
      <c r="K13">
        <v>21</v>
      </c>
      <c r="L13">
        <v>23</v>
      </c>
      <c r="N13" t="s">
        <v>26</v>
      </c>
      <c r="O13">
        <f t="shared" si="5"/>
        <v>5.6966699278398671</v>
      </c>
      <c r="P13">
        <f t="shared" si="1"/>
        <v>-0.9479222191915968</v>
      </c>
      <c r="Q13">
        <f t="shared" si="4"/>
        <v>0.98203592814371254</v>
      </c>
      <c r="R13">
        <f t="shared" si="2"/>
        <v>-0.93089367633186748</v>
      </c>
      <c r="S13">
        <f>Q13*J13/O13</f>
        <v>0.29640133116517525</v>
      </c>
    </row>
    <row r="14" spans="1:19" x14ac:dyDescent="0.25">
      <c r="A14" t="s">
        <v>32</v>
      </c>
      <c r="B14">
        <v>1993</v>
      </c>
      <c r="C14" t="s">
        <v>21</v>
      </c>
      <c r="D14">
        <v>-0.56000000000000005</v>
      </c>
      <c r="E14">
        <v>-5.48</v>
      </c>
      <c r="F14">
        <v>4.3600000000000003</v>
      </c>
      <c r="G14">
        <f t="shared" si="0"/>
        <v>0.56000000000000005</v>
      </c>
      <c r="H14">
        <v>-4.3600000000000003</v>
      </c>
      <c r="I14">
        <v>5.48</v>
      </c>
      <c r="J14">
        <v>2.510204082</v>
      </c>
      <c r="K14">
        <v>15</v>
      </c>
      <c r="L14">
        <v>15</v>
      </c>
      <c r="N14" t="s">
        <v>26</v>
      </c>
      <c r="O14">
        <f t="shared" si="5"/>
        <v>6.8744769982647389</v>
      </c>
      <c r="P14">
        <f t="shared" si="1"/>
        <v>8.1460742415947529E-2</v>
      </c>
      <c r="Q14">
        <f t="shared" si="4"/>
        <v>0.97297297297297303</v>
      </c>
      <c r="R14">
        <f t="shared" si="2"/>
        <v>7.925910072903003E-2</v>
      </c>
      <c r="S14">
        <f>Q14*J14/O14</f>
        <v>0.35527949676010773</v>
      </c>
    </row>
    <row r="15" spans="1:19" x14ac:dyDescent="0.25">
      <c r="A15" t="s">
        <v>39</v>
      </c>
      <c r="B15">
        <v>1989</v>
      </c>
      <c r="C15" t="s">
        <v>21</v>
      </c>
      <c r="D15">
        <v>1.1000000000000001</v>
      </c>
      <c r="E15">
        <v>-2.41</v>
      </c>
      <c r="F15">
        <v>4.6100000000000003</v>
      </c>
      <c r="G15">
        <f t="shared" si="0"/>
        <v>-1.1000000000000001</v>
      </c>
      <c r="H15">
        <v>-4.6100000000000003</v>
      </c>
      <c r="I15">
        <v>2.41</v>
      </c>
      <c r="J15">
        <v>1.7908163269999999</v>
      </c>
      <c r="K15">
        <v>19</v>
      </c>
      <c r="L15">
        <v>20</v>
      </c>
      <c r="N15" t="s">
        <v>26</v>
      </c>
      <c r="O15">
        <f t="shared" si="5"/>
        <v>5.5899836807222751</v>
      </c>
      <c r="P15">
        <f t="shared" si="1"/>
        <v>-0.19678053869700571</v>
      </c>
      <c r="Q15">
        <f t="shared" si="4"/>
        <v>0.97959183673469385</v>
      </c>
      <c r="R15">
        <f t="shared" si="2"/>
        <v>-0.19276460933584233</v>
      </c>
      <c r="S15">
        <f>Q15*J15/O15</f>
        <v>0.31382364515127548</v>
      </c>
    </row>
    <row r="16" spans="1:19" x14ac:dyDescent="0.25">
      <c r="A16" t="s">
        <v>40</v>
      </c>
      <c r="B16">
        <v>2007</v>
      </c>
      <c r="C16" t="s">
        <v>16</v>
      </c>
      <c r="D16">
        <v>7.8</v>
      </c>
      <c r="E16">
        <v>4.25</v>
      </c>
      <c r="F16">
        <v>11.35</v>
      </c>
      <c r="G16">
        <f t="shared" si="0"/>
        <v>-7.8</v>
      </c>
      <c r="H16">
        <v>-11.35</v>
      </c>
      <c r="I16">
        <v>-4.25</v>
      </c>
      <c r="J16">
        <v>1.8112244900000001</v>
      </c>
      <c r="K16">
        <v>14</v>
      </c>
      <c r="L16">
        <v>15</v>
      </c>
      <c r="N16" t="s">
        <v>26</v>
      </c>
      <c r="O16">
        <f t="shared" si="5"/>
        <v>4.873970880471747</v>
      </c>
      <c r="P16">
        <f t="shared" si="1"/>
        <v>-1.6003378336238736</v>
      </c>
      <c r="Q16">
        <f t="shared" si="4"/>
        <v>0.9719626168224299</v>
      </c>
      <c r="R16">
        <f t="shared" si="2"/>
        <v>-1.5554685485689987</v>
      </c>
      <c r="S16">
        <f>Q16*J16/O16</f>
        <v>0.36119265751191348</v>
      </c>
    </row>
    <row r="17" spans="1:19" x14ac:dyDescent="0.25">
      <c r="A17" t="s">
        <v>24</v>
      </c>
      <c r="B17">
        <v>1990</v>
      </c>
      <c r="C17" t="s">
        <v>25</v>
      </c>
      <c r="D17">
        <v>-1.7</v>
      </c>
      <c r="E17">
        <v>-5.27</v>
      </c>
      <c r="F17">
        <v>1.87</v>
      </c>
      <c r="G17">
        <f t="shared" si="0"/>
        <v>1.7</v>
      </c>
      <c r="H17">
        <v>-1.87</v>
      </c>
      <c r="I17">
        <v>5.27</v>
      </c>
      <c r="J17">
        <v>1.821428571</v>
      </c>
      <c r="K17">
        <v>19</v>
      </c>
      <c r="L17">
        <v>19</v>
      </c>
      <c r="N17" t="s">
        <v>26</v>
      </c>
      <c r="O17">
        <f t="shared" si="5"/>
        <v>5.6140198942400863</v>
      </c>
      <c r="P17">
        <f t="shared" si="1"/>
        <v>0.30281331951534024</v>
      </c>
      <c r="Q17">
        <f t="shared" si="4"/>
        <v>0.97902097902097907</v>
      </c>
      <c r="R17">
        <f t="shared" si="2"/>
        <v>0.29646059253250095</v>
      </c>
      <c r="S17">
        <f>Q17*J17/O17</f>
        <v>0.31763634906722737</v>
      </c>
    </row>
    <row r="18" spans="1:19" x14ac:dyDescent="0.25">
      <c r="A18" t="s">
        <v>37</v>
      </c>
      <c r="B18">
        <v>2006</v>
      </c>
      <c r="C18" t="s">
        <v>25</v>
      </c>
      <c r="D18">
        <v>-1</v>
      </c>
      <c r="E18">
        <v>-4.37</v>
      </c>
      <c r="F18">
        <v>2.37</v>
      </c>
      <c r="G18">
        <f t="shared" si="0"/>
        <v>1</v>
      </c>
      <c r="H18">
        <v>-2.37</v>
      </c>
      <c r="I18">
        <v>4.37</v>
      </c>
      <c r="J18">
        <v>1.7193877550000001</v>
      </c>
      <c r="K18">
        <v>22</v>
      </c>
      <c r="L18">
        <v>22</v>
      </c>
      <c r="N18" t="s">
        <v>26</v>
      </c>
      <c r="O18">
        <f t="shared" si="5"/>
        <v>5.7025640524665171</v>
      </c>
      <c r="P18">
        <f t="shared" si="1"/>
        <v>0.17535971377076812</v>
      </c>
      <c r="Q18">
        <f t="shared" si="4"/>
        <v>0.98203592814371254</v>
      </c>
      <c r="R18">
        <f t="shared" si="2"/>
        <v>0.17220953927189203</v>
      </c>
      <c r="S18">
        <f>Q18*J18/O18</f>
        <v>0.29609497311828281</v>
      </c>
    </row>
    <row r="19" spans="1:19" x14ac:dyDescent="0.25">
      <c r="A19" t="s">
        <v>24</v>
      </c>
      <c r="B19">
        <v>1990</v>
      </c>
      <c r="C19" t="s">
        <v>19</v>
      </c>
      <c r="D19">
        <v>2.2000000000000002</v>
      </c>
      <c r="E19">
        <v>-2.11</v>
      </c>
      <c r="F19">
        <v>6.51</v>
      </c>
      <c r="G19">
        <f t="shared" si="0"/>
        <v>-2.2000000000000002</v>
      </c>
      <c r="H19">
        <v>-6.51</v>
      </c>
      <c r="I19">
        <v>2.11</v>
      </c>
      <c r="J19">
        <v>2.1989795920000001</v>
      </c>
      <c r="K19">
        <v>19</v>
      </c>
      <c r="L19">
        <v>20</v>
      </c>
      <c r="N19" t="s">
        <v>26</v>
      </c>
      <c r="O19">
        <f t="shared" si="5"/>
        <v>6.8640540340133542</v>
      </c>
      <c r="P19">
        <f t="shared" si="1"/>
        <v>-0.32051029742749254</v>
      </c>
      <c r="Q19">
        <f t="shared" si="4"/>
        <v>0.97959183673469385</v>
      </c>
      <c r="R19">
        <f t="shared" si="2"/>
        <v>-0.31396927094938043</v>
      </c>
      <c r="S19">
        <f>Q19*J19/O19</f>
        <v>0.31382364515127548</v>
      </c>
    </row>
    <row r="20" spans="1:19" x14ac:dyDescent="0.25">
      <c r="A20" t="s">
        <v>27</v>
      </c>
      <c r="B20">
        <v>2001</v>
      </c>
      <c r="C20" t="s">
        <v>19</v>
      </c>
      <c r="D20">
        <v>-1.9</v>
      </c>
      <c r="E20">
        <v>-3.84</v>
      </c>
      <c r="F20">
        <v>0.04</v>
      </c>
      <c r="G20">
        <f t="shared" si="0"/>
        <v>1.9</v>
      </c>
      <c r="H20">
        <v>-0.04</v>
      </c>
      <c r="I20">
        <v>3.84</v>
      </c>
      <c r="J20">
        <v>0.989795918</v>
      </c>
      <c r="K20">
        <v>9</v>
      </c>
      <c r="L20">
        <v>9</v>
      </c>
      <c r="N20" t="s">
        <v>26</v>
      </c>
      <c r="O20">
        <f t="shared" si="5"/>
        <v>2.0996742168256919</v>
      </c>
      <c r="P20">
        <f t="shared" si="1"/>
        <v>0.9049022866377997</v>
      </c>
      <c r="Q20">
        <f t="shared" si="4"/>
        <v>0.95238095238095233</v>
      </c>
      <c r="R20">
        <f t="shared" si="2"/>
        <v>0.86181170155980924</v>
      </c>
      <c r="S20">
        <f>Q20*J20/O20</f>
        <v>0.44895668646764919</v>
      </c>
    </row>
    <row r="21" spans="1:19" x14ac:dyDescent="0.25">
      <c r="A21" t="s">
        <v>28</v>
      </c>
      <c r="B21">
        <v>2007</v>
      </c>
      <c r="C21" t="s">
        <v>19</v>
      </c>
      <c r="D21">
        <v>-2</v>
      </c>
      <c r="E21">
        <v>-3.49</v>
      </c>
      <c r="F21">
        <v>-0.51</v>
      </c>
      <c r="G21">
        <f t="shared" si="0"/>
        <v>2</v>
      </c>
      <c r="H21">
        <v>0.51</v>
      </c>
      <c r="I21">
        <v>3.49</v>
      </c>
      <c r="J21">
        <v>0.760204082</v>
      </c>
      <c r="K21">
        <v>45</v>
      </c>
      <c r="L21">
        <v>48</v>
      </c>
      <c r="N21" t="s">
        <v>26</v>
      </c>
      <c r="O21">
        <f t="shared" si="5"/>
        <v>3.6636636754378813</v>
      </c>
      <c r="P21">
        <f t="shared" si="1"/>
        <v>0.54590163758985322</v>
      </c>
      <c r="Q21">
        <f t="shared" si="4"/>
        <v>0.99173553719008267</v>
      </c>
      <c r="R21">
        <f t="shared" si="2"/>
        <v>0.54139005380811889</v>
      </c>
      <c r="S21">
        <f>Q21*J21/O21</f>
        <v>0.20578346442956583</v>
      </c>
    </row>
    <row r="22" spans="1:19" x14ac:dyDescent="0.25">
      <c r="A22" t="s">
        <v>36</v>
      </c>
      <c r="B22">
        <v>2009</v>
      </c>
      <c r="C22" t="s">
        <v>19</v>
      </c>
      <c r="D22">
        <v>0.16</v>
      </c>
      <c r="E22">
        <v>-3.21</v>
      </c>
      <c r="F22">
        <v>3.53</v>
      </c>
      <c r="G22">
        <f t="shared" si="0"/>
        <v>-0.16</v>
      </c>
      <c r="H22">
        <v>-3.53</v>
      </c>
      <c r="I22">
        <v>3.21</v>
      </c>
      <c r="J22">
        <v>1.7193877550000001</v>
      </c>
      <c r="K22">
        <v>20</v>
      </c>
      <c r="L22">
        <v>20</v>
      </c>
      <c r="N22" t="s">
        <v>26</v>
      </c>
      <c r="O22">
        <f t="shared" si="5"/>
        <v>5.4371814868035626</v>
      </c>
      <c r="P22">
        <f t="shared" si="1"/>
        <v>-2.9427011106458689E-2</v>
      </c>
      <c r="Q22">
        <f t="shared" si="4"/>
        <v>0.98013245033112584</v>
      </c>
      <c r="R22">
        <f t="shared" si="2"/>
        <v>-2.884236850169461E-2</v>
      </c>
      <c r="S22">
        <f>Q22*J22/O22</f>
        <v>0.30994509516882129</v>
      </c>
    </row>
    <row r="23" spans="1:19" x14ac:dyDescent="0.25">
      <c r="A23" t="s">
        <v>38</v>
      </c>
      <c r="B23">
        <v>2010</v>
      </c>
      <c r="C23" t="s">
        <v>19</v>
      </c>
      <c r="D23">
        <v>-1.33</v>
      </c>
      <c r="E23">
        <v>-3.33</v>
      </c>
      <c r="F23">
        <v>0.67</v>
      </c>
      <c r="G23">
        <f t="shared" si="0"/>
        <v>1.33</v>
      </c>
      <c r="H23">
        <v>-0.67</v>
      </c>
      <c r="I23">
        <v>3.33</v>
      </c>
      <c r="J23">
        <v>1.0204081629999999</v>
      </c>
      <c r="K23">
        <v>108</v>
      </c>
      <c r="L23">
        <v>101</v>
      </c>
      <c r="N23" t="s">
        <v>26</v>
      </c>
      <c r="O23">
        <f t="shared" si="5"/>
        <v>7.3717966332861646</v>
      </c>
      <c r="P23">
        <f t="shared" si="1"/>
        <v>0.18041734819360025</v>
      </c>
      <c r="Q23">
        <f t="shared" si="4"/>
        <v>0.99637243047158408</v>
      </c>
      <c r="R23">
        <f t="shared" si="2"/>
        <v>0.17976287171889554</v>
      </c>
      <c r="S23">
        <f>Q23*J23/O23</f>
        <v>0.13791842233555099</v>
      </c>
    </row>
    <row r="24" spans="1:19" x14ac:dyDescent="0.25">
      <c r="A24" t="s">
        <v>38</v>
      </c>
      <c r="B24">
        <v>2012</v>
      </c>
      <c r="C24" t="s">
        <v>19</v>
      </c>
      <c r="D24">
        <v>1.48</v>
      </c>
      <c r="E24">
        <v>-0.68</v>
      </c>
      <c r="F24">
        <v>3.64</v>
      </c>
      <c r="G24">
        <f t="shared" si="0"/>
        <v>-1.48</v>
      </c>
      <c r="H24">
        <v>-3.64</v>
      </c>
      <c r="I24">
        <v>0.68</v>
      </c>
      <c r="J24">
        <v>1.1020408159999999</v>
      </c>
      <c r="K24">
        <v>30</v>
      </c>
      <c r="L24">
        <v>27</v>
      </c>
      <c r="N24" t="s">
        <v>26</v>
      </c>
      <c r="O24">
        <f t="shared" si="5"/>
        <v>4.1543469259071237</v>
      </c>
      <c r="P24">
        <f t="shared" si="1"/>
        <v>-0.35625334773331047</v>
      </c>
      <c r="Q24">
        <f t="shared" si="4"/>
        <v>0.98630136986301364</v>
      </c>
      <c r="R24">
        <f t="shared" si="2"/>
        <v>-0.35137316488764864</v>
      </c>
      <c r="S24">
        <f>Q24*J24/O24</f>
        <v>0.26164024956303167</v>
      </c>
    </row>
  </sheetData>
  <sortState xmlns:xlrd2="http://schemas.microsoft.com/office/spreadsheetml/2017/richdata2" ref="A2:R24">
    <sortCondition ref="N2:N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khan_fiber_dbp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2025-10-18T20:49:51Z</dcterms:created>
  <dcterms:modified xsi:type="dcterms:W3CDTF">2025-12-30T01:09:10Z</dcterms:modified>
</cp:coreProperties>
</file>