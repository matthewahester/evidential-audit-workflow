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post2012\"/>
    </mc:Choice>
  </mc:AlternateContent>
  <xr:revisionPtr revIDLastSave="0" documentId="13_ncr:1_{CB7C01C9-27E6-417A-AFC7-99CD45DDAA9C}" xr6:coauthVersionLast="47" xr6:coauthVersionMax="47" xr10:uidLastSave="{00000000-0000-0000-0000-000000000000}"/>
  <bookViews>
    <workbookView xWindow="38280" yWindow="2820" windowWidth="29040" windowHeight="16440" xr2:uid="{D1C6FB37-6116-4566-A541-9871FC44FADE}"/>
  </bookViews>
  <sheets>
    <sheet name="post_fiber_gh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2" i="1"/>
  <c r="N3" i="1"/>
  <c r="N4" i="1"/>
  <c r="N5" i="1"/>
  <c r="N6" i="1"/>
  <c r="O6" i="1" s="1"/>
  <c r="Q6" i="1" s="1"/>
  <c r="N7" i="1"/>
  <c r="O7" i="1" s="1"/>
  <c r="Q7" i="1" s="1"/>
  <c r="N8" i="1"/>
  <c r="O8" i="1" s="1"/>
  <c r="Q8" i="1" s="1"/>
  <c r="N9" i="1"/>
  <c r="N10" i="1"/>
  <c r="N11" i="1"/>
  <c r="O11" i="1" s="1"/>
  <c r="Q11" i="1" s="1"/>
  <c r="N2" i="1"/>
  <c r="O2" i="1" s="1"/>
  <c r="O3" i="1"/>
  <c r="P3" i="1"/>
  <c r="O4" i="1"/>
  <c r="P4" i="1"/>
  <c r="O5" i="1"/>
  <c r="P5" i="1"/>
  <c r="P6" i="1"/>
  <c r="P7" i="1"/>
  <c r="P8" i="1"/>
  <c r="O9" i="1"/>
  <c r="P9" i="1"/>
  <c r="O10" i="1"/>
  <c r="P10" i="1"/>
  <c r="P11" i="1"/>
  <c r="P2" i="1"/>
  <c r="Q9" i="1" l="1"/>
  <c r="Q5" i="1"/>
  <c r="Q10" i="1"/>
  <c r="Q4" i="1"/>
  <c r="Q3" i="1"/>
  <c r="Q2" i="1"/>
</calcChain>
</file>

<file path=xl/sharedStrings.xml><?xml version="1.0" encoding="utf-8"?>
<sst xmlns="http://schemas.openxmlformats.org/spreadsheetml/2006/main" count="28" uniqueCount="28">
  <si>
    <t>Author</t>
  </si>
  <si>
    <t>Year</t>
  </si>
  <si>
    <t>Fiber Mean</t>
  </si>
  <si>
    <t>Fiber SD</t>
  </si>
  <si>
    <t>Fiber Total</t>
  </si>
  <si>
    <t>Control Mean</t>
  </si>
  <si>
    <t>Control SD</t>
  </si>
  <si>
    <t>Control Total</t>
  </si>
  <si>
    <t>Weight</t>
  </si>
  <si>
    <t>ES</t>
  </si>
  <si>
    <t>CI_lower</t>
  </si>
  <si>
    <t>CI_upper</t>
  </si>
  <si>
    <t>SE</t>
  </si>
  <si>
    <t>pooled_sd</t>
  </si>
  <si>
    <t>Karlander</t>
  </si>
  <si>
    <t>Ziai</t>
  </si>
  <si>
    <t>Cho</t>
  </si>
  <si>
    <t>Uusitupa</t>
  </si>
  <si>
    <t>Holman</t>
  </si>
  <si>
    <t>Chandalia</t>
  </si>
  <si>
    <t>Feldheim</t>
  </si>
  <si>
    <t>Jenkins</t>
  </si>
  <si>
    <t>Chuang</t>
  </si>
  <si>
    <t>Hagander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</si>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</sst>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1A52-157A-4055-B309-382C566D9CAD}">
  <dimension ref="A1:R11"/>
  <sheetViews>
    <sheetView tabSelected="1" topLeftCell="E1" workbookViewId="0">
      <selection activeCell="Q8" sqref="Q8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24</v>
      </c>
      <c r="P1" t="s">
        <v>25</v>
      </c>
      <c r="Q1" t="s">
        <v>26</v>
      </c>
      <c r="R1" t="s">
        <v>27</v>
      </c>
    </row>
    <row r="2" spans="1:18" x14ac:dyDescent="0.25">
      <c r="A2" t="s">
        <v>14</v>
      </c>
      <c r="B2">
        <v>1991</v>
      </c>
      <c r="C2">
        <v>6.9</v>
      </c>
      <c r="D2">
        <v>1.3</v>
      </c>
      <c r="E2">
        <v>5</v>
      </c>
      <c r="F2">
        <v>7</v>
      </c>
      <c r="G2">
        <v>1.8</v>
      </c>
      <c r="H2">
        <v>5</v>
      </c>
      <c r="I2" s="1">
        <v>1.6E-2</v>
      </c>
      <c r="J2">
        <v>0.1</v>
      </c>
      <c r="K2">
        <v>-1.85</v>
      </c>
      <c r="L2">
        <v>2.0499999999999998</v>
      </c>
      <c r="M2">
        <v>0.994897959</v>
      </c>
      <c r="N2">
        <f>M2/SQRT(1/E2+1/H2)</f>
        <v>1.5730717949464081</v>
      </c>
      <c r="O2">
        <f>J2/N2</f>
        <v>6.3569889385377248E-2</v>
      </c>
      <c r="P2">
        <f t="shared" ref="P2:P11" si="0">1-3/(4*(H2+E2-2)-1)</f>
        <v>0.90322580645161288</v>
      </c>
      <c r="Q2">
        <f t="shared" ref="Q2:Q11" si="1">P2*O2</f>
        <v>5.741796460614719E-2</v>
      </c>
      <c r="R2">
        <f>P2*M2/N2</f>
        <v>0.57125015796590073</v>
      </c>
    </row>
    <row r="3" spans="1:18" x14ac:dyDescent="0.25">
      <c r="A3" t="s">
        <v>15</v>
      </c>
      <c r="B3">
        <v>2005</v>
      </c>
      <c r="C3">
        <v>8.9</v>
      </c>
      <c r="D3">
        <v>0.9</v>
      </c>
      <c r="E3">
        <v>21</v>
      </c>
      <c r="F3">
        <v>10.5</v>
      </c>
      <c r="G3">
        <v>2.2999999999999998</v>
      </c>
      <c r="H3">
        <v>15</v>
      </c>
      <c r="I3" s="1">
        <v>4.1000000000000002E-2</v>
      </c>
      <c r="J3">
        <v>1.6</v>
      </c>
      <c r="K3">
        <v>0.37</v>
      </c>
      <c r="L3">
        <v>2.63</v>
      </c>
      <c r="M3">
        <v>0.576530612</v>
      </c>
      <c r="N3">
        <f t="shared" ref="N3:N11" si="2">M3/SQRT(1/E3+1/H3)</f>
        <v>1.7054005489956245</v>
      </c>
      <c r="O3">
        <f t="shared" ref="O3:O11" si="3">J3/N3</f>
        <v>0.93819601555910204</v>
      </c>
      <c r="P3">
        <f t="shared" si="0"/>
        <v>0.97777777777777775</v>
      </c>
      <c r="Q3">
        <f t="shared" si="1"/>
        <v>0.91734721521334417</v>
      </c>
      <c r="R3">
        <f>P3*M3/N3</f>
        <v>0.33054921962715311</v>
      </c>
    </row>
    <row r="4" spans="1:18" x14ac:dyDescent="0.25">
      <c r="A4" t="s">
        <v>16</v>
      </c>
      <c r="B4">
        <v>2005</v>
      </c>
      <c r="C4">
        <v>7.3</v>
      </c>
      <c r="D4">
        <v>1.2</v>
      </c>
      <c r="E4">
        <v>15</v>
      </c>
      <c r="F4">
        <v>8.4</v>
      </c>
      <c r="G4">
        <v>1.5</v>
      </c>
      <c r="H4">
        <v>15</v>
      </c>
      <c r="I4" s="1">
        <v>4.8000000000000001E-2</v>
      </c>
      <c r="J4">
        <v>1</v>
      </c>
      <c r="K4">
        <v>-0.14000000000000001</v>
      </c>
      <c r="L4">
        <v>2</v>
      </c>
      <c r="M4">
        <v>0.54591836699999996</v>
      </c>
      <c r="N4">
        <f t="shared" si="2"/>
        <v>1.4950590208114194</v>
      </c>
      <c r="O4">
        <f t="shared" si="3"/>
        <v>0.66886991488621361</v>
      </c>
      <c r="P4">
        <f t="shared" si="0"/>
        <v>0.97297297297297303</v>
      </c>
      <c r="Q4">
        <f t="shared" si="1"/>
        <v>0.65079234961901866</v>
      </c>
      <c r="R4">
        <f>P4*M4/N4</f>
        <v>0.35527949676010778</v>
      </c>
    </row>
    <row r="5" spans="1:18" x14ac:dyDescent="0.25">
      <c r="A5" t="s">
        <v>17</v>
      </c>
      <c r="B5">
        <v>1989</v>
      </c>
      <c r="C5">
        <v>8.4</v>
      </c>
      <c r="D5">
        <v>1.2</v>
      </c>
      <c r="E5">
        <v>20</v>
      </c>
      <c r="F5">
        <v>9.4</v>
      </c>
      <c r="G5">
        <v>1.9</v>
      </c>
      <c r="H5">
        <v>19</v>
      </c>
      <c r="I5" s="1">
        <v>6.2E-2</v>
      </c>
      <c r="J5">
        <v>1</v>
      </c>
      <c r="K5">
        <v>0</v>
      </c>
      <c r="L5">
        <v>2</v>
      </c>
      <c r="M5">
        <v>0.510204082</v>
      </c>
      <c r="N5">
        <f t="shared" si="2"/>
        <v>1.5925879439549524</v>
      </c>
      <c r="O5">
        <f t="shared" si="3"/>
        <v>0.62790880955474937</v>
      </c>
      <c r="P5">
        <f t="shared" si="0"/>
        <v>0.97959183673469385</v>
      </c>
      <c r="Q5">
        <f t="shared" si="1"/>
        <v>0.61509434405363206</v>
      </c>
      <c r="R5">
        <f>P5*M5/N5</f>
        <v>0.31382364515127548</v>
      </c>
    </row>
    <row r="6" spans="1:18" x14ac:dyDescent="0.25">
      <c r="A6" t="s">
        <v>18</v>
      </c>
      <c r="B6">
        <v>1987</v>
      </c>
      <c r="C6">
        <v>8.1</v>
      </c>
      <c r="D6">
        <v>2</v>
      </c>
      <c r="E6">
        <v>29</v>
      </c>
      <c r="F6">
        <v>7.9</v>
      </c>
      <c r="G6">
        <v>1.8</v>
      </c>
      <c r="H6">
        <v>29</v>
      </c>
      <c r="I6" s="1">
        <v>6.5000000000000002E-2</v>
      </c>
      <c r="J6">
        <v>-0.2</v>
      </c>
      <c r="K6">
        <v>-1.18</v>
      </c>
      <c r="L6">
        <v>0.78</v>
      </c>
      <c r="M6">
        <v>0.5</v>
      </c>
      <c r="N6">
        <f t="shared" si="2"/>
        <v>1.9039432764659772</v>
      </c>
      <c r="O6">
        <f t="shared" si="3"/>
        <v>-0.10504514628777804</v>
      </c>
      <c r="P6">
        <f t="shared" si="0"/>
        <v>0.98654708520179368</v>
      </c>
      <c r="Q6">
        <f t="shared" si="1"/>
        <v>-0.10363198288480345</v>
      </c>
      <c r="R6">
        <f>P6*M6/N6</f>
        <v>0.2590799572120086</v>
      </c>
    </row>
    <row r="7" spans="1:18" x14ac:dyDescent="0.25">
      <c r="A7" t="s">
        <v>19</v>
      </c>
      <c r="B7">
        <v>2000</v>
      </c>
      <c r="C7">
        <v>6.9</v>
      </c>
      <c r="D7">
        <v>1.2</v>
      </c>
      <c r="E7">
        <v>13</v>
      </c>
      <c r="F7">
        <v>7.2</v>
      </c>
      <c r="G7">
        <v>1.3</v>
      </c>
      <c r="H7">
        <v>13</v>
      </c>
      <c r="I7" s="1">
        <v>6.7000000000000004E-2</v>
      </c>
      <c r="J7">
        <v>0.3</v>
      </c>
      <c r="K7">
        <v>-0.66</v>
      </c>
      <c r="L7">
        <v>1.26</v>
      </c>
      <c r="M7">
        <v>0.489795918</v>
      </c>
      <c r="N7">
        <f t="shared" si="2"/>
        <v>1.2487394717800457</v>
      </c>
      <c r="O7">
        <f t="shared" si="3"/>
        <v>0.24024226572445714</v>
      </c>
      <c r="P7">
        <f t="shared" si="0"/>
        <v>0.96842105263157896</v>
      </c>
      <c r="Q7">
        <f t="shared" si="1"/>
        <v>0.23265566785947428</v>
      </c>
      <c r="R7">
        <f>P7*M7/N7</f>
        <v>0.37984598805711434</v>
      </c>
    </row>
    <row r="8" spans="1:18" x14ac:dyDescent="0.25">
      <c r="A8" t="s">
        <v>20</v>
      </c>
      <c r="B8">
        <v>2003</v>
      </c>
      <c r="C8">
        <v>5.2</v>
      </c>
      <c r="D8">
        <v>0.5</v>
      </c>
      <c r="E8">
        <v>11</v>
      </c>
      <c r="F8">
        <v>5.4</v>
      </c>
      <c r="G8">
        <v>1</v>
      </c>
      <c r="H8">
        <v>8</v>
      </c>
      <c r="I8" s="1">
        <v>0.109</v>
      </c>
      <c r="J8">
        <v>0.2</v>
      </c>
      <c r="K8">
        <v>-0.55000000000000004</v>
      </c>
      <c r="L8">
        <v>0.95</v>
      </c>
      <c r="M8">
        <v>0.38265306100000002</v>
      </c>
      <c r="N8">
        <f t="shared" si="2"/>
        <v>0.82351161204080736</v>
      </c>
      <c r="O8">
        <f t="shared" si="3"/>
        <v>0.24286239207285087</v>
      </c>
      <c r="P8">
        <f t="shared" si="0"/>
        <v>0.95522388059701491</v>
      </c>
      <c r="Q8">
        <f t="shared" si="1"/>
        <v>0.23198795660690233</v>
      </c>
      <c r="R8">
        <f>P8*M8/N8</f>
        <v>0.44385450855383174</v>
      </c>
    </row>
    <row r="9" spans="1:18" x14ac:dyDescent="0.25">
      <c r="A9" t="s">
        <v>21</v>
      </c>
      <c r="B9">
        <v>2002</v>
      </c>
      <c r="C9">
        <v>7.2</v>
      </c>
      <c r="D9">
        <v>1</v>
      </c>
      <c r="E9">
        <v>23</v>
      </c>
      <c r="F9">
        <v>7.4</v>
      </c>
      <c r="G9">
        <v>1.4</v>
      </c>
      <c r="H9">
        <v>23</v>
      </c>
      <c r="I9" s="1">
        <v>0.125</v>
      </c>
      <c r="J9">
        <v>0.2</v>
      </c>
      <c r="K9">
        <v>-0.5</v>
      </c>
      <c r="L9">
        <v>0.9</v>
      </c>
      <c r="M9">
        <v>0.35714285699999998</v>
      </c>
      <c r="N9">
        <f t="shared" si="2"/>
        <v>1.2111303536450599</v>
      </c>
      <c r="O9">
        <f t="shared" si="3"/>
        <v>0.16513499095953882</v>
      </c>
      <c r="P9">
        <f t="shared" si="0"/>
        <v>0.98285714285714287</v>
      </c>
      <c r="Q9">
        <f t="shared" si="1"/>
        <v>0.16230410540023243</v>
      </c>
      <c r="R9">
        <f>P9*M9/N9</f>
        <v>0.28982875952734066</v>
      </c>
    </row>
    <row r="10" spans="1:18" x14ac:dyDescent="0.25">
      <c r="A10" t="s">
        <v>22</v>
      </c>
      <c r="B10">
        <v>1992</v>
      </c>
      <c r="C10">
        <v>6.9</v>
      </c>
      <c r="D10">
        <v>0.8</v>
      </c>
      <c r="E10">
        <v>16</v>
      </c>
      <c r="F10">
        <v>7.2</v>
      </c>
      <c r="G10">
        <v>0.8</v>
      </c>
      <c r="H10">
        <v>16</v>
      </c>
      <c r="I10" s="1">
        <v>0.20200000000000001</v>
      </c>
      <c r="J10">
        <v>0.3</v>
      </c>
      <c r="K10">
        <v>-0.25</v>
      </c>
      <c r="L10">
        <v>0.85</v>
      </c>
      <c r="M10">
        <v>0.28061224499999998</v>
      </c>
      <c r="N10">
        <f t="shared" si="2"/>
        <v>0.79369128529392341</v>
      </c>
      <c r="O10">
        <f t="shared" si="3"/>
        <v>0.3779807156240888</v>
      </c>
      <c r="P10">
        <f t="shared" si="0"/>
        <v>0.97478991596638653</v>
      </c>
      <c r="Q10">
        <f t="shared" si="1"/>
        <v>0.36845179002012018</v>
      </c>
      <c r="R10">
        <f>P10*M10/N10</f>
        <v>0.34464027990604834</v>
      </c>
    </row>
    <row r="11" spans="1:18" x14ac:dyDescent="0.25">
      <c r="A11" t="s">
        <v>23</v>
      </c>
      <c r="B11">
        <v>1988</v>
      </c>
      <c r="C11">
        <v>5.3</v>
      </c>
      <c r="D11">
        <v>0.6</v>
      </c>
      <c r="E11">
        <v>14</v>
      </c>
      <c r="F11">
        <v>5.2</v>
      </c>
      <c r="G11">
        <v>0.7</v>
      </c>
      <c r="H11">
        <v>14</v>
      </c>
      <c r="I11" s="1">
        <v>0.26600000000000001</v>
      </c>
      <c r="J11">
        <v>-0.1</v>
      </c>
      <c r="K11">
        <v>-0.57999999999999996</v>
      </c>
      <c r="L11">
        <v>0.38</v>
      </c>
      <c r="M11">
        <v>0.244897959</v>
      </c>
      <c r="N11">
        <f t="shared" si="2"/>
        <v>0.64793909610129241</v>
      </c>
      <c r="O11">
        <f t="shared" si="3"/>
        <v>-0.15433549326118606</v>
      </c>
      <c r="P11">
        <f t="shared" si="0"/>
        <v>0.970873786407767</v>
      </c>
      <c r="Q11">
        <f t="shared" si="1"/>
        <v>-0.14984028471959812</v>
      </c>
      <c r="R11">
        <f>P11*M11/N11</f>
        <v>0.36695579903808467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post_fiber_ghg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2025-10-18T21:03:37Z</dcterms:created>
  <dcterms:modified xsi:type="dcterms:W3CDTF">2025-12-30T01:10:12Z</dcterms:modified>
</cp:coreProperties>
</file>