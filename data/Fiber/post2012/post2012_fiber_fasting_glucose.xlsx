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Fiber\post2012\"/>
    </mc:Choice>
  </mc:AlternateContent>
  <xr:revisionPtr revIDLastSave="0" documentId="13_ncr:1_{1D59FC8B-BCDA-4B37-ABC0-993B7C1D9BD2}" xr6:coauthVersionLast="47" xr6:coauthVersionMax="47" xr10:uidLastSave="{00000000-0000-0000-0000-000000000000}"/>
  <bookViews>
    <workbookView xWindow="38280" yWindow="2820" windowWidth="29040" windowHeight="16440" xr2:uid="{E850402D-E9B4-404F-BB35-CE1DEB0C583C}"/>
  </bookViews>
  <sheets>
    <sheet name="post_fiber_fb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2" i="1"/>
  <c r="N3" i="1"/>
  <c r="N4" i="1"/>
  <c r="N5" i="1"/>
  <c r="N6" i="1"/>
  <c r="N7" i="1"/>
  <c r="N8" i="1"/>
  <c r="N9" i="1"/>
  <c r="N10" i="1"/>
  <c r="N11" i="1"/>
  <c r="N12" i="1"/>
  <c r="N13" i="1"/>
  <c r="N14" i="1"/>
  <c r="N2" i="1"/>
  <c r="O3" i="1" l="1"/>
  <c r="P3" i="1"/>
  <c r="Q3" i="1" s="1"/>
  <c r="O4" i="1"/>
  <c r="P4" i="1"/>
  <c r="Q4" i="1" s="1"/>
  <c r="O5" i="1"/>
  <c r="P5" i="1"/>
  <c r="O6" i="1"/>
  <c r="P6" i="1"/>
  <c r="O7" i="1"/>
  <c r="P7" i="1"/>
  <c r="Q7" i="1"/>
  <c r="O8" i="1"/>
  <c r="P8" i="1"/>
  <c r="Q8" i="1" s="1"/>
  <c r="O9" i="1"/>
  <c r="P9" i="1"/>
  <c r="Q9" i="1" s="1"/>
  <c r="O10" i="1"/>
  <c r="P10" i="1"/>
  <c r="Q10" i="1"/>
  <c r="O11" i="1"/>
  <c r="P11" i="1"/>
  <c r="Q11" i="1" s="1"/>
  <c r="O12" i="1"/>
  <c r="P12" i="1"/>
  <c r="Q12" i="1" s="1"/>
  <c r="O13" i="1"/>
  <c r="P13" i="1"/>
  <c r="O14" i="1"/>
  <c r="P14" i="1"/>
  <c r="O2" i="1"/>
  <c r="P2" i="1"/>
  <c r="Q5" i="1" l="1"/>
  <c r="Q2" i="1"/>
  <c r="Q13" i="1"/>
  <c r="Q14" i="1"/>
  <c r="Q6" i="1"/>
</calcChain>
</file>

<file path=xl/sharedStrings.xml><?xml version="1.0" encoding="utf-8"?>
<sst xmlns="http://schemas.openxmlformats.org/spreadsheetml/2006/main" count="31" uniqueCount="31">
  <si>
    <t>Author</t>
  </si>
  <si>
    <t>Year</t>
  </si>
  <si>
    <t>Fiber Mean</t>
  </si>
  <si>
    <t>Fiber SD</t>
  </si>
  <si>
    <t>Fiber Total</t>
  </si>
  <si>
    <t>Control Mean</t>
  </si>
  <si>
    <t>Control SD</t>
  </si>
  <si>
    <t>Control Total</t>
  </si>
  <si>
    <t>Weight</t>
  </si>
  <si>
    <t>ES</t>
  </si>
  <si>
    <t>CI_lower</t>
  </si>
  <si>
    <t>CI_upper</t>
  </si>
  <si>
    <t>SE</t>
  </si>
  <si>
    <t>pooled_sd</t>
  </si>
  <si>
    <t>Ziai</t>
  </si>
  <si>
    <t>Hollenbeck</t>
  </si>
  <si>
    <t>Karlander</t>
  </si>
  <si>
    <t>Lalor</t>
  </si>
  <si>
    <t>Cho</t>
  </si>
  <si>
    <t>Uusitupa</t>
  </si>
  <si>
    <t>Feldheim</t>
  </si>
  <si>
    <t>Karlstrom</t>
  </si>
  <si>
    <t>Chuang</t>
  </si>
  <si>
    <t>Ikem</t>
  </si>
  <si>
    <t>Jenkins</t>
  </si>
  <si>
    <t>Hagander</t>
  </si>
  <si>
    <t>Lu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</si>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</sst>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9D66F-8C9A-44F6-A5FC-0D38BDF8B5F9}">
  <dimension ref="A1:R14"/>
  <sheetViews>
    <sheetView tabSelected="1" topLeftCell="E1" workbookViewId="0">
      <selection activeCell="R9" sqref="R9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27</v>
      </c>
      <c r="P1" t="s">
        <v>28</v>
      </c>
      <c r="Q1" t="s">
        <v>29</v>
      </c>
      <c r="R1" t="s">
        <v>30</v>
      </c>
    </row>
    <row r="2" spans="1:18" x14ac:dyDescent="0.25">
      <c r="A2" t="s">
        <v>14</v>
      </c>
      <c r="B2">
        <v>2005</v>
      </c>
      <c r="C2">
        <v>8.6</v>
      </c>
      <c r="D2">
        <v>2</v>
      </c>
      <c r="E2">
        <v>21</v>
      </c>
      <c r="F2">
        <v>12</v>
      </c>
      <c r="G2">
        <v>6.4</v>
      </c>
      <c r="H2">
        <v>15</v>
      </c>
      <c r="I2" s="1">
        <v>1.4E-2</v>
      </c>
      <c r="J2">
        <v>3.4</v>
      </c>
      <c r="K2">
        <v>0.05</v>
      </c>
      <c r="L2">
        <v>6.75</v>
      </c>
      <c r="M2">
        <v>1.7091836730000001</v>
      </c>
      <c r="N2">
        <f>M2/SQRT(1/E2+1/H2)</f>
        <v>5.0558334867196235</v>
      </c>
      <c r="O2">
        <f>J2/N2</f>
        <v>0.67249050209642525</v>
      </c>
      <c r="P2">
        <f t="shared" ref="P2:P14" si="0">1-3/(4*(H2+E2-2)-1)</f>
        <v>0.97777777777777775</v>
      </c>
      <c r="Q2">
        <f t="shared" ref="Q2:Q14" si="1">P2*O2</f>
        <v>0.65754626871650468</v>
      </c>
      <c r="R2">
        <f>P2*M2/N2</f>
        <v>0.33054921962715306</v>
      </c>
    </row>
    <row r="3" spans="1:18" x14ac:dyDescent="0.25">
      <c r="A3" t="s">
        <v>15</v>
      </c>
      <c r="B3">
        <v>1986</v>
      </c>
      <c r="C3">
        <v>10.8</v>
      </c>
      <c r="D3">
        <v>2.2999999999999998</v>
      </c>
      <c r="E3">
        <v>6</v>
      </c>
      <c r="F3">
        <v>8.8000000000000007</v>
      </c>
      <c r="G3">
        <v>2.6</v>
      </c>
      <c r="H3">
        <v>6</v>
      </c>
      <c r="I3" s="1">
        <v>0.02</v>
      </c>
      <c r="J3">
        <v>-1</v>
      </c>
      <c r="K3">
        <v>-3.78</v>
      </c>
      <c r="L3">
        <v>1.78</v>
      </c>
      <c r="M3">
        <v>1.418367347</v>
      </c>
      <c r="N3">
        <f t="shared" ref="N3:N14" si="2">M3/SQRT(1/E3+1/H3)</f>
        <v>2.4566843088006762</v>
      </c>
      <c r="O3">
        <f t="shared" ref="O3:O14" si="3">J3/N3</f>
        <v>-0.40705270775641011</v>
      </c>
      <c r="P3">
        <f t="shared" si="0"/>
        <v>0.92307692307692313</v>
      </c>
      <c r="Q3">
        <f t="shared" si="1"/>
        <v>-0.37574096100591703</v>
      </c>
      <c r="R3">
        <f>P3*M3/N3</f>
        <v>0.53293871002119297</v>
      </c>
    </row>
    <row r="4" spans="1:18" x14ac:dyDescent="0.25">
      <c r="A4" t="s">
        <v>16</v>
      </c>
      <c r="B4">
        <v>1991</v>
      </c>
      <c r="C4">
        <v>8.1</v>
      </c>
      <c r="D4">
        <v>1.8</v>
      </c>
      <c r="E4">
        <v>6</v>
      </c>
      <c r="F4">
        <v>8.6</v>
      </c>
      <c r="G4">
        <v>2.2000000000000002</v>
      </c>
      <c r="H4">
        <v>5</v>
      </c>
      <c r="I4" s="1">
        <v>2.5000000000000001E-2</v>
      </c>
      <c r="J4">
        <v>0.4</v>
      </c>
      <c r="K4">
        <v>-2.09</v>
      </c>
      <c r="L4">
        <v>2.89</v>
      </c>
      <c r="M4">
        <v>1.2704081629999999</v>
      </c>
      <c r="N4">
        <f t="shared" si="2"/>
        <v>2.0980100315756145</v>
      </c>
      <c r="O4">
        <f t="shared" si="3"/>
        <v>0.19065685767936882</v>
      </c>
      <c r="P4">
        <f t="shared" si="0"/>
        <v>0.91428571428571426</v>
      </c>
      <c r="Q4">
        <f t="shared" si="1"/>
        <v>0.17431484130685149</v>
      </c>
      <c r="R4">
        <f>P4*M4/N4</f>
        <v>0.55362749332068428</v>
      </c>
    </row>
    <row r="5" spans="1:18" x14ac:dyDescent="0.25">
      <c r="A5" t="s">
        <v>17</v>
      </c>
      <c r="B5">
        <v>1990</v>
      </c>
      <c r="C5">
        <v>9.5</v>
      </c>
      <c r="D5">
        <v>3.9</v>
      </c>
      <c r="E5">
        <v>19</v>
      </c>
      <c r="F5">
        <v>11.4</v>
      </c>
      <c r="G5">
        <v>3.7</v>
      </c>
      <c r="H5">
        <v>19</v>
      </c>
      <c r="I5" s="1">
        <v>2.7E-2</v>
      </c>
      <c r="J5">
        <v>1.9</v>
      </c>
      <c r="K5">
        <v>-0.52</v>
      </c>
      <c r="L5">
        <v>4.32</v>
      </c>
      <c r="M5">
        <v>1.2346938780000001</v>
      </c>
      <c r="N5">
        <f t="shared" si="2"/>
        <v>3.8055821154616347</v>
      </c>
      <c r="O5">
        <f t="shared" si="3"/>
        <v>0.49926658848866307</v>
      </c>
      <c r="P5">
        <f t="shared" si="0"/>
        <v>0.97902097902097907</v>
      </c>
      <c r="Q5">
        <f t="shared" si="1"/>
        <v>0.48879246425463518</v>
      </c>
      <c r="R5">
        <f>P5*M5/N5</f>
        <v>0.31763634906722737</v>
      </c>
    </row>
    <row r="6" spans="1:18" x14ac:dyDescent="0.25">
      <c r="A6" t="s">
        <v>18</v>
      </c>
      <c r="B6">
        <v>2005</v>
      </c>
      <c r="C6">
        <v>8.4</v>
      </c>
      <c r="D6">
        <v>2.7</v>
      </c>
      <c r="E6">
        <v>15</v>
      </c>
      <c r="F6">
        <v>9.5</v>
      </c>
      <c r="G6">
        <v>3.6</v>
      </c>
      <c r="H6">
        <v>15</v>
      </c>
      <c r="I6" s="1">
        <v>0.03</v>
      </c>
      <c r="J6">
        <v>1.1000000000000001</v>
      </c>
      <c r="K6">
        <v>-1.18</v>
      </c>
      <c r="L6">
        <v>3.38</v>
      </c>
      <c r="M6">
        <v>1.163265306</v>
      </c>
      <c r="N6">
        <f t="shared" si="2"/>
        <v>3.1857332422967484</v>
      </c>
      <c r="O6">
        <f t="shared" si="3"/>
        <v>0.34528942517702993</v>
      </c>
      <c r="P6">
        <f t="shared" si="0"/>
        <v>0.97297297297297303</v>
      </c>
      <c r="Q6">
        <f t="shared" si="1"/>
        <v>0.33595727855062374</v>
      </c>
      <c r="R6">
        <f>P6*M6/N6</f>
        <v>0.35527949676010773</v>
      </c>
    </row>
    <row r="7" spans="1:18" x14ac:dyDescent="0.25">
      <c r="A7" t="s">
        <v>19</v>
      </c>
      <c r="B7">
        <v>1989</v>
      </c>
      <c r="C7">
        <v>12</v>
      </c>
      <c r="D7">
        <v>2.2999999999999998</v>
      </c>
      <c r="E7">
        <v>20</v>
      </c>
      <c r="F7">
        <v>13.9</v>
      </c>
      <c r="G7">
        <v>3.5</v>
      </c>
      <c r="H7">
        <v>19</v>
      </c>
      <c r="I7" s="1">
        <v>4.3999999999999997E-2</v>
      </c>
      <c r="J7">
        <v>1.9</v>
      </c>
      <c r="K7">
        <v>0.03</v>
      </c>
      <c r="L7">
        <v>3.77</v>
      </c>
      <c r="M7">
        <v>0.95408163300000004</v>
      </c>
      <c r="N7">
        <f t="shared" si="2"/>
        <v>2.9781394541344604</v>
      </c>
      <c r="O7">
        <f t="shared" si="3"/>
        <v>0.63798221314394388</v>
      </c>
      <c r="P7">
        <f t="shared" si="0"/>
        <v>0.97959183673469385</v>
      </c>
      <c r="Q7">
        <f t="shared" si="1"/>
        <v>0.62496216797774096</v>
      </c>
      <c r="R7">
        <f>P7*M7/N7</f>
        <v>0.31382364515127548</v>
      </c>
    </row>
    <row r="8" spans="1:18" x14ac:dyDescent="0.25">
      <c r="A8" t="s">
        <v>20</v>
      </c>
      <c r="B8">
        <v>2003</v>
      </c>
      <c r="C8">
        <v>4.7</v>
      </c>
      <c r="D8">
        <v>1.1000000000000001</v>
      </c>
      <c r="E8">
        <v>11</v>
      </c>
      <c r="F8">
        <v>5.7</v>
      </c>
      <c r="G8">
        <v>2.4</v>
      </c>
      <c r="H8">
        <v>11</v>
      </c>
      <c r="I8" s="1">
        <v>4.9000000000000002E-2</v>
      </c>
      <c r="J8">
        <v>1</v>
      </c>
      <c r="K8">
        <v>-0.79</v>
      </c>
      <c r="L8">
        <v>2.79</v>
      </c>
      <c r="M8">
        <v>0.913265306</v>
      </c>
      <c r="N8">
        <f t="shared" si="2"/>
        <v>2.1417969920811832</v>
      </c>
      <c r="O8">
        <f t="shared" si="3"/>
        <v>0.4668976582268427</v>
      </c>
      <c r="P8">
        <f t="shared" si="0"/>
        <v>0.96202531645569622</v>
      </c>
      <c r="Q8">
        <f t="shared" si="1"/>
        <v>0.44916736740810187</v>
      </c>
      <c r="R8">
        <f>P8*M8/N8</f>
        <v>0.41020897324117456</v>
      </c>
    </row>
    <row r="9" spans="1:18" x14ac:dyDescent="0.25">
      <c r="A9" t="s">
        <v>21</v>
      </c>
      <c r="B9">
        <v>1984</v>
      </c>
      <c r="C9">
        <v>9.5</v>
      </c>
      <c r="D9">
        <v>2.2000000000000002</v>
      </c>
      <c r="E9">
        <v>14</v>
      </c>
      <c r="F9">
        <v>10.1</v>
      </c>
      <c r="G9">
        <v>2.2000000000000002</v>
      </c>
      <c r="H9">
        <v>14</v>
      </c>
      <c r="I9" s="1">
        <v>5.8999999999999997E-2</v>
      </c>
      <c r="J9">
        <v>0.6</v>
      </c>
      <c r="K9">
        <v>-1.03</v>
      </c>
      <c r="L9">
        <v>2.23</v>
      </c>
      <c r="M9">
        <v>0.831632653</v>
      </c>
      <c r="N9">
        <f t="shared" si="2"/>
        <v>2.200293181998874</v>
      </c>
      <c r="O9">
        <f t="shared" si="3"/>
        <v>0.27269093269421724</v>
      </c>
      <c r="P9">
        <f t="shared" si="0"/>
        <v>0.970873786407767</v>
      </c>
      <c r="Q9">
        <f t="shared" si="1"/>
        <v>0.26474847834390025</v>
      </c>
      <c r="R9">
        <f>P9*M9/N9</f>
        <v>0.36695579903808462</v>
      </c>
    </row>
    <row r="10" spans="1:18" x14ac:dyDescent="0.25">
      <c r="A10" t="s">
        <v>22</v>
      </c>
      <c r="B10">
        <v>1992</v>
      </c>
      <c r="C10">
        <v>8.4</v>
      </c>
      <c r="D10">
        <v>1.8</v>
      </c>
      <c r="E10">
        <v>16</v>
      </c>
      <c r="F10">
        <v>9.4</v>
      </c>
      <c r="G10">
        <v>2.7</v>
      </c>
      <c r="H10">
        <v>16</v>
      </c>
      <c r="I10" s="1">
        <v>6.0999999999999999E-2</v>
      </c>
      <c r="J10">
        <v>1</v>
      </c>
      <c r="K10">
        <v>-0.59</v>
      </c>
      <c r="L10">
        <v>2.59</v>
      </c>
      <c r="M10">
        <v>0.81122448999999996</v>
      </c>
      <c r="N10">
        <f t="shared" si="2"/>
        <v>2.2944893517743941</v>
      </c>
      <c r="O10">
        <f t="shared" si="3"/>
        <v>0.43582682099904779</v>
      </c>
      <c r="P10">
        <f t="shared" si="0"/>
        <v>0.97478991596638653</v>
      </c>
      <c r="Q10">
        <f t="shared" si="1"/>
        <v>0.42483959021755918</v>
      </c>
      <c r="R10">
        <f>P10*M10/N10</f>
        <v>0.3446402799060484</v>
      </c>
    </row>
    <row r="11" spans="1:18" x14ac:dyDescent="0.25">
      <c r="A11" t="s">
        <v>23</v>
      </c>
      <c r="B11">
        <v>2007</v>
      </c>
      <c r="C11">
        <v>5.9</v>
      </c>
      <c r="D11">
        <v>1.3</v>
      </c>
      <c r="E11">
        <v>35</v>
      </c>
      <c r="F11">
        <v>8</v>
      </c>
      <c r="G11">
        <v>2.2999999999999998</v>
      </c>
      <c r="H11">
        <v>17</v>
      </c>
      <c r="I11" s="1">
        <v>0.113</v>
      </c>
      <c r="J11">
        <v>2.1</v>
      </c>
      <c r="K11">
        <v>0.92</v>
      </c>
      <c r="L11">
        <v>3.26</v>
      </c>
      <c r="M11">
        <v>0.596938776</v>
      </c>
      <c r="N11">
        <f t="shared" si="2"/>
        <v>2.0192337744415529</v>
      </c>
      <c r="O11">
        <f t="shared" si="3"/>
        <v>1.0399984521756447</v>
      </c>
      <c r="P11">
        <f t="shared" si="0"/>
        <v>0.98492462311557794</v>
      </c>
      <c r="Q11">
        <f t="shared" si="1"/>
        <v>1.0243200835498811</v>
      </c>
      <c r="R11">
        <f>P11*M11/N11</f>
        <v>0.29116970328880187</v>
      </c>
    </row>
    <row r="12" spans="1:18" x14ac:dyDescent="0.25">
      <c r="A12" t="s">
        <v>24</v>
      </c>
      <c r="B12">
        <v>2002</v>
      </c>
      <c r="C12">
        <v>7.5</v>
      </c>
      <c r="D12">
        <v>1.4</v>
      </c>
      <c r="E12">
        <v>23</v>
      </c>
      <c r="F12">
        <v>7.9</v>
      </c>
      <c r="G12">
        <v>1.9</v>
      </c>
      <c r="H12">
        <v>23</v>
      </c>
      <c r="I12" s="1">
        <v>0.16700000000000001</v>
      </c>
      <c r="J12">
        <v>0.4</v>
      </c>
      <c r="K12">
        <v>-0.56000000000000005</v>
      </c>
      <c r="L12">
        <v>1.36</v>
      </c>
      <c r="M12">
        <v>0.489795918</v>
      </c>
      <c r="N12">
        <f t="shared" si="2"/>
        <v>1.6609787701318826</v>
      </c>
      <c r="O12">
        <f t="shared" si="3"/>
        <v>0.24082186190028174</v>
      </c>
      <c r="P12">
        <f t="shared" si="0"/>
        <v>0.98285714285714287</v>
      </c>
      <c r="Q12">
        <f t="shared" si="1"/>
        <v>0.23669348712484833</v>
      </c>
      <c r="R12">
        <f>P12*M12/N12</f>
        <v>0.28982875952734066</v>
      </c>
    </row>
    <row r="13" spans="1:18" x14ac:dyDescent="0.25">
      <c r="A13" t="s">
        <v>25</v>
      </c>
      <c r="B13">
        <v>1988</v>
      </c>
      <c r="C13">
        <v>6.3</v>
      </c>
      <c r="D13">
        <v>1.2</v>
      </c>
      <c r="E13">
        <v>14</v>
      </c>
      <c r="F13">
        <v>6.7</v>
      </c>
      <c r="G13">
        <v>1.3</v>
      </c>
      <c r="H13">
        <v>14</v>
      </c>
      <c r="I13" s="1">
        <v>0.18099999999999999</v>
      </c>
      <c r="J13">
        <v>0.4</v>
      </c>
      <c r="K13">
        <v>-0.53</v>
      </c>
      <c r="L13">
        <v>1.33</v>
      </c>
      <c r="M13">
        <v>0.47448979600000002</v>
      </c>
      <c r="N13">
        <f t="shared" si="2"/>
        <v>1.2553819998537703</v>
      </c>
      <c r="O13">
        <f t="shared" si="3"/>
        <v>0.31862811482607917</v>
      </c>
      <c r="P13">
        <f t="shared" si="0"/>
        <v>0.970873786407767</v>
      </c>
      <c r="Q13">
        <f t="shared" si="1"/>
        <v>0.30934768429716425</v>
      </c>
      <c r="R13">
        <f>P13*M13/N13</f>
        <v>0.36695579903808467</v>
      </c>
    </row>
    <row r="14" spans="1:18" x14ac:dyDescent="0.25">
      <c r="A14" t="s">
        <v>26</v>
      </c>
      <c r="B14">
        <v>2004</v>
      </c>
      <c r="C14">
        <v>7</v>
      </c>
      <c r="D14">
        <v>1.2</v>
      </c>
      <c r="E14">
        <v>15</v>
      </c>
      <c r="F14">
        <v>7.6</v>
      </c>
      <c r="G14">
        <v>1.2</v>
      </c>
      <c r="H14">
        <v>15</v>
      </c>
      <c r="I14" s="1">
        <v>0.21099999999999999</v>
      </c>
      <c r="J14">
        <v>0.6</v>
      </c>
      <c r="K14">
        <v>-0.26</v>
      </c>
      <c r="L14">
        <v>1.46</v>
      </c>
      <c r="M14">
        <v>0.43877550999999998</v>
      </c>
      <c r="N14">
        <f t="shared" si="2"/>
        <v>1.2016362225391679</v>
      </c>
      <c r="O14">
        <f t="shared" si="3"/>
        <v>0.49931916893462547</v>
      </c>
      <c r="P14">
        <f t="shared" si="0"/>
        <v>0.97297297297297303</v>
      </c>
      <c r="Q14">
        <f t="shared" si="1"/>
        <v>0.48582405626071667</v>
      </c>
      <c r="R14">
        <f>P14*M14/N14</f>
        <v>0.35527949676010778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post_fiber_fbc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Hester</cp:lastModifiedBy>
  <dcterms:created xsi:type="dcterms:W3CDTF">2025-10-18T21:08:01Z</dcterms:created>
  <dcterms:modified xsi:type="dcterms:W3CDTF">2025-12-30T01:10:36Z</dcterms:modified>
</cp:coreProperties>
</file>