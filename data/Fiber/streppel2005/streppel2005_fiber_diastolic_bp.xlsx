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treppel2005\"/>
    </mc:Choice>
  </mc:AlternateContent>
  <xr:revisionPtr revIDLastSave="0" documentId="13_ncr:1_{0C034FAD-C9DE-41B6-8135-65696F7CAF98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8" i="1"/>
  <c r="P4" i="1" l="1"/>
  <c r="P3" i="1"/>
  <c r="P7" i="1"/>
  <c r="P5" i="1"/>
  <c r="P6" i="1"/>
  <c r="P2" i="1"/>
  <c r="P8" i="1"/>
  <c r="P20" i="1"/>
  <c r="P21" i="1"/>
  <c r="P22" i="1"/>
  <c r="P9" i="1"/>
  <c r="O6" i="1"/>
  <c r="P10" i="1"/>
  <c r="P24" i="1"/>
  <c r="P25" i="1"/>
  <c r="P11" i="1"/>
  <c r="P12" i="1"/>
  <c r="P13" i="1"/>
  <c r="P14" i="1"/>
  <c r="P15" i="1"/>
  <c r="O16" i="1"/>
  <c r="P16" i="1"/>
  <c r="P17" i="1"/>
  <c r="P18" i="1"/>
  <c r="P19" i="1"/>
  <c r="P23" i="1"/>
  <c r="N4" i="1"/>
  <c r="N3" i="1"/>
  <c r="N7" i="1"/>
  <c r="N5" i="1"/>
  <c r="N6" i="1"/>
  <c r="N2" i="1"/>
  <c r="L8" i="1"/>
  <c r="O8" i="1" s="1"/>
  <c r="L20" i="1"/>
  <c r="O20" i="1" s="1"/>
  <c r="Q20" i="1" s="1"/>
  <c r="L21" i="1"/>
  <c r="O21" i="1" s="1"/>
  <c r="L22" i="1"/>
  <c r="O22" i="1" s="1"/>
  <c r="L9" i="1"/>
  <c r="O9" i="1" s="1"/>
  <c r="L6" i="1"/>
  <c r="L5" i="1"/>
  <c r="L10" i="1"/>
  <c r="O10" i="1" s="1"/>
  <c r="L24" i="1"/>
  <c r="O24" i="1" s="1"/>
  <c r="L25" i="1"/>
  <c r="O25" i="1" s="1"/>
  <c r="L7" i="1"/>
  <c r="O7" i="1" s="1"/>
  <c r="L11" i="1"/>
  <c r="O11" i="1" s="1"/>
  <c r="L3" i="1"/>
  <c r="O3" i="1" s="1"/>
  <c r="Q3" i="1" s="1"/>
  <c r="L12" i="1"/>
  <c r="O12" i="1" s="1"/>
  <c r="L13" i="1"/>
  <c r="O13" i="1" s="1"/>
  <c r="L14" i="1"/>
  <c r="O14" i="1" s="1"/>
  <c r="L15" i="1"/>
  <c r="O15" i="1" s="1"/>
  <c r="L16" i="1"/>
  <c r="L17" i="1"/>
  <c r="O17" i="1" s="1"/>
  <c r="L18" i="1"/>
  <c r="O18" i="1" s="1"/>
  <c r="L4" i="1"/>
  <c r="L19" i="1"/>
  <c r="O19" i="1" s="1"/>
  <c r="L23" i="1"/>
  <c r="O23" i="1" s="1"/>
  <c r="L2" i="1"/>
  <c r="O2" i="1" s="1"/>
  <c r="Q2" i="1" s="1"/>
  <c r="O4" i="1" l="1"/>
  <c r="Q4" i="1" s="1"/>
  <c r="Q18" i="1"/>
  <c r="O5" i="1"/>
  <c r="Q5" i="1" s="1"/>
  <c r="Q15" i="1"/>
  <c r="Q9" i="1"/>
  <c r="Q23" i="1"/>
  <c r="Q12" i="1"/>
  <c r="Q10" i="1"/>
  <c r="Q24" i="1"/>
  <c r="Q8" i="1"/>
  <c r="Q14" i="1"/>
  <c r="Q11" i="1"/>
  <c r="Q22" i="1"/>
  <c r="Q17" i="1"/>
  <c r="Q13" i="1"/>
  <c r="Q6" i="1"/>
  <c r="Q19" i="1"/>
  <c r="Q21" i="1"/>
  <c r="Q16" i="1"/>
  <c r="Q7" i="1"/>
  <c r="Q25" i="1"/>
</calcChain>
</file>

<file path=xl/sharedStrings.xml><?xml version="1.0" encoding="utf-8"?>
<sst xmlns="http://schemas.openxmlformats.org/spreadsheetml/2006/main" count="116" uniqueCount="76">
  <si>
    <t>Author</t>
  </si>
  <si>
    <t>Year</t>
  </si>
  <si>
    <t>Design</t>
  </si>
  <si>
    <t>n</t>
  </si>
  <si>
    <t>wk</t>
  </si>
  <si>
    <t>Age, y</t>
  </si>
  <si>
    <t>Men, %</t>
  </si>
  <si>
    <t>BP, mm Hg</t>
  </si>
  <si>
    <t>Dose, g/d</t>
  </si>
  <si>
    <t>and Type</t>
  </si>
  <si>
    <t>Arvill</t>
  </si>
  <si>
    <t>C-DB</t>
  </si>
  <si>
    <t>140/85</t>
  </si>
  <si>
    <t>S-Soluble</t>
  </si>
  <si>
    <t>Birketvedt</t>
  </si>
  <si>
    <t>P-DB</t>
  </si>
  <si>
    <t>130/82</t>
  </si>
  <si>
    <t>S-Insoluble</t>
  </si>
  <si>
    <t>Brussaarda</t>
  </si>
  <si>
    <t>P-O</t>
  </si>
  <si>
    <t>125/61</t>
  </si>
  <si>
    <t>Brussaardb</t>
  </si>
  <si>
    <t>126/64</t>
  </si>
  <si>
    <t>Burke</t>
  </si>
  <si>
    <t>133/76</t>
  </si>
  <si>
    <t>Eliasson</t>
  </si>
  <si>
    <t>149/100</t>
  </si>
  <si>
    <t>Fehily</t>
  </si>
  <si>
    <t>C-SB</t>
  </si>
  <si>
    <t>132/80</t>
  </si>
  <si>
    <t>D-Soluble</t>
  </si>
  <si>
    <t>Hagander</t>
  </si>
  <si>
    <t>C-O</t>
  </si>
  <si>
    <t>150/83</t>
  </si>
  <si>
    <t>He</t>
  </si>
  <si>
    <t>128/80</t>
  </si>
  <si>
    <t>Keenan</t>
  </si>
  <si>
    <t>P-SB</t>
  </si>
  <si>
    <t>139/91</t>
  </si>
  <si>
    <t>Little</t>
  </si>
  <si>
    <t>138/77</t>
  </si>
  <si>
    <t>D-Mixed</t>
  </si>
  <si>
    <t>Margetts</t>
  </si>
  <si>
    <t>Nami</t>
  </si>
  <si>
    <t>157/99</t>
  </si>
  <si>
    <t>S-Mixed</t>
  </si>
  <si>
    <t>Önning</t>
  </si>
  <si>
    <t>141/88</t>
  </si>
  <si>
    <t>Rigaud</t>
  </si>
  <si>
    <t>127/77</t>
  </si>
  <si>
    <t>Rössnera</t>
  </si>
  <si>
    <t>134/84</t>
  </si>
  <si>
    <t>Rössnerb</t>
  </si>
  <si>
    <t>135/86</t>
  </si>
  <si>
    <t>Rössner</t>
  </si>
  <si>
    <t>124/75</t>
  </si>
  <si>
    <t>Ryttig</t>
  </si>
  <si>
    <t>131/85</t>
  </si>
  <si>
    <t>Schlamowitz</t>
  </si>
  <si>
    <t>NR</t>
  </si>
  <si>
    <t>153/96</t>
  </si>
  <si>
    <t>Solum</t>
  </si>
  <si>
    <t>133/90</t>
  </si>
  <si>
    <t>Swain</t>
  </si>
  <si>
    <t>112/68</t>
  </si>
  <si>
    <t>Törrönen</t>
  </si>
  <si>
    <t>129/81</t>
  </si>
  <si>
    <t>Van Horn</t>
  </si>
  <si>
    <t>ES_neg</t>
  </si>
  <si>
    <t>SE</t>
  </si>
  <si>
    <t>ES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</si>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</sst>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B1" workbookViewId="0">
      <selection activeCell="P16" sqref="P16"/>
    </sheetView>
  </sheetViews>
  <sheetFormatPr defaultRowHeight="15" x14ac:dyDescent="0.25"/>
  <cols>
    <col min="1" max="1" width="12.140625" bestFit="1" customWidth="1"/>
    <col min="2" max="2" width="5" bestFit="1" customWidth="1"/>
    <col min="3" max="3" width="7" bestFit="1" customWidth="1"/>
    <col min="4" max="4" width="4" bestFit="1" customWidth="1"/>
    <col min="5" max="5" width="3.5703125" bestFit="1" customWidth="1"/>
    <col min="6" max="6" width="6.42578125" bestFit="1" customWidth="1"/>
    <col min="7" max="7" width="7.5703125" bestFit="1" customWidth="1"/>
    <col min="8" max="10" width="3.42578125" customWidth="1"/>
    <col min="11" max="11" width="11" bestFit="1" customWidth="1"/>
    <col min="12" max="12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</v>
      </c>
      <c r="L1" t="s">
        <v>70</v>
      </c>
      <c r="M1" t="s">
        <v>69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</row>
    <row r="2" spans="1:18" x14ac:dyDescent="0.25">
      <c r="A2" t="s">
        <v>10</v>
      </c>
      <c r="B2">
        <v>1995</v>
      </c>
      <c r="C2" t="s">
        <v>11</v>
      </c>
      <c r="D2">
        <v>63</v>
      </c>
      <c r="E2">
        <v>4</v>
      </c>
      <c r="F2">
        <v>47</v>
      </c>
      <c r="G2">
        <v>100</v>
      </c>
      <c r="H2" t="s">
        <v>12</v>
      </c>
      <c r="I2">
        <v>3.9</v>
      </c>
      <c r="J2" t="s">
        <v>13</v>
      </c>
      <c r="K2">
        <v>-0.27</v>
      </c>
      <c r="L2">
        <f t="shared" ref="L2:L25" si="0">-K2</f>
        <v>0.27</v>
      </c>
      <c r="M2">
        <v>1.02</v>
      </c>
      <c r="N2">
        <f t="shared" ref="N2:N7" si="1">M2*SQRT(D2)</f>
        <v>8.0959990118576481</v>
      </c>
      <c r="O2">
        <f t="shared" ref="O2:O25" si="2">L2/N2</f>
        <v>3.3349806441990634E-2</v>
      </c>
      <c r="P2">
        <f t="shared" ref="P2:P7" si="3">1-3/(4*(D2-1)-1)</f>
        <v>0.98785425101214575</v>
      </c>
      <c r="Q2">
        <f t="shared" ref="Q2:Q25" si="4">P2*O2</f>
        <v>3.2944748064152693E-2</v>
      </c>
      <c r="R2">
        <f>P2*M2/N2</f>
        <v>0.12445793713124349</v>
      </c>
    </row>
    <row r="3" spans="1:18" x14ac:dyDescent="0.25">
      <c r="A3" t="s">
        <v>46</v>
      </c>
      <c r="B3">
        <v>1999</v>
      </c>
      <c r="C3" t="s">
        <v>11</v>
      </c>
      <c r="D3">
        <v>52</v>
      </c>
      <c r="E3">
        <v>5</v>
      </c>
      <c r="F3">
        <v>63</v>
      </c>
      <c r="G3">
        <v>100</v>
      </c>
      <c r="H3" t="s">
        <v>47</v>
      </c>
      <c r="I3">
        <v>6.8</v>
      </c>
      <c r="J3" t="s">
        <v>13</v>
      </c>
      <c r="K3">
        <v>-1.5</v>
      </c>
      <c r="L3">
        <f t="shared" si="0"/>
        <v>1.5</v>
      </c>
      <c r="M3">
        <v>1.28</v>
      </c>
      <c r="N3">
        <f t="shared" si="1"/>
        <v>9.2302112651878119</v>
      </c>
      <c r="O3">
        <f t="shared" si="2"/>
        <v>0.16250982311286011</v>
      </c>
      <c r="P3">
        <f t="shared" si="3"/>
        <v>0.98522167487684731</v>
      </c>
      <c r="Q3">
        <f t="shared" si="4"/>
        <v>0.16010820011119223</v>
      </c>
      <c r="R3">
        <f>P3*M3/N3</f>
        <v>0.13662566409488403</v>
      </c>
    </row>
    <row r="4" spans="1:18" x14ac:dyDescent="0.25">
      <c r="A4" t="s">
        <v>63</v>
      </c>
      <c r="B4">
        <v>1990</v>
      </c>
      <c r="C4" t="s">
        <v>11</v>
      </c>
      <c r="D4">
        <v>20</v>
      </c>
      <c r="E4">
        <v>6</v>
      </c>
      <c r="F4">
        <v>30</v>
      </c>
      <c r="G4">
        <v>20</v>
      </c>
      <c r="H4" t="s">
        <v>64</v>
      </c>
      <c r="I4">
        <v>20.5</v>
      </c>
      <c r="J4" t="s">
        <v>13</v>
      </c>
      <c r="K4">
        <v>2</v>
      </c>
      <c r="L4">
        <f t="shared" si="0"/>
        <v>-2</v>
      </c>
      <c r="M4">
        <v>1.93</v>
      </c>
      <c r="N4">
        <f t="shared" si="1"/>
        <v>8.6312223931491889</v>
      </c>
      <c r="O4">
        <f t="shared" si="2"/>
        <v>-0.23171688886008182</v>
      </c>
      <c r="P4">
        <f t="shared" si="3"/>
        <v>0.96</v>
      </c>
      <c r="Q4">
        <f t="shared" si="4"/>
        <v>-0.22244821330567854</v>
      </c>
      <c r="R4">
        <f>P4*M4/N4</f>
        <v>0.21466252583997977</v>
      </c>
    </row>
    <row r="5" spans="1:18" x14ac:dyDescent="0.25">
      <c r="A5" t="s">
        <v>31</v>
      </c>
      <c r="B5">
        <v>1989</v>
      </c>
      <c r="C5" t="s">
        <v>32</v>
      </c>
      <c r="D5">
        <v>12</v>
      </c>
      <c r="E5">
        <v>8</v>
      </c>
      <c r="F5">
        <v>62</v>
      </c>
      <c r="G5">
        <v>58</v>
      </c>
      <c r="H5" t="s">
        <v>33</v>
      </c>
      <c r="I5">
        <v>25.6</v>
      </c>
      <c r="J5" t="s">
        <v>13</v>
      </c>
      <c r="K5">
        <v>2</v>
      </c>
      <c r="L5">
        <f t="shared" si="0"/>
        <v>-2</v>
      </c>
      <c r="M5">
        <v>2.1800000000000002</v>
      </c>
      <c r="N5">
        <f t="shared" si="1"/>
        <v>7.5517415210003049</v>
      </c>
      <c r="O5">
        <f t="shared" si="2"/>
        <v>-0.26483957302276412</v>
      </c>
      <c r="P5">
        <f t="shared" si="3"/>
        <v>0.93023255813953487</v>
      </c>
      <c r="Q5">
        <f t="shared" si="4"/>
        <v>-0.24636239350954803</v>
      </c>
      <c r="R5">
        <f>P5*M5/N5</f>
        <v>0.26853500892540733</v>
      </c>
    </row>
    <row r="6" spans="1:18" x14ac:dyDescent="0.25">
      <c r="A6" t="s">
        <v>27</v>
      </c>
      <c r="B6">
        <v>1986</v>
      </c>
      <c r="C6" t="s">
        <v>28</v>
      </c>
      <c r="D6">
        <v>201</v>
      </c>
      <c r="E6">
        <v>4</v>
      </c>
      <c r="F6">
        <v>37</v>
      </c>
      <c r="G6">
        <v>73</v>
      </c>
      <c r="H6" t="s">
        <v>29</v>
      </c>
      <c r="I6">
        <v>12</v>
      </c>
      <c r="J6" t="s">
        <v>30</v>
      </c>
      <c r="K6">
        <v>0.2</v>
      </c>
      <c r="L6">
        <f t="shared" si="0"/>
        <v>-0.2</v>
      </c>
      <c r="M6">
        <v>0.61</v>
      </c>
      <c r="N6">
        <f t="shared" si="1"/>
        <v>8.6482425960422731</v>
      </c>
      <c r="O6">
        <f t="shared" si="2"/>
        <v>-2.3126085765855682E-2</v>
      </c>
      <c r="P6">
        <f t="shared" si="3"/>
        <v>0.99624530663329158</v>
      </c>
      <c r="Q6">
        <f t="shared" si="4"/>
        <v>-2.3039254405032693E-2</v>
      </c>
      <c r="R6">
        <f>P6*M6/N6</f>
        <v>7.0269725935349719E-2</v>
      </c>
    </row>
    <row r="7" spans="1:18" x14ac:dyDescent="0.25">
      <c r="A7" t="s">
        <v>42</v>
      </c>
      <c r="B7">
        <v>1987</v>
      </c>
      <c r="C7" t="s">
        <v>28</v>
      </c>
      <c r="D7">
        <v>88</v>
      </c>
      <c r="E7">
        <v>6</v>
      </c>
      <c r="F7">
        <v>39</v>
      </c>
      <c r="G7">
        <v>58</v>
      </c>
      <c r="H7" t="s">
        <v>29</v>
      </c>
      <c r="I7">
        <v>42.6</v>
      </c>
      <c r="J7" t="s">
        <v>41</v>
      </c>
      <c r="K7">
        <v>-1.1000000000000001</v>
      </c>
      <c r="L7">
        <f t="shared" si="0"/>
        <v>1.1000000000000001</v>
      </c>
      <c r="M7">
        <v>0.75</v>
      </c>
      <c r="N7">
        <f t="shared" si="1"/>
        <v>7.0356236397351442</v>
      </c>
      <c r="O7">
        <f t="shared" si="2"/>
        <v>0.15634719199411434</v>
      </c>
      <c r="P7">
        <f t="shared" si="3"/>
        <v>0.99135446685878958</v>
      </c>
      <c r="Q7">
        <f t="shared" si="4"/>
        <v>0.15499548716419403</v>
      </c>
      <c r="R7">
        <f>P7*M7/N7</f>
        <v>0.1056787412483141</v>
      </c>
    </row>
    <row r="8" spans="1:18" x14ac:dyDescent="0.25">
      <c r="A8" t="s">
        <v>14</v>
      </c>
      <c r="B8">
        <v>2000</v>
      </c>
      <c r="C8" t="s">
        <v>15</v>
      </c>
      <c r="D8">
        <v>53</v>
      </c>
      <c r="E8">
        <v>24</v>
      </c>
      <c r="F8">
        <v>40</v>
      </c>
      <c r="G8">
        <v>0</v>
      </c>
      <c r="H8" t="s">
        <v>16</v>
      </c>
      <c r="I8">
        <v>4.7</v>
      </c>
      <c r="J8" t="s">
        <v>17</v>
      </c>
      <c r="K8">
        <v>-2.2999999999999998</v>
      </c>
      <c r="L8">
        <f t="shared" si="0"/>
        <v>2.2999999999999998</v>
      </c>
      <c r="M8">
        <v>2.82</v>
      </c>
      <c r="N8">
        <f>M8*SQRT(D8/4)</f>
        <v>10.264954943885529</v>
      </c>
      <c r="O8">
        <f t="shared" si="2"/>
        <v>0.224063331263819</v>
      </c>
      <c r="P8">
        <f t="shared" ref="P8:P25" si="5">1-3/(4*(D8-2)-1)</f>
        <v>0.98522167487684731</v>
      </c>
      <c r="Q8">
        <f t="shared" si="4"/>
        <v>0.22075205050622562</v>
      </c>
      <c r="R8">
        <f>P8*M8/N8</f>
        <v>0.27066120975111141</v>
      </c>
    </row>
    <row r="9" spans="1:18" x14ac:dyDescent="0.25">
      <c r="A9" t="s">
        <v>25</v>
      </c>
      <c r="B9">
        <v>1992</v>
      </c>
      <c r="C9" t="s">
        <v>15</v>
      </c>
      <c r="D9">
        <v>63</v>
      </c>
      <c r="E9">
        <v>12</v>
      </c>
      <c r="F9">
        <v>48</v>
      </c>
      <c r="G9">
        <v>62</v>
      </c>
      <c r="H9" t="s">
        <v>26</v>
      </c>
      <c r="I9">
        <v>6</v>
      </c>
      <c r="J9" t="s">
        <v>17</v>
      </c>
      <c r="K9">
        <v>-4.3</v>
      </c>
      <c r="L9">
        <f t="shared" si="0"/>
        <v>4.3</v>
      </c>
      <c r="M9">
        <v>1.95</v>
      </c>
      <c r="N9">
        <f t="shared" ref="N9:N25" si="6">M9*SQRT(D9/4)</f>
        <v>7.7388225848639278</v>
      </c>
      <c r="O9">
        <f t="shared" si="2"/>
        <v>0.5556400799793767</v>
      </c>
      <c r="P9">
        <f t="shared" si="5"/>
        <v>0.98765432098765427</v>
      </c>
      <c r="Q9">
        <f t="shared" si="4"/>
        <v>0.54878032590555725</v>
      </c>
      <c r="R9">
        <f>P9*M9/N9</f>
        <v>0.24886549663158991</v>
      </c>
    </row>
    <row r="10" spans="1:18" x14ac:dyDescent="0.25">
      <c r="A10" t="s">
        <v>34</v>
      </c>
      <c r="B10">
        <v>2004</v>
      </c>
      <c r="C10" t="s">
        <v>15</v>
      </c>
      <c r="D10">
        <v>102</v>
      </c>
      <c r="E10">
        <v>12</v>
      </c>
      <c r="F10">
        <v>48</v>
      </c>
      <c r="G10">
        <v>40</v>
      </c>
      <c r="H10" t="s">
        <v>35</v>
      </c>
      <c r="I10">
        <v>10</v>
      </c>
      <c r="J10" t="s">
        <v>13</v>
      </c>
      <c r="K10">
        <v>-1.24</v>
      </c>
      <c r="L10">
        <f t="shared" si="0"/>
        <v>1.24</v>
      </c>
      <c r="M10">
        <v>0.89</v>
      </c>
      <c r="N10">
        <f t="shared" si="6"/>
        <v>4.4942796975711241</v>
      </c>
      <c r="O10">
        <f t="shared" si="2"/>
        <v>0.27590628163844411</v>
      </c>
      <c r="P10">
        <f t="shared" si="5"/>
        <v>0.99248120300751874</v>
      </c>
      <c r="Q10">
        <f t="shared" si="4"/>
        <v>0.27383179831785431</v>
      </c>
      <c r="R10">
        <f>P10*M10/N10</f>
        <v>0.19654056492168576</v>
      </c>
    </row>
    <row r="11" spans="1:18" x14ac:dyDescent="0.25">
      <c r="A11" t="s">
        <v>43</v>
      </c>
      <c r="B11">
        <v>1995</v>
      </c>
      <c r="C11" t="s">
        <v>15</v>
      </c>
      <c r="D11">
        <v>16</v>
      </c>
      <c r="E11">
        <v>2</v>
      </c>
      <c r="F11">
        <v>46</v>
      </c>
      <c r="G11">
        <v>38</v>
      </c>
      <c r="H11" t="s">
        <v>44</v>
      </c>
      <c r="I11">
        <v>3.5</v>
      </c>
      <c r="J11" t="s">
        <v>45</v>
      </c>
      <c r="K11">
        <v>-5.4</v>
      </c>
      <c r="L11">
        <f t="shared" si="0"/>
        <v>5.4</v>
      </c>
      <c r="M11">
        <v>1.53</v>
      </c>
      <c r="N11">
        <f t="shared" si="6"/>
        <v>3.06</v>
      </c>
      <c r="O11">
        <f t="shared" si="2"/>
        <v>1.7647058823529413</v>
      </c>
      <c r="P11">
        <f t="shared" si="5"/>
        <v>0.94545454545454544</v>
      </c>
      <c r="Q11">
        <f t="shared" si="4"/>
        <v>1.6684491978609628</v>
      </c>
      <c r="R11">
        <f>P11*M11/N11</f>
        <v>0.47272727272727272</v>
      </c>
    </row>
    <row r="12" spans="1:18" x14ac:dyDescent="0.25">
      <c r="A12" t="s">
        <v>48</v>
      </c>
      <c r="B12">
        <v>1990</v>
      </c>
      <c r="C12" t="s">
        <v>15</v>
      </c>
      <c r="D12">
        <v>52</v>
      </c>
      <c r="E12">
        <v>24</v>
      </c>
      <c r="F12">
        <v>37</v>
      </c>
      <c r="G12">
        <v>21</v>
      </c>
      <c r="H12" t="s">
        <v>49</v>
      </c>
      <c r="I12">
        <v>6</v>
      </c>
      <c r="J12" t="s">
        <v>17</v>
      </c>
      <c r="K12">
        <v>2.5</v>
      </c>
      <c r="L12">
        <f t="shared" si="0"/>
        <v>-2.5</v>
      </c>
      <c r="M12">
        <v>2.1800000000000002</v>
      </c>
      <c r="N12">
        <f t="shared" si="6"/>
        <v>7.8601017805114965</v>
      </c>
      <c r="O12">
        <f t="shared" si="2"/>
        <v>-0.31806203911997083</v>
      </c>
      <c r="P12">
        <f t="shared" si="5"/>
        <v>0.98492462311557794</v>
      </c>
      <c r="Q12">
        <f t="shared" si="4"/>
        <v>-0.31326713400760947</v>
      </c>
      <c r="R12">
        <f>P12*M12/N12</f>
        <v>0.27316894085463544</v>
      </c>
    </row>
    <row r="13" spans="1:18" x14ac:dyDescent="0.25">
      <c r="A13" t="s">
        <v>50</v>
      </c>
      <c r="B13">
        <v>1987</v>
      </c>
      <c r="C13" t="s">
        <v>15</v>
      </c>
      <c r="D13">
        <v>54</v>
      </c>
      <c r="E13">
        <v>8</v>
      </c>
      <c r="F13">
        <v>39</v>
      </c>
      <c r="G13">
        <v>0</v>
      </c>
      <c r="H13" t="s">
        <v>51</v>
      </c>
      <c r="I13">
        <v>5</v>
      </c>
      <c r="J13" t="s">
        <v>45</v>
      </c>
      <c r="K13">
        <v>0</v>
      </c>
      <c r="L13">
        <f t="shared" si="0"/>
        <v>0</v>
      </c>
      <c r="M13">
        <v>2.8</v>
      </c>
      <c r="N13">
        <f t="shared" si="6"/>
        <v>10.287856919689348</v>
      </c>
      <c r="O13">
        <f t="shared" si="2"/>
        <v>0</v>
      </c>
      <c r="P13">
        <f t="shared" si="5"/>
        <v>0.98550724637681164</v>
      </c>
      <c r="Q13">
        <f t="shared" si="4"/>
        <v>0</v>
      </c>
      <c r="R13">
        <f>P13*M13/N13</f>
        <v>0.2682210990487216</v>
      </c>
    </row>
    <row r="14" spans="1:18" x14ac:dyDescent="0.25">
      <c r="A14" t="s">
        <v>52</v>
      </c>
      <c r="B14">
        <v>1987</v>
      </c>
      <c r="C14" t="s">
        <v>15</v>
      </c>
      <c r="D14">
        <v>41</v>
      </c>
      <c r="E14">
        <v>12</v>
      </c>
      <c r="F14">
        <v>39</v>
      </c>
      <c r="G14">
        <v>0</v>
      </c>
      <c r="H14" t="s">
        <v>53</v>
      </c>
      <c r="I14">
        <v>7</v>
      </c>
      <c r="J14" t="s">
        <v>45</v>
      </c>
      <c r="K14">
        <v>-5</v>
      </c>
      <c r="L14">
        <f t="shared" si="0"/>
        <v>5</v>
      </c>
      <c r="M14">
        <v>3.74</v>
      </c>
      <c r="N14">
        <f t="shared" si="6"/>
        <v>11.973842323999428</v>
      </c>
      <c r="O14">
        <f t="shared" si="2"/>
        <v>0.41757690344547077</v>
      </c>
      <c r="P14">
        <f t="shared" si="5"/>
        <v>0.98064516129032253</v>
      </c>
      <c r="Q14">
        <f t="shared" si="4"/>
        <v>0.40949476983039712</v>
      </c>
      <c r="R14">
        <f>P14*M14/N14</f>
        <v>0.30630208783313706</v>
      </c>
    </row>
    <row r="15" spans="1:18" x14ac:dyDescent="0.25">
      <c r="A15" t="s">
        <v>54</v>
      </c>
      <c r="B15">
        <v>1988</v>
      </c>
      <c r="C15" t="s">
        <v>15</v>
      </c>
      <c r="D15">
        <v>62</v>
      </c>
      <c r="E15">
        <v>12</v>
      </c>
      <c r="F15">
        <v>40</v>
      </c>
      <c r="G15">
        <v>0</v>
      </c>
      <c r="H15" t="s">
        <v>55</v>
      </c>
      <c r="I15">
        <v>6.5</v>
      </c>
      <c r="J15" t="s">
        <v>45</v>
      </c>
      <c r="K15">
        <v>-3</v>
      </c>
      <c r="L15">
        <f t="shared" si="0"/>
        <v>3</v>
      </c>
      <c r="M15">
        <v>1.1599999999999999</v>
      </c>
      <c r="N15">
        <f t="shared" si="6"/>
        <v>4.5669245669268506</v>
      </c>
      <c r="O15">
        <f t="shared" si="2"/>
        <v>0.656897208621675</v>
      </c>
      <c r="P15">
        <f t="shared" si="5"/>
        <v>0.9874476987447699</v>
      </c>
      <c r="Q15">
        <f t="shared" si="4"/>
        <v>0.64865163696533601</v>
      </c>
      <c r="R15">
        <f>P15*M15/N15</f>
        <v>0.25081196629326324</v>
      </c>
    </row>
    <row r="16" spans="1:18" x14ac:dyDescent="0.25">
      <c r="A16" t="s">
        <v>56</v>
      </c>
      <c r="B16">
        <v>1989</v>
      </c>
      <c r="C16" t="s">
        <v>15</v>
      </c>
      <c r="D16">
        <v>97</v>
      </c>
      <c r="E16">
        <v>11</v>
      </c>
      <c r="F16">
        <v>39</v>
      </c>
      <c r="G16">
        <v>0</v>
      </c>
      <c r="H16" t="s">
        <v>57</v>
      </c>
      <c r="I16">
        <v>7</v>
      </c>
      <c r="J16" t="s">
        <v>17</v>
      </c>
      <c r="K16">
        <v>-2.9</v>
      </c>
      <c r="L16">
        <f t="shared" si="0"/>
        <v>2.9</v>
      </c>
      <c r="M16">
        <v>2.09</v>
      </c>
      <c r="N16">
        <f t="shared" si="6"/>
        <v>10.292056402876927</v>
      </c>
      <c r="O16">
        <f t="shared" si="2"/>
        <v>0.28177070611363597</v>
      </c>
      <c r="P16">
        <f t="shared" si="5"/>
        <v>0.9920844327176781</v>
      </c>
      <c r="Q16">
        <f t="shared" si="4"/>
        <v>0.27954033113120613</v>
      </c>
      <c r="R16">
        <f>P16*M16/N16</f>
        <v>0.2014618248497313</v>
      </c>
    </row>
    <row r="17" spans="1:18" x14ac:dyDescent="0.25">
      <c r="A17" t="s">
        <v>58</v>
      </c>
      <c r="B17">
        <v>1987</v>
      </c>
      <c r="C17" t="s">
        <v>15</v>
      </c>
      <c r="D17">
        <v>46</v>
      </c>
      <c r="E17">
        <v>12</v>
      </c>
      <c r="F17" t="s">
        <v>59</v>
      </c>
      <c r="G17" t="s">
        <v>59</v>
      </c>
      <c r="H17" t="s">
        <v>60</v>
      </c>
      <c r="I17">
        <v>7</v>
      </c>
      <c r="J17" t="s">
        <v>45</v>
      </c>
      <c r="K17">
        <v>-3</v>
      </c>
      <c r="L17">
        <f t="shared" si="0"/>
        <v>3</v>
      </c>
      <c r="M17">
        <v>2.1800000000000002</v>
      </c>
      <c r="N17">
        <f t="shared" si="6"/>
        <v>7.3927396816065425</v>
      </c>
      <c r="O17">
        <f t="shared" si="2"/>
        <v>0.40580354905017557</v>
      </c>
      <c r="P17">
        <f t="shared" si="5"/>
        <v>0.98285714285714287</v>
      </c>
      <c r="Q17">
        <f t="shared" si="4"/>
        <v>0.39884691678074402</v>
      </c>
      <c r="R17">
        <f>P17*M17/N17</f>
        <v>0.28982875952734066</v>
      </c>
    </row>
    <row r="18" spans="1:18" x14ac:dyDescent="0.25">
      <c r="A18" t="s">
        <v>61</v>
      </c>
      <c r="B18">
        <v>1987</v>
      </c>
      <c r="C18" t="s">
        <v>15</v>
      </c>
      <c r="D18">
        <v>60</v>
      </c>
      <c r="E18">
        <v>12</v>
      </c>
      <c r="F18">
        <v>35</v>
      </c>
      <c r="G18">
        <v>0</v>
      </c>
      <c r="H18" t="s">
        <v>62</v>
      </c>
      <c r="I18">
        <v>5</v>
      </c>
      <c r="J18" t="s">
        <v>17</v>
      </c>
      <c r="K18">
        <v>-5</v>
      </c>
      <c r="L18">
        <f t="shared" si="0"/>
        <v>5</v>
      </c>
      <c r="M18">
        <v>4.7699999999999996</v>
      </c>
      <c r="N18">
        <f t="shared" si="6"/>
        <v>18.474130561409378</v>
      </c>
      <c r="O18">
        <f t="shared" si="2"/>
        <v>0.27064873139115425</v>
      </c>
      <c r="P18">
        <f t="shared" si="5"/>
        <v>0.98701298701298701</v>
      </c>
      <c r="Q18">
        <f t="shared" si="4"/>
        <v>0.26713381280165877</v>
      </c>
      <c r="R18">
        <f>P18*M18/N18</f>
        <v>0.25484565741278237</v>
      </c>
    </row>
    <row r="19" spans="1:18" x14ac:dyDescent="0.25">
      <c r="A19" t="s">
        <v>65</v>
      </c>
      <c r="B19">
        <v>1992</v>
      </c>
      <c r="C19" t="s">
        <v>15</v>
      </c>
      <c r="D19">
        <v>28</v>
      </c>
      <c r="E19">
        <v>8</v>
      </c>
      <c r="F19">
        <v>41</v>
      </c>
      <c r="G19">
        <v>100</v>
      </c>
      <c r="H19" t="s">
        <v>66</v>
      </c>
      <c r="I19">
        <v>15.1</v>
      </c>
      <c r="J19" t="s">
        <v>13</v>
      </c>
      <c r="K19">
        <v>1</v>
      </c>
      <c r="L19">
        <f t="shared" si="0"/>
        <v>-1</v>
      </c>
      <c r="M19">
        <v>3.81</v>
      </c>
      <c r="N19">
        <f t="shared" si="6"/>
        <v>10.080312495156091</v>
      </c>
      <c r="O19">
        <f t="shared" si="2"/>
        <v>-9.9203273755702676E-2</v>
      </c>
      <c r="P19">
        <f t="shared" si="5"/>
        <v>0.970873786407767</v>
      </c>
      <c r="Q19">
        <f t="shared" si="4"/>
        <v>-9.6313858015245321E-2</v>
      </c>
      <c r="R19">
        <f>P19*M19/N19</f>
        <v>0.36695579903808467</v>
      </c>
    </row>
    <row r="20" spans="1:18" x14ac:dyDescent="0.25">
      <c r="A20" t="s">
        <v>18</v>
      </c>
      <c r="B20">
        <v>1981</v>
      </c>
      <c r="C20" t="s">
        <v>19</v>
      </c>
      <c r="D20">
        <v>31</v>
      </c>
      <c r="E20">
        <v>5</v>
      </c>
      <c r="F20">
        <v>23</v>
      </c>
      <c r="G20">
        <v>65</v>
      </c>
      <c r="H20" t="s">
        <v>20</v>
      </c>
      <c r="I20">
        <v>10</v>
      </c>
      <c r="J20" t="s">
        <v>13</v>
      </c>
      <c r="K20">
        <v>3.9</v>
      </c>
      <c r="L20">
        <f t="shared" si="0"/>
        <v>-3.9</v>
      </c>
      <c r="M20">
        <v>2.94</v>
      </c>
      <c r="N20">
        <f t="shared" si="6"/>
        <v>8.1846136133601313</v>
      </c>
      <c r="O20">
        <f t="shared" si="2"/>
        <v>-0.47650386252001509</v>
      </c>
      <c r="P20">
        <f t="shared" si="5"/>
        <v>0.97391304347826091</v>
      </c>
      <c r="Q20">
        <f t="shared" si="4"/>
        <v>-0.46407332697601472</v>
      </c>
      <c r="R20">
        <f>P20*M20/N20</f>
        <v>0.34983989264345722</v>
      </c>
    </row>
    <row r="21" spans="1:18" x14ac:dyDescent="0.25">
      <c r="A21" t="s">
        <v>21</v>
      </c>
      <c r="B21">
        <v>1981</v>
      </c>
      <c r="C21" t="s">
        <v>19</v>
      </c>
      <c r="D21">
        <v>32</v>
      </c>
      <c r="E21">
        <v>5</v>
      </c>
      <c r="F21">
        <v>23</v>
      </c>
      <c r="G21">
        <v>65</v>
      </c>
      <c r="H21" t="s">
        <v>22</v>
      </c>
      <c r="I21">
        <v>19</v>
      </c>
      <c r="J21" t="s">
        <v>17</v>
      </c>
      <c r="K21">
        <v>1</v>
      </c>
      <c r="L21">
        <f t="shared" si="0"/>
        <v>-1</v>
      </c>
      <c r="M21">
        <v>3.73</v>
      </c>
      <c r="N21">
        <f t="shared" si="6"/>
        <v>10.550033175303289</v>
      </c>
      <c r="O21">
        <f t="shared" si="2"/>
        <v>-9.4786431794443363E-2</v>
      </c>
      <c r="P21">
        <f t="shared" si="5"/>
        <v>0.97478991596638653</v>
      </c>
      <c r="Q21">
        <f t="shared" si="4"/>
        <v>-9.2396857883659075E-2</v>
      </c>
      <c r="R21">
        <f>P21*M21/N21</f>
        <v>0.3446402799060484</v>
      </c>
    </row>
    <row r="22" spans="1:18" x14ac:dyDescent="0.25">
      <c r="A22" t="s">
        <v>23</v>
      </c>
      <c r="B22">
        <v>2001</v>
      </c>
      <c r="C22" t="s">
        <v>19</v>
      </c>
      <c r="D22">
        <v>36</v>
      </c>
      <c r="E22">
        <v>8</v>
      </c>
      <c r="F22">
        <v>57</v>
      </c>
      <c r="G22">
        <v>50</v>
      </c>
      <c r="H22" t="s">
        <v>24</v>
      </c>
      <c r="I22">
        <v>12</v>
      </c>
      <c r="J22" t="s">
        <v>13</v>
      </c>
      <c r="K22">
        <v>-1.9</v>
      </c>
      <c r="L22">
        <f t="shared" si="0"/>
        <v>1.9</v>
      </c>
      <c r="M22">
        <v>1</v>
      </c>
      <c r="N22">
        <f t="shared" si="6"/>
        <v>3</v>
      </c>
      <c r="O22">
        <f t="shared" si="2"/>
        <v>0.6333333333333333</v>
      </c>
      <c r="P22">
        <f t="shared" si="5"/>
        <v>0.97777777777777775</v>
      </c>
      <c r="Q22">
        <f t="shared" si="4"/>
        <v>0.61925925925925918</v>
      </c>
      <c r="R22">
        <f>P22*M22/N22</f>
        <v>0.3259259259259259</v>
      </c>
    </row>
    <row r="23" spans="1:18" x14ac:dyDescent="0.25">
      <c r="A23" t="s">
        <v>67</v>
      </c>
      <c r="B23">
        <v>1991</v>
      </c>
      <c r="C23" t="s">
        <v>19</v>
      </c>
      <c r="D23">
        <v>80</v>
      </c>
      <c r="E23">
        <v>8</v>
      </c>
      <c r="F23">
        <v>42</v>
      </c>
      <c r="G23">
        <v>50</v>
      </c>
      <c r="H23" t="s">
        <v>35</v>
      </c>
      <c r="I23">
        <v>4.2</v>
      </c>
      <c r="J23" t="s">
        <v>13</v>
      </c>
      <c r="K23">
        <v>-1.4</v>
      </c>
      <c r="L23">
        <f t="shared" si="0"/>
        <v>1.4</v>
      </c>
      <c r="M23">
        <v>2.14</v>
      </c>
      <c r="N23">
        <f t="shared" si="6"/>
        <v>9.5703709436991016</v>
      </c>
      <c r="O23">
        <f t="shared" si="2"/>
        <v>0.14628482095793013</v>
      </c>
      <c r="P23">
        <f t="shared" si="5"/>
        <v>0.99035369774919613</v>
      </c>
      <c r="Q23">
        <f t="shared" si="4"/>
        <v>0.14487371336026522</v>
      </c>
      <c r="R23">
        <f>P23*M23/N23</f>
        <v>0.22144981899354829</v>
      </c>
    </row>
    <row r="24" spans="1:18" x14ac:dyDescent="0.25">
      <c r="A24" t="s">
        <v>36</v>
      </c>
      <c r="B24">
        <v>2002</v>
      </c>
      <c r="C24" t="s">
        <v>37</v>
      </c>
      <c r="D24">
        <v>18</v>
      </c>
      <c r="E24">
        <v>6</v>
      </c>
      <c r="F24">
        <v>44</v>
      </c>
      <c r="G24">
        <v>50</v>
      </c>
      <c r="H24" t="s">
        <v>38</v>
      </c>
      <c r="I24">
        <v>5.5</v>
      </c>
      <c r="J24" t="s">
        <v>30</v>
      </c>
      <c r="K24">
        <v>-6</v>
      </c>
      <c r="L24">
        <f t="shared" si="0"/>
        <v>6</v>
      </c>
      <c r="M24">
        <v>2.72</v>
      </c>
      <c r="N24">
        <f t="shared" si="6"/>
        <v>5.7699913344822278</v>
      </c>
      <c r="O24">
        <f t="shared" si="2"/>
        <v>1.0398629135096287</v>
      </c>
      <c r="P24">
        <f t="shared" si="5"/>
        <v>0.95238095238095233</v>
      </c>
      <c r="Q24">
        <f t="shared" si="4"/>
        <v>0.99034563191393199</v>
      </c>
      <c r="R24">
        <f>P24*M24/N24</f>
        <v>0.44895668646764925</v>
      </c>
    </row>
    <row r="25" spans="1:18" x14ac:dyDescent="0.25">
      <c r="A25" t="s">
        <v>39</v>
      </c>
      <c r="B25">
        <v>1990</v>
      </c>
      <c r="C25" t="s">
        <v>37</v>
      </c>
      <c r="D25">
        <v>78</v>
      </c>
      <c r="E25">
        <v>8</v>
      </c>
      <c r="F25">
        <v>58</v>
      </c>
      <c r="G25">
        <v>51</v>
      </c>
      <c r="H25" t="s">
        <v>40</v>
      </c>
      <c r="I25">
        <v>36.4</v>
      </c>
      <c r="J25" t="s">
        <v>41</v>
      </c>
      <c r="K25">
        <v>-0.4</v>
      </c>
      <c r="L25">
        <f t="shared" si="0"/>
        <v>0.4</v>
      </c>
      <c r="M25">
        <v>1.85</v>
      </c>
      <c r="N25">
        <f t="shared" si="6"/>
        <v>8.1693788013532593</v>
      </c>
      <c r="O25">
        <f t="shared" si="2"/>
        <v>4.8963331206252785E-2</v>
      </c>
      <c r="P25">
        <f t="shared" si="5"/>
        <v>0.99009900990099009</v>
      </c>
      <c r="Q25">
        <f t="shared" si="4"/>
        <v>4.8478545748765131E-2</v>
      </c>
      <c r="R25">
        <f>P25*M25/N25</f>
        <v>0.22421327408803873</v>
      </c>
    </row>
  </sheetData>
  <sortState xmlns:xlrd2="http://schemas.microsoft.com/office/spreadsheetml/2017/richdata2" ref="A2:Q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2025-12-30T01:13:29Z</dcterms:modified>
</cp:coreProperties>
</file>