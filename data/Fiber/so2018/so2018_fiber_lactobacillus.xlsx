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iber\so2018\"/>
    </mc:Choice>
  </mc:AlternateContent>
  <xr:revisionPtr revIDLastSave="0" documentId="13_ncr:1_{A1504920-CADB-4BA3-BAB7-798B974BF9C1}" xr6:coauthVersionLast="47" xr6:coauthVersionMax="47" xr10:uidLastSave="{00000000-0000-0000-0000-000000000000}"/>
  <bookViews>
    <workbookView xWindow="38280" yWindow="2820" windowWidth="29040" windowHeight="16440" xr2:uid="{F4A160D2-1254-4144-97BA-CCF97EE008C2}"/>
  </bookViews>
  <sheets>
    <sheet name="so_fiber_l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" i="1"/>
  <c r="K14" i="1"/>
  <c r="K15" i="1"/>
  <c r="K16" i="1"/>
  <c r="K17" i="1"/>
  <c r="K18" i="1"/>
  <c r="K19" i="1"/>
  <c r="K20" i="1"/>
  <c r="K21" i="1"/>
  <c r="K22" i="1"/>
  <c r="K23" i="1"/>
  <c r="K24" i="1"/>
  <c r="K13" i="1"/>
  <c r="M14" i="1"/>
  <c r="M15" i="1"/>
  <c r="M16" i="1"/>
  <c r="M17" i="1"/>
  <c r="M18" i="1"/>
  <c r="M19" i="1"/>
  <c r="M20" i="1"/>
  <c r="M21" i="1"/>
  <c r="M22" i="1"/>
  <c r="M23" i="1"/>
  <c r="M24" i="1"/>
  <c r="M13" i="1"/>
  <c r="M3" i="1"/>
  <c r="M4" i="1"/>
  <c r="M5" i="1"/>
  <c r="M6" i="1"/>
  <c r="M7" i="1"/>
  <c r="M8" i="1"/>
  <c r="M9" i="1"/>
  <c r="M10" i="1"/>
  <c r="M11" i="1"/>
  <c r="M12" i="1"/>
  <c r="M2" i="1"/>
  <c r="K3" i="1" l="1"/>
  <c r="K4" i="1"/>
  <c r="K5" i="1"/>
  <c r="K6" i="1"/>
  <c r="K7" i="1"/>
  <c r="K8" i="1"/>
  <c r="K9" i="1"/>
  <c r="K10" i="1"/>
  <c r="K11" i="1"/>
  <c r="K12" i="1"/>
  <c r="K2" i="1"/>
  <c r="L24" i="1" l="1"/>
  <c r="N24" i="1" s="1"/>
  <c r="L12" i="1"/>
  <c r="N12" i="1" s="1"/>
  <c r="L23" i="1"/>
  <c r="N23" i="1" s="1"/>
  <c r="L11" i="1"/>
  <c r="N11" i="1" s="1"/>
  <c r="L22" i="1"/>
  <c r="N22" i="1" s="1"/>
  <c r="L2" i="1"/>
  <c r="N2" i="1" s="1"/>
  <c r="L9" i="1"/>
  <c r="N9" i="1" s="1"/>
  <c r="L20" i="1"/>
  <c r="N20" i="1" s="1"/>
  <c r="L8" i="1"/>
  <c r="N8" i="1" s="1"/>
  <c r="L19" i="1"/>
  <c r="N19" i="1" s="1"/>
  <c r="L21" i="1"/>
  <c r="N21" i="1" s="1"/>
  <c r="L18" i="1"/>
  <c r="N18" i="1" s="1"/>
  <c r="L17" i="1"/>
  <c r="N17" i="1" s="1"/>
  <c r="L5" i="1"/>
  <c r="N5" i="1" s="1"/>
  <c r="L16" i="1"/>
  <c r="N16" i="1" s="1"/>
  <c r="L10" i="1"/>
  <c r="N10" i="1" s="1"/>
  <c r="L7" i="1"/>
  <c r="N7" i="1" s="1"/>
  <c r="L6" i="1"/>
  <c r="N6" i="1" s="1"/>
  <c r="L4" i="1"/>
  <c r="N4" i="1" s="1"/>
  <c r="L15" i="1"/>
  <c r="N15" i="1" s="1"/>
  <c r="L3" i="1"/>
  <c r="N3" i="1" s="1"/>
  <c r="L14" i="1"/>
  <c r="N14" i="1" s="1"/>
  <c r="L13" i="1"/>
  <c r="N13" i="1" s="1"/>
</calcChain>
</file>

<file path=xl/sharedStrings.xml><?xml version="1.0" encoding="utf-8"?>
<sst xmlns="http://schemas.openxmlformats.org/spreadsheetml/2006/main" count="84" uniqueCount="42">
  <si>
    <t>Author</t>
  </si>
  <si>
    <t>Year</t>
  </si>
  <si>
    <t>weight</t>
  </si>
  <si>
    <t>group</t>
  </si>
  <si>
    <t>ES</t>
  </si>
  <si>
    <t>CI_lower</t>
  </si>
  <si>
    <t>CI_upper</t>
  </si>
  <si>
    <t>SE</t>
  </si>
  <si>
    <t>n</t>
  </si>
  <si>
    <t>pooled_sd</t>
  </si>
  <si>
    <t>Alles</t>
  </si>
  <si>
    <t>accepted</t>
  </si>
  <si>
    <t>Bouhnik</t>
  </si>
  <si>
    <t>Gopal</t>
  </si>
  <si>
    <t>Holscher</t>
  </si>
  <si>
    <t>Kleessen</t>
  </si>
  <si>
    <t>Slavin</t>
  </si>
  <si>
    <t>Ten</t>
  </si>
  <si>
    <t>Walton</t>
  </si>
  <si>
    <t>Boler</t>
  </si>
  <si>
    <t>candidate</t>
  </si>
  <si>
    <t>Cloetens</t>
  </si>
  <si>
    <t>Fastinger</t>
  </si>
  <si>
    <t>Finegold</t>
  </si>
  <si>
    <t>Lecerf</t>
  </si>
  <si>
    <t>Maki</t>
  </si>
  <si>
    <t>Pasman</t>
  </si>
  <si>
    <t>Calame</t>
  </si>
  <si>
    <t>general</t>
  </si>
  <si>
    <t>Fernando</t>
  </si>
  <si>
    <t>Grasten</t>
  </si>
  <si>
    <t>Ross</t>
  </si>
  <si>
    <t>Tap</t>
  </si>
  <si>
    <t>Wu</t>
  </si>
  <si>
    <t>Zeng</t>
  </si>
  <si>
    <t>design</t>
  </si>
  <si>
    <t>p</t>
  </si>
  <si>
    <t>c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</si>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</sst>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30078-66A3-4AE6-A160-5028C3B4EEF9}">
  <dimension ref="A1:O24"/>
  <sheetViews>
    <sheetView tabSelected="1" topLeftCell="C1" workbookViewId="0">
      <selection activeCell="M11" sqref="M11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35</v>
      </c>
      <c r="K1" t="s">
        <v>9</v>
      </c>
      <c r="L1" t="s">
        <v>38</v>
      </c>
      <c r="M1" t="s">
        <v>39</v>
      </c>
      <c r="N1" t="s">
        <v>40</v>
      </c>
      <c r="O1" t="s">
        <v>41</v>
      </c>
    </row>
    <row r="2" spans="1:15" x14ac:dyDescent="0.25">
      <c r="A2" t="s">
        <v>14</v>
      </c>
      <c r="B2">
        <v>2015</v>
      </c>
      <c r="C2" s="1">
        <v>5.7000000000000002E-2</v>
      </c>
      <c r="D2" t="s">
        <v>11</v>
      </c>
      <c r="E2">
        <v>0.24</v>
      </c>
      <c r="F2">
        <v>-0.27</v>
      </c>
      <c r="G2">
        <v>0.76</v>
      </c>
      <c r="H2">
        <v>0.26275510200000002</v>
      </c>
      <c r="I2">
        <v>29</v>
      </c>
      <c r="J2" t="s">
        <v>37</v>
      </c>
      <c r="K2">
        <f>H2*SQRT(I2)</f>
        <v>1.4149795281854369</v>
      </c>
      <c r="L2">
        <f>E2/K2</f>
        <v>0.16961376134379474</v>
      </c>
      <c r="M2">
        <f t="shared" ref="M2:M12" si="0">1-3/(4*(I2-1)-1)</f>
        <v>0.97297297297297303</v>
      </c>
      <c r="N2">
        <f t="shared" ref="N2:N24" si="1">M2*L2</f>
        <v>0.1650296056318003</v>
      </c>
      <c r="O2">
        <f>M2*H2/K2</f>
        <v>0.18067654525334778</v>
      </c>
    </row>
    <row r="3" spans="1:15" x14ac:dyDescent="0.25">
      <c r="A3" t="s">
        <v>16</v>
      </c>
      <c r="B3">
        <v>2011</v>
      </c>
      <c r="C3" s="1">
        <v>3.2000000000000001E-2</v>
      </c>
      <c r="D3" t="s">
        <v>11</v>
      </c>
      <c r="E3">
        <v>0.1</v>
      </c>
      <c r="F3">
        <v>-0.78</v>
      </c>
      <c r="G3">
        <v>0.97</v>
      </c>
      <c r="H3">
        <v>0.446428571</v>
      </c>
      <c r="I3">
        <v>10</v>
      </c>
      <c r="J3" t="s">
        <v>37</v>
      </c>
      <c r="K3">
        <f t="shared" ref="K3:K12" si="2">H3*SQRT(I3)</f>
        <v>1.4117310969341932</v>
      </c>
      <c r="L3">
        <f t="shared" ref="L3:L24" si="3">E3/K3</f>
        <v>7.0835019655773324E-2</v>
      </c>
      <c r="M3">
        <f t="shared" si="0"/>
        <v>0.91428571428571426</v>
      </c>
      <c r="N3">
        <f t="shared" si="1"/>
        <v>6.4763446542421318E-2</v>
      </c>
      <c r="O3">
        <f>M3*H3/K3</f>
        <v>0.28912252892968038</v>
      </c>
    </row>
    <row r="4" spans="1:15" x14ac:dyDescent="0.25">
      <c r="A4" t="s">
        <v>17</v>
      </c>
      <c r="B4">
        <v>2006</v>
      </c>
      <c r="C4" s="1">
        <v>5.6000000000000001E-2</v>
      </c>
      <c r="D4" t="s">
        <v>11</v>
      </c>
      <c r="E4">
        <v>0.53</v>
      </c>
      <c r="F4">
        <v>0.01</v>
      </c>
      <c r="G4">
        <v>1.06</v>
      </c>
      <c r="H4">
        <v>0.26785714300000002</v>
      </c>
      <c r="I4">
        <v>29</v>
      </c>
      <c r="J4" t="s">
        <v>37</v>
      </c>
      <c r="K4">
        <f t="shared" si="2"/>
        <v>1.4424548598231943</v>
      </c>
      <c r="L4">
        <f t="shared" si="3"/>
        <v>0.36742917561036442</v>
      </c>
      <c r="M4">
        <f t="shared" si="0"/>
        <v>0.97297297297297303</v>
      </c>
      <c r="N4">
        <f t="shared" si="1"/>
        <v>0.35749865735062486</v>
      </c>
      <c r="O4">
        <f>M4*H4/K4</f>
        <v>0.18067654525334778</v>
      </c>
    </row>
    <row r="5" spans="1:15" x14ac:dyDescent="0.25">
      <c r="A5" t="s">
        <v>18</v>
      </c>
      <c r="B5">
        <v>2012</v>
      </c>
      <c r="C5" s="1">
        <v>6.2E-2</v>
      </c>
      <c r="D5" t="s">
        <v>11</v>
      </c>
      <c r="E5">
        <v>0.13</v>
      </c>
      <c r="F5">
        <v>-0.33</v>
      </c>
      <c r="G5">
        <v>0.59</v>
      </c>
      <c r="H5">
        <v>0.23469387799999999</v>
      </c>
      <c r="I5">
        <v>37</v>
      </c>
      <c r="J5" t="s">
        <v>37</v>
      </c>
      <c r="K5">
        <f t="shared" si="2"/>
        <v>1.4275871271887817</v>
      </c>
      <c r="L5">
        <f t="shared" si="3"/>
        <v>9.1062743228847443E-2</v>
      </c>
      <c r="M5">
        <f t="shared" si="0"/>
        <v>0.97902097902097907</v>
      </c>
      <c r="N5">
        <f t="shared" si="1"/>
        <v>8.9152336028242254E-2</v>
      </c>
      <c r="O5">
        <f>M5*H5/K5</f>
        <v>0.1609500575017484</v>
      </c>
    </row>
    <row r="6" spans="1:15" x14ac:dyDescent="0.25">
      <c r="A6" t="s">
        <v>19</v>
      </c>
      <c r="B6">
        <v>2011</v>
      </c>
      <c r="C6" s="1">
        <v>4.9000000000000002E-2</v>
      </c>
      <c r="D6" t="s">
        <v>20</v>
      </c>
      <c r="E6">
        <v>0</v>
      </c>
      <c r="F6">
        <v>-0.6</v>
      </c>
      <c r="G6">
        <v>0.6</v>
      </c>
      <c r="H6">
        <v>0.30612244900000002</v>
      </c>
      <c r="I6">
        <v>21</v>
      </c>
      <c r="J6" t="s">
        <v>37</v>
      </c>
      <c r="K6">
        <f t="shared" si="2"/>
        <v>1.4028292944677587</v>
      </c>
      <c r="L6">
        <f t="shared" si="3"/>
        <v>0</v>
      </c>
      <c r="M6">
        <f t="shared" si="0"/>
        <v>0.96202531645569622</v>
      </c>
      <c r="N6">
        <f t="shared" si="1"/>
        <v>0</v>
      </c>
      <c r="O6">
        <f>M6*H6/K6</f>
        <v>0.20993113491057497</v>
      </c>
    </row>
    <row r="7" spans="1:15" x14ac:dyDescent="0.25">
      <c r="A7" t="s">
        <v>21</v>
      </c>
      <c r="B7">
        <v>2010</v>
      </c>
      <c r="C7" s="1">
        <v>4.8000000000000001E-2</v>
      </c>
      <c r="D7" t="s">
        <v>20</v>
      </c>
      <c r="E7">
        <v>-0.35</v>
      </c>
      <c r="F7">
        <v>-0.98</v>
      </c>
      <c r="G7">
        <v>0.27</v>
      </c>
      <c r="H7">
        <v>0.31887755099999998</v>
      </c>
      <c r="I7">
        <v>20</v>
      </c>
      <c r="J7" t="s">
        <v>37</v>
      </c>
      <c r="K7">
        <f t="shared" si="2"/>
        <v>1.4260637610693121</v>
      </c>
      <c r="L7">
        <f t="shared" si="3"/>
        <v>-0.24543082122608448</v>
      </c>
      <c r="M7">
        <f t="shared" si="0"/>
        <v>0.96</v>
      </c>
      <c r="N7">
        <f t="shared" si="1"/>
        <v>-0.23561358837704108</v>
      </c>
      <c r="O7">
        <f>M7*H7/K7</f>
        <v>0.21466252583997977</v>
      </c>
    </row>
    <row r="8" spans="1:15" x14ac:dyDescent="0.25">
      <c r="A8" t="s">
        <v>25</v>
      </c>
      <c r="B8">
        <v>2012</v>
      </c>
      <c r="C8" s="1">
        <v>7.0000000000000007E-2</v>
      </c>
      <c r="D8" t="s">
        <v>20</v>
      </c>
      <c r="E8">
        <v>-0.16</v>
      </c>
      <c r="F8">
        <v>-0.53</v>
      </c>
      <c r="G8">
        <v>0.22</v>
      </c>
      <c r="H8">
        <v>0.19132653099999999</v>
      </c>
      <c r="I8">
        <v>55</v>
      </c>
      <c r="J8" t="s">
        <v>37</v>
      </c>
      <c r="K8">
        <f t="shared" si="2"/>
        <v>1.4189155297434615</v>
      </c>
      <c r="L8">
        <f t="shared" si="3"/>
        <v>-0.11276217410132078</v>
      </c>
      <c r="M8">
        <f t="shared" si="0"/>
        <v>0.98604651162790702</v>
      </c>
      <c r="N8">
        <f t="shared" si="1"/>
        <v>-0.11118874841618608</v>
      </c>
      <c r="O8">
        <f>M8*H8/K8</f>
        <v>0.13295848450437889</v>
      </c>
    </row>
    <row r="9" spans="1:15" x14ac:dyDescent="0.25">
      <c r="A9" t="s">
        <v>29</v>
      </c>
      <c r="B9">
        <v>2010</v>
      </c>
      <c r="C9" s="1">
        <v>3.5999999999999997E-2</v>
      </c>
      <c r="D9" t="s">
        <v>28</v>
      </c>
      <c r="E9">
        <v>0.36</v>
      </c>
      <c r="F9">
        <v>-0.44</v>
      </c>
      <c r="G9">
        <v>1.17</v>
      </c>
      <c r="H9">
        <v>0.41071428599999998</v>
      </c>
      <c r="I9">
        <v>12</v>
      </c>
      <c r="J9" t="s">
        <v>37</v>
      </c>
      <c r="K9">
        <f t="shared" si="2"/>
        <v>1.4227560214927495</v>
      </c>
      <c r="L9">
        <f t="shared" si="3"/>
        <v>0.25303003084273684</v>
      </c>
      <c r="M9">
        <f t="shared" si="0"/>
        <v>0.93023255813953487</v>
      </c>
      <c r="N9">
        <f t="shared" si="1"/>
        <v>0.23537677287696451</v>
      </c>
      <c r="O9">
        <f>M9*H9/K9</f>
        <v>0.26853500892540738</v>
      </c>
    </row>
    <row r="10" spans="1:15" x14ac:dyDescent="0.25">
      <c r="A10" t="s">
        <v>30</v>
      </c>
      <c r="B10">
        <v>2007</v>
      </c>
      <c r="C10" s="1">
        <v>3.4000000000000002E-2</v>
      </c>
      <c r="D10" t="s">
        <v>28</v>
      </c>
      <c r="E10">
        <v>-0.19</v>
      </c>
      <c r="F10">
        <v>-1.03</v>
      </c>
      <c r="G10">
        <v>0.65</v>
      </c>
      <c r="H10">
        <v>0.428571429</v>
      </c>
      <c r="I10">
        <v>14</v>
      </c>
      <c r="J10" t="s">
        <v>37</v>
      </c>
      <c r="K10">
        <f t="shared" si="2"/>
        <v>1.6035674530781137</v>
      </c>
      <c r="L10">
        <f t="shared" si="3"/>
        <v>-0.11848581712935567</v>
      </c>
      <c r="M10">
        <f t="shared" si="0"/>
        <v>0.94117647058823528</v>
      </c>
      <c r="N10">
        <f t="shared" si="1"/>
        <v>-0.11151606318057004</v>
      </c>
      <c r="O10">
        <f>M10*H10/K10</f>
        <v>0.25153999238816416</v>
      </c>
    </row>
    <row r="11" spans="1:15" x14ac:dyDescent="0.25">
      <c r="A11" t="s">
        <v>31</v>
      </c>
      <c r="B11">
        <v>2011</v>
      </c>
      <c r="C11" s="1">
        <v>4.3999999999999997E-2</v>
      </c>
      <c r="D11" t="s">
        <v>28</v>
      </c>
      <c r="E11">
        <v>-0.24</v>
      </c>
      <c r="F11">
        <v>-0.91</v>
      </c>
      <c r="G11">
        <v>0.44</v>
      </c>
      <c r="H11">
        <v>0.34438775500000002</v>
      </c>
      <c r="I11">
        <v>17</v>
      </c>
      <c r="J11" t="s">
        <v>37</v>
      </c>
      <c r="K11">
        <f t="shared" si="2"/>
        <v>1.4199470900343367</v>
      </c>
      <c r="L11">
        <f t="shared" si="3"/>
        <v>-0.16902038229762237</v>
      </c>
      <c r="M11">
        <f t="shared" si="0"/>
        <v>0.95238095238095233</v>
      </c>
      <c r="N11">
        <f t="shared" si="1"/>
        <v>-0.16097179266440226</v>
      </c>
      <c r="O11">
        <f>M11*H11/K11</f>
        <v>0.23098630955841232</v>
      </c>
    </row>
    <row r="12" spans="1:15" x14ac:dyDescent="0.25">
      <c r="A12" t="s">
        <v>32</v>
      </c>
      <c r="B12">
        <v>2015</v>
      </c>
      <c r="C12" s="1">
        <v>4.7E-2</v>
      </c>
      <c r="D12" t="s">
        <v>28</v>
      </c>
      <c r="E12">
        <v>0.33</v>
      </c>
      <c r="F12">
        <v>-0.31</v>
      </c>
      <c r="G12">
        <v>0.97</v>
      </c>
      <c r="H12">
        <v>0.326530612</v>
      </c>
      <c r="I12">
        <v>19</v>
      </c>
      <c r="J12" t="s">
        <v>37</v>
      </c>
      <c r="K12">
        <f t="shared" si="2"/>
        <v>1.4233139396804897</v>
      </c>
      <c r="L12">
        <f t="shared" si="3"/>
        <v>0.23185327621682644</v>
      </c>
      <c r="M12">
        <f t="shared" si="0"/>
        <v>0.95774647887323949</v>
      </c>
      <c r="N12">
        <f t="shared" si="1"/>
        <v>0.22205665891189014</v>
      </c>
      <c r="O12">
        <f>M12*H12/K12</f>
        <v>0.21972211131265068</v>
      </c>
    </row>
    <row r="13" spans="1:15" x14ac:dyDescent="0.25">
      <c r="A13" t="s">
        <v>10</v>
      </c>
      <c r="B13">
        <v>1999</v>
      </c>
      <c r="C13" s="1">
        <v>3.6999999999999998E-2</v>
      </c>
      <c r="D13" t="s">
        <v>11</v>
      </c>
      <c r="E13">
        <v>0.82</v>
      </c>
      <c r="F13">
        <v>0.03</v>
      </c>
      <c r="G13">
        <v>1.61</v>
      </c>
      <c r="H13">
        <v>0.403061224</v>
      </c>
      <c r="I13">
        <v>27.4</v>
      </c>
      <c r="J13" t="s">
        <v>36</v>
      </c>
      <c r="K13">
        <f>H13*SQRT(I13/4)</f>
        <v>1.054912176203683</v>
      </c>
      <c r="L13">
        <f t="shared" si="3"/>
        <v>0.77731589273235757</v>
      </c>
      <c r="M13">
        <f>1-3/(4*(I13-2)-1)</f>
        <v>0.97017892644135184</v>
      </c>
      <c r="N13">
        <f t="shared" si="1"/>
        <v>0.75413549831687965</v>
      </c>
      <c r="O13">
        <f>M13*H13/K13</f>
        <v>0.37068631343103836</v>
      </c>
    </row>
    <row r="14" spans="1:15" x14ac:dyDescent="0.25">
      <c r="A14" t="s">
        <v>12</v>
      </c>
      <c r="B14">
        <v>2006</v>
      </c>
      <c r="C14" s="1">
        <v>2.7E-2</v>
      </c>
      <c r="D14" t="s">
        <v>11</v>
      </c>
      <c r="E14">
        <v>0.28000000000000003</v>
      </c>
      <c r="F14">
        <v>-0.71</v>
      </c>
      <c r="G14">
        <v>1.27</v>
      </c>
      <c r="H14">
        <v>0.505102041</v>
      </c>
      <c r="I14">
        <v>40</v>
      </c>
      <c r="J14" t="s">
        <v>36</v>
      </c>
      <c r="K14">
        <f t="shared" ref="K14:K24" si="4">H14*SQRT(I14/4)</f>
        <v>1.597272900359753</v>
      </c>
      <c r="L14">
        <f t="shared" si="3"/>
        <v>0.17529878578478089</v>
      </c>
      <c r="M14">
        <f t="shared" ref="M14:M24" si="5">1-3/(4*(I14-2)-1)</f>
        <v>0.98013245033112584</v>
      </c>
      <c r="N14">
        <f t="shared" si="1"/>
        <v>0.17181602845130842</v>
      </c>
      <c r="O14">
        <f>M14*H14/K14</f>
        <v>0.30994509516882124</v>
      </c>
    </row>
    <row r="15" spans="1:15" x14ac:dyDescent="0.25">
      <c r="A15" t="s">
        <v>12</v>
      </c>
      <c r="B15">
        <v>2007</v>
      </c>
      <c r="C15" s="1">
        <v>4.7E-2</v>
      </c>
      <c r="D15" t="s">
        <v>11</v>
      </c>
      <c r="E15">
        <v>0.37</v>
      </c>
      <c r="F15">
        <v>-0.26</v>
      </c>
      <c r="G15">
        <v>1</v>
      </c>
      <c r="H15">
        <v>0.321428571</v>
      </c>
      <c r="I15">
        <v>39</v>
      </c>
      <c r="J15" t="s">
        <v>36</v>
      </c>
      <c r="K15">
        <f t="shared" si="4"/>
        <v>1.0036603912615287</v>
      </c>
      <c r="L15">
        <f t="shared" si="3"/>
        <v>0.36865059458502358</v>
      </c>
      <c r="M15">
        <f t="shared" si="5"/>
        <v>0.97959183673469385</v>
      </c>
      <c r="N15">
        <f t="shared" si="1"/>
        <v>0.36112711306288026</v>
      </c>
      <c r="O15">
        <f>M15*H15/K15</f>
        <v>0.31372046459772168</v>
      </c>
    </row>
    <row r="16" spans="1:15" x14ac:dyDescent="0.25">
      <c r="A16" t="s">
        <v>13</v>
      </c>
      <c r="B16">
        <v>2003</v>
      </c>
      <c r="C16" s="1">
        <v>2.5999999999999999E-2</v>
      </c>
      <c r="D16" t="s">
        <v>11</v>
      </c>
      <c r="E16">
        <v>1.31</v>
      </c>
      <c r="F16">
        <v>0.3</v>
      </c>
      <c r="G16">
        <v>2.33</v>
      </c>
      <c r="H16">
        <v>0.51785714299999996</v>
      </c>
      <c r="I16">
        <v>19</v>
      </c>
      <c r="J16" t="s">
        <v>36</v>
      </c>
      <c r="K16">
        <f t="shared" si="4"/>
        <v>1.1286434767638458</v>
      </c>
      <c r="L16">
        <f t="shared" si="3"/>
        <v>1.1606853953173566</v>
      </c>
      <c r="M16">
        <f t="shared" si="5"/>
        <v>0.95522388059701491</v>
      </c>
      <c r="N16">
        <f t="shared" si="1"/>
        <v>1.1087144074673256</v>
      </c>
      <c r="O16">
        <f>M16*H16/K16</f>
        <v>0.43828677515570003</v>
      </c>
    </row>
    <row r="17" spans="1:15" x14ac:dyDescent="0.25">
      <c r="A17" t="s">
        <v>15</v>
      </c>
      <c r="B17">
        <v>2007</v>
      </c>
      <c r="C17" s="1">
        <v>4.8000000000000001E-2</v>
      </c>
      <c r="D17" t="s">
        <v>11</v>
      </c>
      <c r="E17">
        <v>0.04</v>
      </c>
      <c r="F17">
        <v>-0.57999999999999996</v>
      </c>
      <c r="G17">
        <v>0.66</v>
      </c>
      <c r="H17">
        <v>0.31632653100000002</v>
      </c>
      <c r="I17">
        <v>45</v>
      </c>
      <c r="J17" t="s">
        <v>36</v>
      </c>
      <c r="K17">
        <f t="shared" si="4"/>
        <v>1.0609914396040419</v>
      </c>
      <c r="L17">
        <f t="shared" si="3"/>
        <v>3.77005869292667E-2</v>
      </c>
      <c r="M17">
        <f t="shared" si="5"/>
        <v>0.98245614035087714</v>
      </c>
      <c r="N17">
        <f t="shared" si="1"/>
        <v>3.7039173123490088E-2</v>
      </c>
      <c r="O17">
        <f>M17*H17/K17</f>
        <v>0.29291182863155135</v>
      </c>
    </row>
    <row r="18" spans="1:15" x14ac:dyDescent="0.25">
      <c r="A18" t="s">
        <v>22</v>
      </c>
      <c r="B18">
        <v>2008</v>
      </c>
      <c r="C18" s="1">
        <v>3.6999999999999998E-2</v>
      </c>
      <c r="D18" t="s">
        <v>20</v>
      </c>
      <c r="E18">
        <v>0</v>
      </c>
      <c r="F18">
        <v>-0.79</v>
      </c>
      <c r="G18">
        <v>0.78</v>
      </c>
      <c r="H18">
        <v>0.40051020399999998</v>
      </c>
      <c r="I18">
        <v>25</v>
      </c>
      <c r="J18" t="s">
        <v>36</v>
      </c>
      <c r="K18">
        <f t="shared" si="4"/>
        <v>1.0012755099999999</v>
      </c>
      <c r="L18">
        <f t="shared" si="3"/>
        <v>0</v>
      </c>
      <c r="M18">
        <f t="shared" si="5"/>
        <v>0.96703296703296704</v>
      </c>
      <c r="N18">
        <f t="shared" si="1"/>
        <v>0</v>
      </c>
      <c r="O18">
        <f>M18*H18/K18</f>
        <v>0.38681318681318683</v>
      </c>
    </row>
    <row r="19" spans="1:15" x14ac:dyDescent="0.25">
      <c r="A19" t="s">
        <v>23</v>
      </c>
      <c r="B19">
        <v>2014</v>
      </c>
      <c r="C19" s="1">
        <v>2.7E-2</v>
      </c>
      <c r="D19" t="s">
        <v>20</v>
      </c>
      <c r="E19">
        <v>-0.39</v>
      </c>
      <c r="F19">
        <v>-1.4</v>
      </c>
      <c r="G19">
        <v>0.61</v>
      </c>
      <c r="H19">
        <v>0.51275510199999996</v>
      </c>
      <c r="I19">
        <v>16</v>
      </c>
      <c r="J19" t="s">
        <v>36</v>
      </c>
      <c r="K19">
        <f t="shared" si="4"/>
        <v>1.0255102039999999</v>
      </c>
      <c r="L19">
        <f t="shared" si="3"/>
        <v>-0.38029850749295913</v>
      </c>
      <c r="M19">
        <f t="shared" si="5"/>
        <v>0.94545454545454544</v>
      </c>
      <c r="N19">
        <f t="shared" si="1"/>
        <v>-0.35955495253879771</v>
      </c>
      <c r="O19">
        <f>M19*H19/K19</f>
        <v>0.47272727272727272</v>
      </c>
    </row>
    <row r="20" spans="1:15" x14ac:dyDescent="0.25">
      <c r="A20" t="s">
        <v>24</v>
      </c>
      <c r="B20">
        <v>2012</v>
      </c>
      <c r="C20" s="1">
        <v>4.7E-2</v>
      </c>
      <c r="D20" t="s">
        <v>20</v>
      </c>
      <c r="E20">
        <v>0.24</v>
      </c>
      <c r="F20">
        <v>-0.39</v>
      </c>
      <c r="G20">
        <v>0.87</v>
      </c>
      <c r="H20">
        <v>0.321428571</v>
      </c>
      <c r="I20">
        <v>59</v>
      </c>
      <c r="J20" t="s">
        <v>36</v>
      </c>
      <c r="K20">
        <f t="shared" si="4"/>
        <v>1.2344698506900664</v>
      </c>
      <c r="L20">
        <f t="shared" si="3"/>
        <v>0.19441544065725092</v>
      </c>
      <c r="M20">
        <f t="shared" si="5"/>
        <v>0.986784140969163</v>
      </c>
      <c r="N20">
        <f t="shared" si="1"/>
        <v>0.19184607360010664</v>
      </c>
      <c r="O20">
        <f>M20*H20/K20</f>
        <v>0.25693670537184626</v>
      </c>
    </row>
    <row r="21" spans="1:15" x14ac:dyDescent="0.25">
      <c r="A21" t="s">
        <v>26</v>
      </c>
      <c r="B21">
        <v>2006</v>
      </c>
      <c r="C21" s="1">
        <v>0.04</v>
      </c>
      <c r="D21" t="s">
        <v>20</v>
      </c>
      <c r="E21">
        <v>0.33</v>
      </c>
      <c r="F21">
        <v>-0.41</v>
      </c>
      <c r="G21">
        <v>1.07</v>
      </c>
      <c r="H21">
        <v>0.37755102000000001</v>
      </c>
      <c r="I21">
        <v>29</v>
      </c>
      <c r="J21" t="s">
        <v>36</v>
      </c>
      <c r="K21">
        <f t="shared" si="4"/>
        <v>1.0165872329008676</v>
      </c>
      <c r="L21">
        <f t="shared" si="3"/>
        <v>0.3246155266561172</v>
      </c>
      <c r="M21">
        <f t="shared" si="5"/>
        <v>0.9719626168224299</v>
      </c>
      <c r="N21">
        <f t="shared" si="1"/>
        <v>0.31551415674987093</v>
      </c>
      <c r="O21">
        <f>M21*H21/K21</f>
        <v>0.36097785365258683</v>
      </c>
    </row>
    <row r="22" spans="1:15" x14ac:dyDescent="0.25">
      <c r="A22" t="s">
        <v>27</v>
      </c>
      <c r="B22">
        <v>2008</v>
      </c>
      <c r="C22" s="1">
        <v>2.8000000000000001E-2</v>
      </c>
      <c r="D22" t="s">
        <v>28</v>
      </c>
      <c r="E22">
        <v>-0.25</v>
      </c>
      <c r="F22">
        <v>-1.23</v>
      </c>
      <c r="G22">
        <v>0.74</v>
      </c>
      <c r="H22">
        <v>0.50255101999999996</v>
      </c>
      <c r="I22">
        <v>16</v>
      </c>
      <c r="J22" t="s">
        <v>36</v>
      </c>
      <c r="K22">
        <f t="shared" si="4"/>
        <v>1.0051020399999999</v>
      </c>
      <c r="L22">
        <f t="shared" si="3"/>
        <v>-0.24873096466902009</v>
      </c>
      <c r="M22">
        <f t="shared" si="5"/>
        <v>0.94545454545454544</v>
      </c>
      <c r="N22">
        <f t="shared" si="1"/>
        <v>-0.23516382114161899</v>
      </c>
      <c r="O22">
        <f>M22*H22/K22</f>
        <v>0.47272727272727272</v>
      </c>
    </row>
    <row r="23" spans="1:15" x14ac:dyDescent="0.25">
      <c r="A23" t="s">
        <v>33</v>
      </c>
      <c r="B23">
        <v>2011</v>
      </c>
      <c r="C23" s="1">
        <v>4.1000000000000002E-2</v>
      </c>
      <c r="D23" t="s">
        <v>28</v>
      </c>
      <c r="E23">
        <v>-0.13</v>
      </c>
      <c r="F23">
        <v>-0.84</v>
      </c>
      <c r="G23">
        <v>0.59</v>
      </c>
      <c r="H23">
        <v>0.364795918</v>
      </c>
      <c r="I23">
        <v>15</v>
      </c>
      <c r="J23" t="s">
        <v>36</v>
      </c>
      <c r="K23">
        <f t="shared" si="4"/>
        <v>0.70642425758922323</v>
      </c>
      <c r="L23">
        <f t="shared" si="3"/>
        <v>-0.18402539069601623</v>
      </c>
      <c r="M23">
        <f t="shared" si="5"/>
        <v>0.94117647058823528</v>
      </c>
      <c r="N23">
        <f t="shared" si="1"/>
        <v>-0.17320036771389763</v>
      </c>
      <c r="O23">
        <f>M23*H23/K23</f>
        <v>0.48602143952406801</v>
      </c>
    </row>
    <row r="24" spans="1:15" x14ac:dyDescent="0.25">
      <c r="A24" t="s">
        <v>34</v>
      </c>
      <c r="B24">
        <v>2015</v>
      </c>
      <c r="C24" s="1">
        <v>5.8000000000000003E-2</v>
      </c>
      <c r="D24" t="s">
        <v>28</v>
      </c>
      <c r="E24">
        <v>1.36</v>
      </c>
      <c r="F24">
        <v>0.86</v>
      </c>
      <c r="G24">
        <v>1.85</v>
      </c>
      <c r="H24">
        <v>0.25255102000000001</v>
      </c>
      <c r="I24">
        <v>77</v>
      </c>
      <c r="J24" t="s">
        <v>36</v>
      </c>
      <c r="K24">
        <f t="shared" si="4"/>
        <v>1.1080631032497779</v>
      </c>
      <c r="L24">
        <f t="shared" si="3"/>
        <v>1.2273669216232634</v>
      </c>
      <c r="M24">
        <f t="shared" si="5"/>
        <v>0.98996655518394649</v>
      </c>
      <c r="N24">
        <f t="shared" si="1"/>
        <v>1.2150522033461069</v>
      </c>
      <c r="O24">
        <f>M24*H24/K24</f>
        <v>0.22563431860904906</v>
      </c>
    </row>
  </sheetData>
  <sortState xmlns:xlrd2="http://schemas.microsoft.com/office/spreadsheetml/2017/richdata2" ref="A2:K24">
    <sortCondition ref="J2:J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so_fiber_lsa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Hester</cp:lastModifiedBy>
  <dcterms:created xsi:type="dcterms:W3CDTF">2025-10-18T21:43:35Z</dcterms:created>
  <dcterms:modified xsi:type="dcterms:W3CDTF">2025-12-30T01:12:07Z</dcterms:modified>
</cp:coreProperties>
</file>