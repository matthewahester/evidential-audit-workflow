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so2018\"/>
    </mc:Choice>
  </mc:AlternateContent>
  <xr:revisionPtr revIDLastSave="0" documentId="13_ncr:1_{B967B56D-DA1B-4C44-8970-130977EEBDE6}" xr6:coauthVersionLast="47" xr6:coauthVersionMax="47" xr10:uidLastSave="{00000000-0000-0000-0000-000000000000}"/>
  <bookViews>
    <workbookView xWindow="38280" yWindow="2820" windowWidth="29040" windowHeight="16440" xr2:uid="{6103AAF1-3A78-4083-9126-E74181588EAD}"/>
  </bookViews>
  <sheets>
    <sheet name="so_fiber_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2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3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L9" i="1" l="1"/>
  <c r="N9" i="1" s="1"/>
  <c r="L30" i="1"/>
  <c r="N30" i="1" s="1"/>
  <c r="L28" i="1"/>
  <c r="N28" i="1" s="1"/>
  <c r="L4" i="1"/>
  <c r="N4" i="1" s="1"/>
  <c r="L42" i="1"/>
  <c r="N42" i="1" s="1"/>
  <c r="L8" i="1"/>
  <c r="N8" i="1" s="1"/>
  <c r="L33" i="1"/>
  <c r="N33" i="1" s="1"/>
  <c r="L43" i="1"/>
  <c r="N43" i="1" s="1"/>
  <c r="L3" i="1"/>
  <c r="N3" i="1" s="1"/>
  <c r="L35" i="1"/>
  <c r="N35" i="1" s="1"/>
  <c r="L19" i="1"/>
  <c r="N19" i="1" s="1"/>
  <c r="L44" i="1"/>
  <c r="N44" i="1" s="1"/>
  <c r="L29" i="1"/>
  <c r="N29" i="1" s="1"/>
  <c r="L27" i="1"/>
  <c r="N27" i="1" s="1"/>
  <c r="L26" i="1"/>
  <c r="N26" i="1" s="1"/>
  <c r="L14" i="1"/>
  <c r="N14" i="1" s="1"/>
  <c r="L31" i="1"/>
  <c r="N31" i="1" s="1"/>
  <c r="L40" i="1"/>
  <c r="N40" i="1" s="1"/>
  <c r="L21" i="1"/>
  <c r="N21" i="1" s="1"/>
  <c r="L34" i="1"/>
  <c r="N34" i="1" s="1"/>
  <c r="L7" i="1"/>
  <c r="N7" i="1" s="1"/>
  <c r="L32" i="1"/>
  <c r="N32" i="1" s="1"/>
  <c r="L15" i="1"/>
  <c r="N15" i="1" s="1"/>
  <c r="L13" i="1"/>
  <c r="N13" i="1" s="1"/>
  <c r="L51" i="1"/>
  <c r="N51" i="1" s="1"/>
  <c r="L39" i="1"/>
  <c r="N39" i="1" s="1"/>
  <c r="L20" i="1"/>
  <c r="N20" i="1" s="1"/>
  <c r="L2" i="1"/>
  <c r="N2" i="1" s="1"/>
  <c r="L18" i="1"/>
  <c r="N18" i="1" s="1"/>
  <c r="L17" i="1"/>
  <c r="N17" i="1" s="1"/>
  <c r="L41" i="1"/>
  <c r="N41" i="1" s="1"/>
  <c r="L25" i="1"/>
  <c r="N25" i="1" s="1"/>
  <c r="L24" i="1"/>
  <c r="N24" i="1" s="1"/>
  <c r="L12" i="1"/>
  <c r="N12" i="1" s="1"/>
  <c r="L50" i="1"/>
  <c r="N50" i="1" s="1"/>
  <c r="L38" i="1"/>
  <c r="N38" i="1" s="1"/>
  <c r="L5" i="1"/>
  <c r="N5" i="1" s="1"/>
  <c r="L16" i="1"/>
  <c r="N16" i="1" s="1"/>
  <c r="L23" i="1"/>
  <c r="N23" i="1" s="1"/>
  <c r="L11" i="1"/>
  <c r="N11" i="1" s="1"/>
  <c r="L49" i="1"/>
  <c r="N49" i="1" s="1"/>
  <c r="L37" i="1"/>
  <c r="N37" i="1" s="1"/>
  <c r="L47" i="1"/>
  <c r="N47" i="1" s="1"/>
  <c r="L46" i="1"/>
  <c r="N46" i="1" s="1"/>
  <c r="L45" i="1"/>
  <c r="N45" i="1" s="1"/>
  <c r="L6" i="1"/>
  <c r="N6" i="1" s="1"/>
  <c r="L22" i="1"/>
  <c r="N22" i="1" s="1"/>
  <c r="L10" i="1"/>
  <c r="N10" i="1" s="1"/>
  <c r="L48" i="1"/>
  <c r="N48" i="1" s="1"/>
  <c r="L36" i="1"/>
  <c r="N36" i="1" s="1"/>
</calcChain>
</file>

<file path=xl/sharedStrings.xml><?xml version="1.0" encoding="utf-8"?>
<sst xmlns="http://schemas.openxmlformats.org/spreadsheetml/2006/main" count="165" uniqueCount="61">
  <si>
    <t>Author</t>
  </si>
  <si>
    <t>Year</t>
  </si>
  <si>
    <t>weight</t>
  </si>
  <si>
    <t>group</t>
  </si>
  <si>
    <t>ES</t>
  </si>
  <si>
    <t>CI_lower</t>
  </si>
  <si>
    <t>CI_upper</t>
  </si>
  <si>
    <t>SE</t>
  </si>
  <si>
    <t>n</t>
  </si>
  <si>
    <t>pooled_sd</t>
  </si>
  <si>
    <t>Alles</t>
  </si>
  <si>
    <t>accepted</t>
  </si>
  <si>
    <t>Ampatzoglou</t>
  </si>
  <si>
    <t>General</t>
  </si>
  <si>
    <t>Beards</t>
  </si>
  <si>
    <t>Candidate</t>
  </si>
  <si>
    <t>Boler</t>
  </si>
  <si>
    <t>Bouhnik</t>
  </si>
  <si>
    <t>Calame</t>
  </si>
  <si>
    <t>Carvalho-Wells</t>
  </si>
  <si>
    <t>Clarke</t>
  </si>
  <si>
    <t>Cloetens</t>
  </si>
  <si>
    <t>Costabile</t>
  </si>
  <si>
    <t>Depeint</t>
  </si>
  <si>
    <t>Dewulf</t>
  </si>
  <si>
    <t>Fastinger</t>
  </si>
  <si>
    <t>Fernando</t>
  </si>
  <si>
    <t>Finegold</t>
  </si>
  <si>
    <t>Francois</t>
  </si>
  <si>
    <t>Gopal</t>
  </si>
  <si>
    <t>Grasten</t>
  </si>
  <si>
    <t>Holscher</t>
  </si>
  <si>
    <t>Jenkins</t>
  </si>
  <si>
    <t>Jie</t>
  </si>
  <si>
    <t>Kleessen</t>
  </si>
  <si>
    <t>Lecerf</t>
  </si>
  <si>
    <t>Lomax</t>
  </si>
  <si>
    <t>Maki</t>
  </si>
  <si>
    <t>Maneerat</t>
  </si>
  <si>
    <t>Martinez</t>
  </si>
  <si>
    <t>Nemoto</t>
  </si>
  <si>
    <t>Pasman</t>
  </si>
  <si>
    <t>Petry</t>
  </si>
  <si>
    <t>Ramnani</t>
  </si>
  <si>
    <t>Ross</t>
  </si>
  <si>
    <t>Slavin</t>
  </si>
  <si>
    <t>Smith</t>
  </si>
  <si>
    <t>Tap</t>
  </si>
  <si>
    <t>Ten</t>
  </si>
  <si>
    <t>Vulevic</t>
  </si>
  <si>
    <t>Walton</t>
  </si>
  <si>
    <t>Wu</t>
  </si>
  <si>
    <t>Zeng</t>
  </si>
  <si>
    <t>design</t>
  </si>
  <si>
    <t>p</t>
  </si>
  <si>
    <t>c</t>
  </si>
  <si>
    <t>Damen</t>
  </si>
  <si>
    <t>g</t>
  </si>
  <si>
    <t>d</t>
  </si>
  <si>
    <t>J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</si>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</sst>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42BD-B3FC-46E8-A428-6F50C091F508}">
  <dimension ref="A1:O51"/>
  <sheetViews>
    <sheetView tabSelected="1" topLeftCell="C1" workbookViewId="0">
      <selection activeCell="P3" sqref="P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</v>
      </c>
      <c r="K1" t="s">
        <v>9</v>
      </c>
      <c r="L1" t="s">
        <v>58</v>
      </c>
      <c r="M1" t="s">
        <v>59</v>
      </c>
      <c r="N1" t="s">
        <v>57</v>
      </c>
      <c r="O1" t="s">
        <v>60</v>
      </c>
    </row>
    <row r="2" spans="1:15" x14ac:dyDescent="0.25">
      <c r="A2" t="s">
        <v>12</v>
      </c>
      <c r="B2">
        <v>2015</v>
      </c>
      <c r="C2" s="1">
        <v>2.1999999999999999E-2</v>
      </c>
      <c r="D2" t="s">
        <v>13</v>
      </c>
      <c r="E2">
        <v>-0.17</v>
      </c>
      <c r="F2">
        <v>-0.66</v>
      </c>
      <c r="G2">
        <v>0.31</v>
      </c>
      <c r="H2">
        <v>0.24744898000000001</v>
      </c>
      <c r="I2">
        <v>33</v>
      </c>
      <c r="J2" t="s">
        <v>55</v>
      </c>
      <c r="K2">
        <f>H2*SQRT(I2)</f>
        <v>1.4214861674319357</v>
      </c>
      <c r="L2">
        <f>E2/K2</f>
        <v>-0.11959314405930724</v>
      </c>
      <c r="M2">
        <f t="shared" ref="M2:M30" si="0">1-3/(4*(I2-1)-1)</f>
        <v>0.97637795275590555</v>
      </c>
      <c r="N2">
        <f t="shared" ref="N2:N33" si="1">M2*L2</f>
        <v>-0.11676810916026849</v>
      </c>
      <c r="O2">
        <f>M2*H2/K2</f>
        <v>0.16996558534257114</v>
      </c>
    </row>
    <row r="3" spans="1:15" x14ac:dyDescent="0.25">
      <c r="A3" t="s">
        <v>16</v>
      </c>
      <c r="B3">
        <v>2011</v>
      </c>
      <c r="C3" s="1">
        <v>2.1000000000000001E-2</v>
      </c>
      <c r="D3" t="s">
        <v>15</v>
      </c>
      <c r="E3">
        <v>0.28000000000000003</v>
      </c>
      <c r="F3">
        <v>-0.33</v>
      </c>
      <c r="G3">
        <v>0.89</v>
      </c>
      <c r="H3">
        <v>0.31122449000000002</v>
      </c>
      <c r="I3">
        <v>21</v>
      </c>
      <c r="J3" t="s">
        <v>55</v>
      </c>
      <c r="K3">
        <f t="shared" ref="K3:K30" si="2">H3*SQRT(I3)</f>
        <v>1.4262097835490268</v>
      </c>
      <c r="L3">
        <f t="shared" ref="L3:L30" si="3">E3/K3</f>
        <v>0.19632455423439804</v>
      </c>
      <c r="M3">
        <f t="shared" si="0"/>
        <v>0.96202531645569622</v>
      </c>
      <c r="N3">
        <f t="shared" si="1"/>
        <v>0.18886919141537026</v>
      </c>
      <c r="O3">
        <f>M3*H3/K3</f>
        <v>0.209931134910575</v>
      </c>
    </row>
    <row r="4" spans="1:15" x14ac:dyDescent="0.25">
      <c r="A4" t="s">
        <v>19</v>
      </c>
      <c r="B4">
        <v>2010</v>
      </c>
      <c r="C4" s="1">
        <v>2.1999999999999999E-2</v>
      </c>
      <c r="D4" t="s">
        <v>13</v>
      </c>
      <c r="E4">
        <v>0.63</v>
      </c>
      <c r="F4">
        <v>0.13</v>
      </c>
      <c r="G4">
        <v>1.1299999999999999</v>
      </c>
      <c r="H4">
        <v>0.255102041</v>
      </c>
      <c r="I4">
        <v>32</v>
      </c>
      <c r="J4" t="s">
        <v>55</v>
      </c>
      <c r="K4">
        <f t="shared" si="2"/>
        <v>1.4430750646850294</v>
      </c>
      <c r="L4">
        <f t="shared" si="3"/>
        <v>0.43656772639024566</v>
      </c>
      <c r="M4">
        <f t="shared" si="0"/>
        <v>0.97560975609756095</v>
      </c>
      <c r="N4">
        <f t="shared" si="1"/>
        <v>0.42591973306365427</v>
      </c>
      <c r="O4">
        <f>M4*H4/K4</f>
        <v>0.17246506858208477</v>
      </c>
    </row>
    <row r="5" spans="1:15" x14ac:dyDescent="0.25">
      <c r="A5" t="s">
        <v>20</v>
      </c>
      <c r="B5">
        <v>2016</v>
      </c>
      <c r="C5" s="1">
        <v>2.1999999999999999E-2</v>
      </c>
      <c r="D5" t="s">
        <v>11</v>
      </c>
      <c r="E5">
        <v>0.91</v>
      </c>
      <c r="F5">
        <v>0.38</v>
      </c>
      <c r="G5">
        <v>1.44</v>
      </c>
      <c r="H5">
        <v>0.27040816299999998</v>
      </c>
      <c r="I5">
        <v>30</v>
      </c>
      <c r="J5" t="s">
        <v>55</v>
      </c>
      <c r="K5">
        <f t="shared" si="2"/>
        <v>1.4810865060863383</v>
      </c>
      <c r="L5">
        <f t="shared" si="3"/>
        <v>0.6144138078771697</v>
      </c>
      <c r="M5">
        <f t="shared" si="0"/>
        <v>0.97391304347826091</v>
      </c>
      <c r="N5">
        <f t="shared" si="1"/>
        <v>0.59838562158472186</v>
      </c>
      <c r="O5">
        <f>M5*H5/K5</f>
        <v>0.17781138098718435</v>
      </c>
    </row>
    <row r="6" spans="1:15" x14ac:dyDescent="0.25">
      <c r="A6" t="s">
        <v>21</v>
      </c>
      <c r="B6">
        <v>2010</v>
      </c>
      <c r="C6" s="1">
        <v>2.1000000000000001E-2</v>
      </c>
      <c r="D6" t="s">
        <v>15</v>
      </c>
      <c r="E6">
        <v>0.1</v>
      </c>
      <c r="F6">
        <v>-0.52</v>
      </c>
      <c r="G6">
        <v>0.72</v>
      </c>
      <c r="H6">
        <v>0.31632653100000002</v>
      </c>
      <c r="I6">
        <v>20</v>
      </c>
      <c r="J6" t="s">
        <v>55</v>
      </c>
      <c r="K6">
        <f t="shared" si="2"/>
        <v>1.4146552528053893</v>
      </c>
      <c r="L6">
        <f t="shared" si="3"/>
        <v>7.0688600492375062E-2</v>
      </c>
      <c r="M6">
        <f t="shared" si="0"/>
        <v>0.96</v>
      </c>
      <c r="N6">
        <f t="shared" si="1"/>
        <v>6.7861056472680051E-2</v>
      </c>
      <c r="O6">
        <f>M6*H6/K6</f>
        <v>0.2146625258399798</v>
      </c>
    </row>
    <row r="7" spans="1:15" x14ac:dyDescent="0.25">
      <c r="A7" t="s">
        <v>22</v>
      </c>
      <c r="B7">
        <v>2010</v>
      </c>
      <c r="C7" s="1">
        <v>2.1999999999999999E-2</v>
      </c>
      <c r="D7" t="s">
        <v>11</v>
      </c>
      <c r="E7">
        <v>0.12</v>
      </c>
      <c r="F7">
        <v>-0.38</v>
      </c>
      <c r="G7">
        <v>0.62</v>
      </c>
      <c r="H7">
        <v>0.255102041</v>
      </c>
      <c r="I7">
        <v>31</v>
      </c>
      <c r="J7" t="s">
        <v>55</v>
      </c>
      <c r="K7">
        <f t="shared" si="2"/>
        <v>1.420348052765003</v>
      </c>
      <c r="L7">
        <f t="shared" si="3"/>
        <v>8.4486334012564765E-2</v>
      </c>
      <c r="M7">
        <f t="shared" si="0"/>
        <v>0.97478991596638653</v>
      </c>
      <c r="N7">
        <f t="shared" si="1"/>
        <v>8.2356426432416072E-2</v>
      </c>
      <c r="O7">
        <f>M7*H7/K7</f>
        <v>0.17507743726979741</v>
      </c>
    </row>
    <row r="8" spans="1:15" x14ac:dyDescent="0.25">
      <c r="A8" t="s">
        <v>22</v>
      </c>
      <c r="B8">
        <v>2012</v>
      </c>
      <c r="C8" s="1">
        <v>2.1999999999999999E-2</v>
      </c>
      <c r="D8" t="s">
        <v>15</v>
      </c>
      <c r="E8">
        <v>0.17</v>
      </c>
      <c r="F8">
        <v>-0.33</v>
      </c>
      <c r="G8">
        <v>0.67</v>
      </c>
      <c r="H8">
        <v>0.255102041</v>
      </c>
      <c r="I8">
        <v>31</v>
      </c>
      <c r="J8" t="s">
        <v>55</v>
      </c>
      <c r="K8">
        <f t="shared" si="2"/>
        <v>1.420348052765003</v>
      </c>
      <c r="L8">
        <f t="shared" si="3"/>
        <v>0.11968897318446675</v>
      </c>
      <c r="M8">
        <f t="shared" si="0"/>
        <v>0.97478991596638653</v>
      </c>
      <c r="N8">
        <f t="shared" si="1"/>
        <v>0.11667160411258944</v>
      </c>
      <c r="O8">
        <f>M8*H8/K8</f>
        <v>0.17507743726979741</v>
      </c>
    </row>
    <row r="9" spans="1:15" x14ac:dyDescent="0.25">
      <c r="A9" t="s">
        <v>22</v>
      </c>
      <c r="B9">
        <v>2008</v>
      </c>
      <c r="C9" s="1">
        <v>2.1000000000000001E-2</v>
      </c>
      <c r="D9" t="s">
        <v>13</v>
      </c>
      <c r="E9">
        <v>-1.23</v>
      </c>
      <c r="F9">
        <v>-1.78</v>
      </c>
      <c r="G9">
        <v>-0.69</v>
      </c>
      <c r="H9">
        <v>0.278061224</v>
      </c>
      <c r="I9">
        <v>31</v>
      </c>
      <c r="J9" t="s">
        <v>55</v>
      </c>
      <c r="K9">
        <f t="shared" si="2"/>
        <v>1.5481793736720959</v>
      </c>
      <c r="L9">
        <f t="shared" si="3"/>
        <v>-0.7944815832822959</v>
      </c>
      <c r="M9">
        <f t="shared" si="0"/>
        <v>0.97478991596638653</v>
      </c>
      <c r="N9">
        <f t="shared" si="1"/>
        <v>-0.77445263580459089</v>
      </c>
      <c r="O9">
        <f>M9*H9/K9</f>
        <v>0.17507743726979741</v>
      </c>
    </row>
    <row r="10" spans="1:15" x14ac:dyDescent="0.25">
      <c r="A10" t="s">
        <v>56</v>
      </c>
      <c r="B10">
        <v>2012</v>
      </c>
      <c r="C10" s="1">
        <v>2.1999999999999999E-2</v>
      </c>
      <c r="D10" t="s">
        <v>15</v>
      </c>
      <c r="E10">
        <v>0.23</v>
      </c>
      <c r="F10">
        <v>-0.31</v>
      </c>
      <c r="G10">
        <v>0.76</v>
      </c>
      <c r="H10">
        <v>0.27295918400000002</v>
      </c>
      <c r="I10">
        <v>27</v>
      </c>
      <c r="J10" t="s">
        <v>55</v>
      </c>
      <c r="K10">
        <f t="shared" si="2"/>
        <v>1.4183375252416255</v>
      </c>
      <c r="L10">
        <f t="shared" si="3"/>
        <v>0.16216168289055005</v>
      </c>
      <c r="M10">
        <f t="shared" si="0"/>
        <v>0.970873786407767</v>
      </c>
      <c r="N10">
        <f t="shared" si="1"/>
        <v>0.15743852707820394</v>
      </c>
      <c r="O10">
        <f>M10*H10/K10</f>
        <v>0.1868447473105585</v>
      </c>
    </row>
    <row r="11" spans="1:15" x14ac:dyDescent="0.25">
      <c r="A11" t="s">
        <v>23</v>
      </c>
      <c r="B11">
        <v>2008</v>
      </c>
      <c r="C11" s="1">
        <v>2.1000000000000001E-2</v>
      </c>
      <c r="D11" t="s">
        <v>11</v>
      </c>
      <c r="E11">
        <v>1.79</v>
      </c>
      <c r="F11">
        <v>1.18</v>
      </c>
      <c r="G11">
        <v>2.39</v>
      </c>
      <c r="H11">
        <v>0.30867346899999998</v>
      </c>
      <c r="I11">
        <v>30</v>
      </c>
      <c r="J11" t="s">
        <v>55</v>
      </c>
      <c r="K11">
        <f t="shared" si="2"/>
        <v>1.6906742187467161</v>
      </c>
      <c r="L11">
        <f t="shared" si="3"/>
        <v>1.0587492138650541</v>
      </c>
      <c r="M11">
        <f t="shared" si="0"/>
        <v>0.97391304347826091</v>
      </c>
      <c r="N11">
        <f t="shared" si="1"/>
        <v>1.0311296691555309</v>
      </c>
      <c r="O11">
        <f>M11*H11/K11</f>
        <v>0.17781138098718435</v>
      </c>
    </row>
    <row r="12" spans="1:15" x14ac:dyDescent="0.25">
      <c r="A12" t="s">
        <v>26</v>
      </c>
      <c r="B12">
        <v>2010</v>
      </c>
      <c r="C12" s="1">
        <v>1.7999999999999999E-2</v>
      </c>
      <c r="D12" t="s">
        <v>13</v>
      </c>
      <c r="E12">
        <v>0.17</v>
      </c>
      <c r="F12">
        <v>-0.63</v>
      </c>
      <c r="G12">
        <v>0.97</v>
      </c>
      <c r="H12">
        <v>0.408163265</v>
      </c>
      <c r="I12">
        <v>12</v>
      </c>
      <c r="J12" t="s">
        <v>55</v>
      </c>
      <c r="K12">
        <f t="shared" si="2"/>
        <v>1.4139190255263991</v>
      </c>
      <c r="L12">
        <f t="shared" si="3"/>
        <v>0.12023319364891448</v>
      </c>
      <c r="M12">
        <f t="shared" si="0"/>
        <v>0.93023255813953487</v>
      </c>
      <c r="N12">
        <f t="shared" si="1"/>
        <v>0.1118448313013158</v>
      </c>
      <c r="O12">
        <f>M12*H12/K12</f>
        <v>0.26853500892540738</v>
      </c>
    </row>
    <row r="13" spans="1:15" x14ac:dyDescent="0.25">
      <c r="A13" t="s">
        <v>28</v>
      </c>
      <c r="B13">
        <v>2012</v>
      </c>
      <c r="C13" s="1">
        <v>2.3E-2</v>
      </c>
      <c r="D13" t="s">
        <v>13</v>
      </c>
      <c r="E13">
        <v>0.61</v>
      </c>
      <c r="F13">
        <v>0.23</v>
      </c>
      <c r="G13">
        <v>0.99</v>
      </c>
      <c r="H13">
        <v>0.19387755100000001</v>
      </c>
      <c r="I13">
        <v>52</v>
      </c>
      <c r="J13" t="s">
        <v>55</v>
      </c>
      <c r="K13">
        <f t="shared" si="2"/>
        <v>1.3980709025837692</v>
      </c>
      <c r="L13">
        <f t="shared" si="3"/>
        <v>0.43631549649782531</v>
      </c>
      <c r="M13">
        <f t="shared" si="0"/>
        <v>0.98522167487684731</v>
      </c>
      <c r="N13">
        <f t="shared" si="1"/>
        <v>0.42986748423431065</v>
      </c>
      <c r="O13">
        <f>M13*H13/K13</f>
        <v>0.13662566409488403</v>
      </c>
    </row>
    <row r="14" spans="1:15" x14ac:dyDescent="0.25">
      <c r="A14" t="s">
        <v>30</v>
      </c>
      <c r="B14">
        <v>2007</v>
      </c>
      <c r="C14" s="1">
        <v>1.9E-2</v>
      </c>
      <c r="D14" t="s">
        <v>13</v>
      </c>
      <c r="E14">
        <v>-0.16</v>
      </c>
      <c r="F14">
        <v>-0.91</v>
      </c>
      <c r="G14">
        <v>0.57999999999999996</v>
      </c>
      <c r="H14">
        <v>0.380102041</v>
      </c>
      <c r="I14">
        <v>14</v>
      </c>
      <c r="J14" t="s">
        <v>55</v>
      </c>
      <c r="K14">
        <f t="shared" si="2"/>
        <v>1.4222116094355015</v>
      </c>
      <c r="L14">
        <f t="shared" si="3"/>
        <v>-0.1125008394942765</v>
      </c>
      <c r="M14">
        <f t="shared" si="0"/>
        <v>0.94117647058823528</v>
      </c>
      <c r="N14">
        <f t="shared" si="1"/>
        <v>-0.1058831430534367</v>
      </c>
      <c r="O14">
        <f>M14*H14/K14</f>
        <v>0.2515399923881641</v>
      </c>
    </row>
    <row r="15" spans="1:15" x14ac:dyDescent="0.25">
      <c r="A15" t="s">
        <v>31</v>
      </c>
      <c r="B15">
        <v>2015</v>
      </c>
      <c r="C15" s="1">
        <v>2.1999999999999999E-2</v>
      </c>
      <c r="D15" t="s">
        <v>11</v>
      </c>
      <c r="E15">
        <v>0.71</v>
      </c>
      <c r="F15">
        <v>0.17</v>
      </c>
      <c r="G15">
        <v>1.24</v>
      </c>
      <c r="H15">
        <v>0.27295918400000002</v>
      </c>
      <c r="I15">
        <v>29</v>
      </c>
      <c r="J15" t="s">
        <v>55</v>
      </c>
      <c r="K15">
        <f t="shared" si="2"/>
        <v>1.4699301914609517</v>
      </c>
      <c r="L15">
        <f t="shared" si="3"/>
        <v>0.48301613513655145</v>
      </c>
      <c r="M15">
        <f t="shared" si="0"/>
        <v>0.97297297297297303</v>
      </c>
      <c r="N15">
        <f t="shared" si="1"/>
        <v>0.46996164499772575</v>
      </c>
      <c r="O15">
        <f>M15*H15/K15</f>
        <v>0.18067654525334778</v>
      </c>
    </row>
    <row r="16" spans="1:15" x14ac:dyDescent="0.25">
      <c r="A16" t="s">
        <v>32</v>
      </c>
      <c r="B16">
        <v>1999</v>
      </c>
      <c r="C16" s="1">
        <v>1.9E-2</v>
      </c>
      <c r="D16" t="s">
        <v>13</v>
      </c>
      <c r="E16">
        <v>0</v>
      </c>
      <c r="F16">
        <v>-0.74</v>
      </c>
      <c r="G16">
        <v>0.74</v>
      </c>
      <c r="H16">
        <v>0.37755102000000001</v>
      </c>
      <c r="I16">
        <v>24</v>
      </c>
      <c r="J16" t="s">
        <v>55</v>
      </c>
      <c r="K16">
        <f t="shared" si="2"/>
        <v>1.8496147017346529</v>
      </c>
      <c r="L16">
        <f t="shared" si="3"/>
        <v>0</v>
      </c>
      <c r="M16">
        <f t="shared" si="0"/>
        <v>0.96703296703296704</v>
      </c>
      <c r="N16">
        <f t="shared" si="1"/>
        <v>0</v>
      </c>
      <c r="O16">
        <f>M16*H16/K16</f>
        <v>0.19739477780670303</v>
      </c>
    </row>
    <row r="17" spans="1:15" x14ac:dyDescent="0.25">
      <c r="A17" t="s">
        <v>36</v>
      </c>
      <c r="B17">
        <v>2012</v>
      </c>
      <c r="C17" s="1">
        <v>2.1000000000000001E-2</v>
      </c>
      <c r="D17" t="s">
        <v>11</v>
      </c>
      <c r="E17">
        <v>0.84</v>
      </c>
      <c r="F17">
        <v>0.21</v>
      </c>
      <c r="G17">
        <v>1.46</v>
      </c>
      <c r="H17">
        <v>0.31887755099999998</v>
      </c>
      <c r="I17">
        <v>43</v>
      </c>
      <c r="J17" t="s">
        <v>55</v>
      </c>
      <c r="K17">
        <f t="shared" si="2"/>
        <v>2.0910199374624758</v>
      </c>
      <c r="L17">
        <f t="shared" si="3"/>
        <v>0.40171783393867044</v>
      </c>
      <c r="M17">
        <f t="shared" si="0"/>
        <v>0.98203592814371254</v>
      </c>
      <c r="N17">
        <f t="shared" si="1"/>
        <v>0.394501345903844</v>
      </c>
      <c r="O17">
        <f>M17*H17/K17</f>
        <v>0.14975907505716865</v>
      </c>
    </row>
    <row r="18" spans="1:15" x14ac:dyDescent="0.25">
      <c r="A18" t="s">
        <v>37</v>
      </c>
      <c r="B18">
        <v>2012</v>
      </c>
      <c r="C18" s="1">
        <v>2.3E-2</v>
      </c>
      <c r="D18" t="s">
        <v>15</v>
      </c>
      <c r="E18">
        <v>0.4</v>
      </c>
      <c r="F18">
        <v>0.02</v>
      </c>
      <c r="G18">
        <v>0.78</v>
      </c>
      <c r="H18">
        <v>0.19387755100000001</v>
      </c>
      <c r="I18">
        <v>55</v>
      </c>
      <c r="J18" t="s">
        <v>55</v>
      </c>
      <c r="K18">
        <f t="shared" si="2"/>
        <v>1.4378344004080124</v>
      </c>
      <c r="L18">
        <f t="shared" si="3"/>
        <v>0.27819615380359003</v>
      </c>
      <c r="M18">
        <f t="shared" si="0"/>
        <v>0.98604651162790702</v>
      </c>
      <c r="N18">
        <f t="shared" si="1"/>
        <v>0.27431434700633067</v>
      </c>
      <c r="O18">
        <f>M18*H18/K18</f>
        <v>0.13295848450437889</v>
      </c>
    </row>
    <row r="19" spans="1:15" x14ac:dyDescent="0.25">
      <c r="A19" t="s">
        <v>38</v>
      </c>
      <c r="B19">
        <v>2013</v>
      </c>
      <c r="C19" s="1">
        <v>2.1999999999999999E-2</v>
      </c>
      <c r="D19" t="s">
        <v>11</v>
      </c>
      <c r="E19">
        <v>-0.39</v>
      </c>
      <c r="F19">
        <v>-0.86</v>
      </c>
      <c r="G19">
        <v>0.08</v>
      </c>
      <c r="H19">
        <v>0.239795918</v>
      </c>
      <c r="I19">
        <v>35</v>
      </c>
      <c r="J19" t="s">
        <v>55</v>
      </c>
      <c r="K19">
        <f t="shared" si="2"/>
        <v>1.4186517825496132</v>
      </c>
      <c r="L19">
        <f t="shared" si="3"/>
        <v>-0.27490889927836176</v>
      </c>
      <c r="M19">
        <f t="shared" si="0"/>
        <v>0.97777777777777775</v>
      </c>
      <c r="N19">
        <f t="shared" si="1"/>
        <v>-0.2687998126277315</v>
      </c>
      <c r="O19">
        <f>M19*H19/K19</f>
        <v>0.16527460981357658</v>
      </c>
    </row>
    <row r="20" spans="1:15" x14ac:dyDescent="0.25">
      <c r="A20" t="s">
        <v>39</v>
      </c>
      <c r="B20">
        <v>2010</v>
      </c>
      <c r="C20" s="1">
        <v>1.9E-2</v>
      </c>
      <c r="D20" t="s">
        <v>15</v>
      </c>
      <c r="E20">
        <v>0.71</v>
      </c>
      <c r="F20">
        <v>-7.0000000000000007E-2</v>
      </c>
      <c r="G20">
        <v>1.49</v>
      </c>
      <c r="H20">
        <v>0.39795918400000002</v>
      </c>
      <c r="I20">
        <v>10</v>
      </c>
      <c r="J20" t="s">
        <v>55</v>
      </c>
      <c r="K20">
        <f t="shared" si="2"/>
        <v>1.2584574372220376</v>
      </c>
      <c r="L20">
        <f t="shared" si="3"/>
        <v>0.56418276772814702</v>
      </c>
      <c r="M20">
        <f t="shared" si="0"/>
        <v>0.91428571428571426</v>
      </c>
      <c r="N20">
        <f t="shared" si="1"/>
        <v>0.51582424478002009</v>
      </c>
      <c r="O20">
        <f>M20*H20/K20</f>
        <v>0.28912252892968038</v>
      </c>
    </row>
    <row r="21" spans="1:15" x14ac:dyDescent="0.25">
      <c r="A21" t="s">
        <v>42</v>
      </c>
      <c r="B21">
        <v>2012</v>
      </c>
      <c r="C21" s="1">
        <v>2.1999999999999999E-2</v>
      </c>
      <c r="D21" t="s">
        <v>11</v>
      </c>
      <c r="E21">
        <v>1.06</v>
      </c>
      <c r="F21">
        <v>0.54</v>
      </c>
      <c r="G21">
        <v>1.59</v>
      </c>
      <c r="H21">
        <v>0.26785714300000002</v>
      </c>
      <c r="I21">
        <v>32</v>
      </c>
      <c r="J21" t="s">
        <v>55</v>
      </c>
      <c r="K21">
        <f t="shared" si="2"/>
        <v>1.5152288176364384</v>
      </c>
      <c r="L21">
        <f t="shared" si="3"/>
        <v>0.69956430848078999</v>
      </c>
      <c r="M21">
        <f t="shared" si="0"/>
        <v>0.97560975609756095</v>
      </c>
      <c r="N21">
        <f t="shared" si="1"/>
        <v>0.68250176437150245</v>
      </c>
      <c r="O21">
        <f>M21*H21/K21</f>
        <v>0.17246506858208474</v>
      </c>
    </row>
    <row r="22" spans="1:15" x14ac:dyDescent="0.25">
      <c r="A22" t="s">
        <v>43</v>
      </c>
      <c r="B22">
        <v>2015</v>
      </c>
      <c r="C22" s="1">
        <v>2.1999999999999999E-2</v>
      </c>
      <c r="D22" t="s">
        <v>11</v>
      </c>
      <c r="E22">
        <v>0.49</v>
      </c>
      <c r="F22">
        <v>0.04</v>
      </c>
      <c r="G22">
        <v>0.95</v>
      </c>
      <c r="H22">
        <v>0.23214285700000001</v>
      </c>
      <c r="I22">
        <v>38</v>
      </c>
      <c r="J22" t="s">
        <v>55</v>
      </c>
      <c r="K22">
        <f t="shared" si="2"/>
        <v>1.4310246783800247</v>
      </c>
      <c r="L22">
        <f t="shared" si="3"/>
        <v>0.34241198450518612</v>
      </c>
      <c r="M22">
        <f t="shared" si="0"/>
        <v>0.97959183673469385</v>
      </c>
      <c r="N22">
        <f t="shared" si="1"/>
        <v>0.33542398482140678</v>
      </c>
      <c r="O22">
        <f>M22*H22/K22</f>
        <v>0.15891077988319596</v>
      </c>
    </row>
    <row r="23" spans="1:15" x14ac:dyDescent="0.25">
      <c r="A23" t="s">
        <v>44</v>
      </c>
      <c r="B23">
        <v>2011</v>
      </c>
      <c r="C23" s="1">
        <v>0.02</v>
      </c>
      <c r="D23" t="s">
        <v>13</v>
      </c>
      <c r="E23">
        <v>0.25</v>
      </c>
      <c r="F23">
        <v>-0.43</v>
      </c>
      <c r="G23">
        <v>0.92</v>
      </c>
      <c r="H23">
        <v>0.34438775500000002</v>
      </c>
      <c r="I23">
        <v>17</v>
      </c>
      <c r="J23" t="s">
        <v>55</v>
      </c>
      <c r="K23">
        <f t="shared" si="2"/>
        <v>1.4199470900343367</v>
      </c>
      <c r="L23">
        <f t="shared" si="3"/>
        <v>0.17606289822668997</v>
      </c>
      <c r="M23">
        <f t="shared" si="0"/>
        <v>0.95238095238095233</v>
      </c>
      <c r="N23">
        <f t="shared" si="1"/>
        <v>0.16767895069208569</v>
      </c>
      <c r="O23">
        <f>M23*H23/K23</f>
        <v>0.23098630955841232</v>
      </c>
    </row>
    <row r="24" spans="1:15" x14ac:dyDescent="0.25">
      <c r="A24" t="s">
        <v>46</v>
      </c>
      <c r="B24">
        <v>2006</v>
      </c>
      <c r="C24" s="1">
        <v>0.02</v>
      </c>
      <c r="D24" t="s">
        <v>13</v>
      </c>
      <c r="E24">
        <v>0.54</v>
      </c>
      <c r="F24">
        <v>-0.12</v>
      </c>
      <c r="G24">
        <v>1.21</v>
      </c>
      <c r="H24">
        <v>0.33928571400000002</v>
      </c>
      <c r="I24">
        <v>18</v>
      </c>
      <c r="J24" t="s">
        <v>55</v>
      </c>
      <c r="K24">
        <f t="shared" si="2"/>
        <v>1.4394673747747173</v>
      </c>
      <c r="L24">
        <f t="shared" si="3"/>
        <v>0.37513875580855893</v>
      </c>
      <c r="M24">
        <f t="shared" si="0"/>
        <v>0.95522388059701491</v>
      </c>
      <c r="N24">
        <f t="shared" si="1"/>
        <v>0.35834149808578764</v>
      </c>
      <c r="O24">
        <f>M24*H24/K24</f>
        <v>0.22514842784049272</v>
      </c>
    </row>
    <row r="25" spans="1:15" x14ac:dyDescent="0.25">
      <c r="A25" t="s">
        <v>47</v>
      </c>
      <c r="B25">
        <v>2015</v>
      </c>
      <c r="C25" s="1">
        <v>0.02</v>
      </c>
      <c r="D25" t="s">
        <v>13</v>
      </c>
      <c r="E25">
        <v>0.36</v>
      </c>
      <c r="F25">
        <v>-0.28000000000000003</v>
      </c>
      <c r="G25">
        <v>1</v>
      </c>
      <c r="H25">
        <v>0.326530612</v>
      </c>
      <c r="I25">
        <v>19</v>
      </c>
      <c r="J25" t="s">
        <v>55</v>
      </c>
      <c r="K25">
        <f t="shared" si="2"/>
        <v>1.4233139396804897</v>
      </c>
      <c r="L25">
        <f t="shared" si="3"/>
        <v>0.25293084678199246</v>
      </c>
      <c r="M25">
        <f t="shared" si="0"/>
        <v>0.95774647887323949</v>
      </c>
      <c r="N25">
        <f t="shared" si="1"/>
        <v>0.24224362790388013</v>
      </c>
      <c r="O25">
        <f>M25*H25/K25</f>
        <v>0.21972211131265068</v>
      </c>
    </row>
    <row r="26" spans="1:15" x14ac:dyDescent="0.25">
      <c r="A26" t="s">
        <v>48</v>
      </c>
      <c r="B26">
        <v>2006</v>
      </c>
      <c r="C26" s="1">
        <v>2.1000000000000001E-2</v>
      </c>
      <c r="D26" t="s">
        <v>11</v>
      </c>
      <c r="E26">
        <v>1.48</v>
      </c>
      <c r="F26">
        <v>0.9</v>
      </c>
      <c r="G26">
        <v>2.0699999999999998</v>
      </c>
      <c r="H26">
        <v>0.298469388</v>
      </c>
      <c r="I26">
        <v>29</v>
      </c>
      <c r="J26" t="s">
        <v>55</v>
      </c>
      <c r="K26">
        <f t="shared" si="2"/>
        <v>1.6073068442645735</v>
      </c>
      <c r="L26">
        <f t="shared" si="3"/>
        <v>0.92079493425984693</v>
      </c>
      <c r="M26">
        <f t="shared" si="0"/>
        <v>0.97297297297297303</v>
      </c>
      <c r="N26">
        <f t="shared" si="1"/>
        <v>0.89590858468525647</v>
      </c>
      <c r="O26">
        <f>M26*H26/K26</f>
        <v>0.18067654525334778</v>
      </c>
    </row>
    <row r="27" spans="1:15" x14ac:dyDescent="0.25">
      <c r="A27" t="s">
        <v>49</v>
      </c>
      <c r="B27">
        <v>2008</v>
      </c>
      <c r="C27" s="1">
        <v>2.1999999999999999E-2</v>
      </c>
      <c r="D27" t="s">
        <v>11</v>
      </c>
      <c r="E27">
        <v>2.0499999999999998</v>
      </c>
      <c r="F27">
        <v>1.51</v>
      </c>
      <c r="G27">
        <v>2.59</v>
      </c>
      <c r="H27">
        <v>0.27551020399999998</v>
      </c>
      <c r="I27">
        <v>41</v>
      </c>
      <c r="J27" t="s">
        <v>55</v>
      </c>
      <c r="K27">
        <f t="shared" si="2"/>
        <v>1.7641260648924684</v>
      </c>
      <c r="L27">
        <f t="shared" si="3"/>
        <v>1.1620484730636054</v>
      </c>
      <c r="M27">
        <f t="shared" si="0"/>
        <v>0.98113207547169812</v>
      </c>
      <c r="N27">
        <f t="shared" si="1"/>
        <v>1.1401230301756129</v>
      </c>
      <c r="O27">
        <f>M27*H27/K27</f>
        <v>0.15322708713599087</v>
      </c>
    </row>
    <row r="28" spans="1:15" x14ac:dyDescent="0.25">
      <c r="A28" t="s">
        <v>49</v>
      </c>
      <c r="B28">
        <v>2015</v>
      </c>
      <c r="C28" s="1">
        <v>2.3E-2</v>
      </c>
      <c r="D28" t="s">
        <v>11</v>
      </c>
      <c r="E28">
        <v>0.06</v>
      </c>
      <c r="F28">
        <v>-0.38</v>
      </c>
      <c r="G28">
        <v>0.5</v>
      </c>
      <c r="H28">
        <v>0.22448979599999999</v>
      </c>
      <c r="I28">
        <v>40</v>
      </c>
      <c r="J28" t="s">
        <v>55</v>
      </c>
      <c r="K28">
        <f t="shared" si="2"/>
        <v>1.4197981336531136</v>
      </c>
      <c r="L28">
        <f t="shared" si="3"/>
        <v>4.2259528715973965E-2</v>
      </c>
      <c r="M28">
        <f t="shared" si="0"/>
        <v>0.98064516129032253</v>
      </c>
      <c r="N28">
        <f t="shared" si="1"/>
        <v>4.1441602353729304E-2</v>
      </c>
      <c r="O28">
        <f>M28*H28/K28</f>
        <v>0.1550536143050302</v>
      </c>
    </row>
    <row r="29" spans="1:15" x14ac:dyDescent="0.25">
      <c r="A29" t="s">
        <v>50</v>
      </c>
      <c r="B29">
        <v>2012</v>
      </c>
      <c r="C29" s="1">
        <v>2.1999999999999999E-2</v>
      </c>
      <c r="D29" t="s">
        <v>11</v>
      </c>
      <c r="E29">
        <v>0.5</v>
      </c>
      <c r="F29">
        <v>0.04</v>
      </c>
      <c r="G29">
        <v>0.97</v>
      </c>
      <c r="H29">
        <v>0.23724489800000001</v>
      </c>
      <c r="I29">
        <v>37</v>
      </c>
      <c r="J29" t="s">
        <v>55</v>
      </c>
      <c r="K29">
        <f t="shared" si="2"/>
        <v>1.4431043760588229</v>
      </c>
      <c r="L29">
        <f t="shared" si="3"/>
        <v>0.34647528501404762</v>
      </c>
      <c r="M29">
        <f t="shared" si="0"/>
        <v>0.97902097902097907</v>
      </c>
      <c r="N29">
        <f t="shared" si="1"/>
        <v>0.33920657274102567</v>
      </c>
      <c r="O29">
        <f>M29*H29/K29</f>
        <v>0.16095005750174843</v>
      </c>
    </row>
    <row r="30" spans="1:15" x14ac:dyDescent="0.25">
      <c r="A30" t="s">
        <v>50</v>
      </c>
      <c r="B30">
        <v>2012</v>
      </c>
      <c r="C30" s="1">
        <v>2.3E-2</v>
      </c>
      <c r="D30" t="s">
        <v>15</v>
      </c>
      <c r="E30">
        <v>0.21</v>
      </c>
      <c r="F30">
        <v>-0.23</v>
      </c>
      <c r="G30">
        <v>0.64</v>
      </c>
      <c r="H30">
        <v>0.221938776</v>
      </c>
      <c r="I30">
        <v>40</v>
      </c>
      <c r="J30" t="s">
        <v>55</v>
      </c>
      <c r="K30">
        <f t="shared" si="2"/>
        <v>1.4036640665398283</v>
      </c>
      <c r="L30">
        <f t="shared" si="3"/>
        <v>0.14960844621296809</v>
      </c>
      <c r="M30">
        <f t="shared" si="0"/>
        <v>0.98064516129032253</v>
      </c>
      <c r="N30">
        <f t="shared" si="1"/>
        <v>0.14671279886691063</v>
      </c>
      <c r="O30">
        <f>M30*H30/K30</f>
        <v>0.15505361430503017</v>
      </c>
    </row>
    <row r="31" spans="1:15" x14ac:dyDescent="0.25">
      <c r="A31" t="s">
        <v>10</v>
      </c>
      <c r="B31">
        <v>1999</v>
      </c>
      <c r="C31" s="1">
        <v>1.9E-2</v>
      </c>
      <c r="D31" t="s">
        <v>11</v>
      </c>
      <c r="E31">
        <v>-0.53</v>
      </c>
      <c r="F31">
        <v>-1.3</v>
      </c>
      <c r="G31">
        <v>0.24</v>
      </c>
      <c r="H31">
        <v>0.39285714300000002</v>
      </c>
      <c r="I31">
        <v>27.4</v>
      </c>
      <c r="J31" t="s">
        <v>54</v>
      </c>
      <c r="K31">
        <f>H31*SQRT(I31/4)</f>
        <v>1.0282055404547958</v>
      </c>
      <c r="L31">
        <f>E31/K31</f>
        <v>-0.51546113996387377</v>
      </c>
      <c r="M31">
        <f t="shared" ref="M31:M51" si="4">1-3/(4*(I31-2)-1)</f>
        <v>0.97017892644135184</v>
      </c>
      <c r="N31">
        <f t="shared" si="1"/>
        <v>-0.50008953539238643</v>
      </c>
      <c r="O31">
        <f>M31*H31/K31</f>
        <v>0.37068631343103842</v>
      </c>
    </row>
    <row r="32" spans="1:15" x14ac:dyDescent="0.25">
      <c r="A32" t="s">
        <v>14</v>
      </c>
      <c r="B32">
        <v>2010</v>
      </c>
      <c r="C32" s="1">
        <v>1.6E-2</v>
      </c>
      <c r="D32" t="s">
        <v>15</v>
      </c>
      <c r="E32">
        <v>2.59</v>
      </c>
      <c r="F32">
        <v>1.55</v>
      </c>
      <c r="G32">
        <v>3.62</v>
      </c>
      <c r="H32">
        <v>0.528061224</v>
      </c>
      <c r="I32">
        <v>30</v>
      </c>
      <c r="J32" t="s">
        <v>54</v>
      </c>
      <c r="K32">
        <f t="shared" ref="K32:K51" si="5">H32*SQRT(I32/4)</f>
        <v>1.446155220642942</v>
      </c>
      <c r="L32">
        <f t="shared" ref="L32:L51" si="6">E32/K32</f>
        <v>1.7909557446043165</v>
      </c>
      <c r="M32">
        <f t="shared" si="4"/>
        <v>0.97297297297297303</v>
      </c>
      <c r="N32">
        <f t="shared" si="1"/>
        <v>1.7425515352906864</v>
      </c>
      <c r="O32">
        <f>M32*H32/K32</f>
        <v>0.35527949676010778</v>
      </c>
    </row>
    <row r="33" spans="1:15" x14ac:dyDescent="0.25">
      <c r="A33" t="s">
        <v>17</v>
      </c>
      <c r="B33">
        <v>1996</v>
      </c>
      <c r="C33" s="1">
        <v>1.7000000000000001E-2</v>
      </c>
      <c r="D33" t="s">
        <v>11</v>
      </c>
      <c r="E33">
        <v>0.6</v>
      </c>
      <c r="F33">
        <v>-0.3</v>
      </c>
      <c r="G33">
        <v>1.5</v>
      </c>
      <c r="H33">
        <v>0.45918367300000001</v>
      </c>
      <c r="I33">
        <v>10</v>
      </c>
      <c r="J33" t="s">
        <v>54</v>
      </c>
      <c r="K33">
        <f t="shared" si="5"/>
        <v>0.72603313552098114</v>
      </c>
      <c r="L33">
        <f t="shared" si="6"/>
        <v>0.82640856270210961</v>
      </c>
      <c r="M33">
        <f t="shared" si="4"/>
        <v>0.90322580645161288</v>
      </c>
      <c r="N33">
        <f t="shared" si="1"/>
        <v>0.74643354050513122</v>
      </c>
      <c r="O33">
        <f>M33*H33/K33</f>
        <v>0.57125015796590084</v>
      </c>
    </row>
    <row r="34" spans="1:15" x14ac:dyDescent="0.25">
      <c r="A34" t="s">
        <v>17</v>
      </c>
      <c r="B34">
        <v>1999</v>
      </c>
      <c r="C34" s="1">
        <v>1.6E-2</v>
      </c>
      <c r="D34" t="s">
        <v>11</v>
      </c>
      <c r="E34">
        <v>0.48</v>
      </c>
      <c r="F34">
        <v>-0.52</v>
      </c>
      <c r="G34">
        <v>1.48</v>
      </c>
      <c r="H34">
        <v>0.510204082</v>
      </c>
      <c r="I34">
        <v>8</v>
      </c>
      <c r="J34" t="s">
        <v>54</v>
      </c>
      <c r="K34">
        <f t="shared" si="5"/>
        <v>0.72153753234251472</v>
      </c>
      <c r="L34">
        <f t="shared" si="6"/>
        <v>0.66524605926132674</v>
      </c>
      <c r="M34">
        <f t="shared" si="4"/>
        <v>0.86956521739130432</v>
      </c>
      <c r="N34">
        <f t="shared" ref="N34:N51" si="7">M34*L34</f>
        <v>0.57847483414028411</v>
      </c>
      <c r="O34">
        <f>M34*H34/K34</f>
        <v>0.61487546190134568</v>
      </c>
    </row>
    <row r="35" spans="1:15" x14ac:dyDescent="0.25">
      <c r="A35" t="s">
        <v>17</v>
      </c>
      <c r="B35">
        <v>2004</v>
      </c>
      <c r="C35" s="1">
        <v>1.7999999999999999E-2</v>
      </c>
      <c r="D35" t="s">
        <v>11</v>
      </c>
      <c r="E35">
        <v>-0.22</v>
      </c>
      <c r="F35">
        <v>-1.02</v>
      </c>
      <c r="G35">
        <v>0.57999999999999996</v>
      </c>
      <c r="H35">
        <v>0.408163265</v>
      </c>
      <c r="I35">
        <v>64</v>
      </c>
      <c r="J35" t="s">
        <v>54</v>
      </c>
      <c r="K35">
        <f t="shared" si="5"/>
        <v>1.63265306</v>
      </c>
      <c r="L35">
        <f t="shared" si="6"/>
        <v>-0.1347500001010625</v>
      </c>
      <c r="M35">
        <f t="shared" si="4"/>
        <v>0.98785425101214575</v>
      </c>
      <c r="N35">
        <f t="shared" si="7"/>
        <v>-0.13311336042372166</v>
      </c>
      <c r="O35">
        <f>M35*H35/K35</f>
        <v>0.24696356275303644</v>
      </c>
    </row>
    <row r="36" spans="1:15" x14ac:dyDescent="0.25">
      <c r="A36" t="s">
        <v>17</v>
      </c>
      <c r="B36">
        <v>2006</v>
      </c>
      <c r="C36" s="1">
        <v>1.6E-2</v>
      </c>
      <c r="D36" t="s">
        <v>11</v>
      </c>
      <c r="E36">
        <v>0.45</v>
      </c>
      <c r="F36">
        <v>-0.54</v>
      </c>
      <c r="G36">
        <v>1.45</v>
      </c>
      <c r="H36">
        <v>0.50765306099999996</v>
      </c>
      <c r="I36">
        <v>40</v>
      </c>
      <c r="J36" t="s">
        <v>54</v>
      </c>
      <c r="K36">
        <f t="shared" si="5"/>
        <v>1.6053399339163956</v>
      </c>
      <c r="L36">
        <f t="shared" si="6"/>
        <v>0.28031446206049188</v>
      </c>
      <c r="M36">
        <f t="shared" si="4"/>
        <v>0.98013245033112584</v>
      </c>
      <c r="N36">
        <f t="shared" si="7"/>
        <v>0.27474530056260132</v>
      </c>
      <c r="O36">
        <f>M36*H36/K36</f>
        <v>0.30994509516882124</v>
      </c>
    </row>
    <row r="37" spans="1:15" x14ac:dyDescent="0.25">
      <c r="A37" t="s">
        <v>17</v>
      </c>
      <c r="B37">
        <v>2007</v>
      </c>
      <c r="C37" s="1">
        <v>0.02</v>
      </c>
      <c r="D37" t="s">
        <v>11</v>
      </c>
      <c r="E37">
        <v>0.41</v>
      </c>
      <c r="F37">
        <v>-0.23</v>
      </c>
      <c r="G37">
        <v>1.04</v>
      </c>
      <c r="H37">
        <v>0.32397959199999998</v>
      </c>
      <c r="I37">
        <v>39</v>
      </c>
      <c r="J37" t="s">
        <v>54</v>
      </c>
      <c r="K37">
        <f t="shared" si="5"/>
        <v>1.0116259517809647</v>
      </c>
      <c r="L37">
        <f t="shared" si="6"/>
        <v>0.40528813963125015</v>
      </c>
      <c r="M37">
        <f t="shared" si="4"/>
        <v>0.97959183673469385</v>
      </c>
      <c r="N37">
        <f t="shared" si="7"/>
        <v>0.39701695310816343</v>
      </c>
      <c r="O37">
        <f>M37*H37/K37</f>
        <v>0.31372046459772174</v>
      </c>
    </row>
    <row r="38" spans="1:15" x14ac:dyDescent="0.25">
      <c r="A38" t="s">
        <v>18</v>
      </c>
      <c r="B38">
        <v>2008</v>
      </c>
      <c r="C38" s="1">
        <v>1.6E-2</v>
      </c>
      <c r="D38" t="s">
        <v>13</v>
      </c>
      <c r="E38">
        <v>0.44</v>
      </c>
      <c r="F38">
        <v>-0.55000000000000004</v>
      </c>
      <c r="G38">
        <v>1.44</v>
      </c>
      <c r="H38">
        <v>0.50765306099999996</v>
      </c>
      <c r="I38">
        <v>16</v>
      </c>
      <c r="J38" t="s">
        <v>54</v>
      </c>
      <c r="K38">
        <f t="shared" si="5"/>
        <v>1.0153061219999999</v>
      </c>
      <c r="L38">
        <f t="shared" si="6"/>
        <v>0.4333668343624939</v>
      </c>
      <c r="M38">
        <f t="shared" si="4"/>
        <v>0.94545454545454544</v>
      </c>
      <c r="N38">
        <f t="shared" si="7"/>
        <v>0.40972864339726695</v>
      </c>
      <c r="O38">
        <f>M38*H38/K38</f>
        <v>0.47272727272727272</v>
      </c>
    </row>
    <row r="39" spans="1:15" x14ac:dyDescent="0.25">
      <c r="A39" t="s">
        <v>24</v>
      </c>
      <c r="B39">
        <v>2013</v>
      </c>
      <c r="C39" s="1">
        <v>1.9E-2</v>
      </c>
      <c r="D39" t="s">
        <v>11</v>
      </c>
      <c r="E39">
        <v>0.78</v>
      </c>
      <c r="F39">
        <v>0.03</v>
      </c>
      <c r="G39">
        <v>1.52</v>
      </c>
      <c r="H39">
        <v>0.380102041</v>
      </c>
      <c r="I39">
        <v>30</v>
      </c>
      <c r="J39" t="s">
        <v>54</v>
      </c>
      <c r="K39">
        <f t="shared" si="5"/>
        <v>1.0409523100472675</v>
      </c>
      <c r="L39">
        <f t="shared" si="6"/>
        <v>0.74931386622753338</v>
      </c>
      <c r="M39">
        <f t="shared" si="4"/>
        <v>0.97297297297297303</v>
      </c>
      <c r="N39">
        <f t="shared" si="7"/>
        <v>0.72906214011327575</v>
      </c>
      <c r="O39">
        <f>M39*H39/K39</f>
        <v>0.35527949676010778</v>
      </c>
    </row>
    <row r="40" spans="1:15" x14ac:dyDescent="0.25">
      <c r="A40" t="s">
        <v>25</v>
      </c>
      <c r="B40">
        <v>2008</v>
      </c>
      <c r="C40" s="1">
        <v>1.9E-2</v>
      </c>
      <c r="D40" t="s">
        <v>15</v>
      </c>
      <c r="E40">
        <v>0.01</v>
      </c>
      <c r="F40">
        <v>-0.77</v>
      </c>
      <c r="G40">
        <v>0.8</v>
      </c>
      <c r="H40">
        <v>0.40051020399999998</v>
      </c>
      <c r="I40">
        <v>25</v>
      </c>
      <c r="J40" t="s">
        <v>54</v>
      </c>
      <c r="K40">
        <f t="shared" si="5"/>
        <v>1.0012755099999999</v>
      </c>
      <c r="L40">
        <f t="shared" si="6"/>
        <v>9.9872611485324371E-3</v>
      </c>
      <c r="M40">
        <f t="shared" si="4"/>
        <v>0.96703296703296704</v>
      </c>
      <c r="N40">
        <f t="shared" si="7"/>
        <v>9.6580107809984012E-3</v>
      </c>
      <c r="O40">
        <f>M40*H40/K40</f>
        <v>0.38681318681318683</v>
      </c>
    </row>
    <row r="41" spans="1:15" x14ac:dyDescent="0.25">
      <c r="A41" t="s">
        <v>27</v>
      </c>
      <c r="B41">
        <v>2014</v>
      </c>
      <c r="C41" s="1">
        <v>1.6E-2</v>
      </c>
      <c r="D41" t="s">
        <v>15</v>
      </c>
      <c r="E41">
        <v>0.73</v>
      </c>
      <c r="F41">
        <v>-0.3</v>
      </c>
      <c r="G41">
        <v>1.76</v>
      </c>
      <c r="H41">
        <v>0.52551020400000004</v>
      </c>
      <c r="I41">
        <v>16</v>
      </c>
      <c r="J41" t="s">
        <v>54</v>
      </c>
      <c r="K41">
        <f t="shared" si="5"/>
        <v>1.0510204080000001</v>
      </c>
      <c r="L41">
        <f t="shared" si="6"/>
        <v>0.69456310690400969</v>
      </c>
      <c r="M41">
        <f t="shared" si="4"/>
        <v>0.94545454545454544</v>
      </c>
      <c r="N41">
        <f t="shared" si="7"/>
        <v>0.65667784652742733</v>
      </c>
      <c r="O41">
        <f>M41*H41/K41</f>
        <v>0.47272727272727272</v>
      </c>
    </row>
    <row r="42" spans="1:15" x14ac:dyDescent="0.25">
      <c r="A42" t="s">
        <v>29</v>
      </c>
      <c r="B42">
        <v>2003</v>
      </c>
      <c r="C42" s="1">
        <v>1.4999999999999999E-2</v>
      </c>
      <c r="D42" t="s">
        <v>11</v>
      </c>
      <c r="E42">
        <v>1.65</v>
      </c>
      <c r="F42">
        <v>0.56999999999999995</v>
      </c>
      <c r="G42">
        <v>2.72</v>
      </c>
      <c r="H42">
        <v>0.548469388</v>
      </c>
      <c r="I42">
        <v>19</v>
      </c>
      <c r="J42" t="s">
        <v>54</v>
      </c>
      <c r="K42">
        <f t="shared" si="5"/>
        <v>1.1953613179588001</v>
      </c>
      <c r="L42">
        <f t="shared" si="6"/>
        <v>1.38033578233696</v>
      </c>
      <c r="M42">
        <f t="shared" si="4"/>
        <v>0.95522388059701491</v>
      </c>
      <c r="N42">
        <f t="shared" si="7"/>
        <v>1.3185297025308274</v>
      </c>
      <c r="O42">
        <f>M42*H42/K42</f>
        <v>0.43828677515570003</v>
      </c>
    </row>
    <row r="43" spans="1:15" x14ac:dyDescent="0.25">
      <c r="A43" t="s">
        <v>33</v>
      </c>
      <c r="B43">
        <v>2000</v>
      </c>
      <c r="C43" s="1">
        <v>1.7999999999999999E-2</v>
      </c>
      <c r="D43" t="s">
        <v>15</v>
      </c>
      <c r="E43">
        <v>3.84</v>
      </c>
      <c r="F43">
        <v>2.97</v>
      </c>
      <c r="G43">
        <v>4.71</v>
      </c>
      <c r="H43">
        <v>0.44387755099999998</v>
      </c>
      <c r="I43">
        <v>30</v>
      </c>
      <c r="J43" t="s">
        <v>54</v>
      </c>
      <c r="K43">
        <f t="shared" si="5"/>
        <v>1.215608737264249</v>
      </c>
      <c r="L43">
        <f t="shared" si="6"/>
        <v>3.1589111547865261</v>
      </c>
      <c r="M43">
        <f t="shared" si="4"/>
        <v>0.97297297297297303</v>
      </c>
      <c r="N43">
        <f t="shared" si="7"/>
        <v>3.0735351776301338</v>
      </c>
      <c r="O43">
        <f>M43*H43/K43</f>
        <v>0.35527949676010778</v>
      </c>
    </row>
    <row r="44" spans="1:15" x14ac:dyDescent="0.25">
      <c r="A44" t="s">
        <v>34</v>
      </c>
      <c r="B44">
        <v>2007</v>
      </c>
      <c r="C44" s="1">
        <v>2.1000000000000001E-2</v>
      </c>
      <c r="D44" t="s">
        <v>11</v>
      </c>
      <c r="E44">
        <v>0.47</v>
      </c>
      <c r="F44">
        <v>-0.16</v>
      </c>
      <c r="G44">
        <v>1.1000000000000001</v>
      </c>
      <c r="H44">
        <v>0.321428571</v>
      </c>
      <c r="I44">
        <v>45</v>
      </c>
      <c r="J44" t="s">
        <v>54</v>
      </c>
      <c r="K44">
        <f t="shared" si="5"/>
        <v>1.0781042019999263</v>
      </c>
      <c r="L44">
        <f t="shared" si="6"/>
        <v>0.43595043886122625</v>
      </c>
      <c r="M44">
        <f t="shared" si="4"/>
        <v>0.98245614035087714</v>
      </c>
      <c r="N44">
        <f t="shared" si="7"/>
        <v>0.42830218554787136</v>
      </c>
      <c r="O44">
        <f>M44*H44/K44</f>
        <v>0.29291182863155141</v>
      </c>
    </row>
    <row r="45" spans="1:15" x14ac:dyDescent="0.25">
      <c r="A45" t="s">
        <v>35</v>
      </c>
      <c r="B45">
        <v>2012</v>
      </c>
      <c r="C45" s="1">
        <v>0.02</v>
      </c>
      <c r="D45" t="s">
        <v>15</v>
      </c>
      <c r="E45">
        <v>1.31</v>
      </c>
      <c r="F45">
        <v>0.61</v>
      </c>
      <c r="G45">
        <v>2.0099999999999998</v>
      </c>
      <c r="H45">
        <v>0.35714285699999998</v>
      </c>
      <c r="I45">
        <v>59</v>
      </c>
      <c r="J45" t="s">
        <v>54</v>
      </c>
      <c r="K45">
        <f t="shared" si="5"/>
        <v>1.3716331687135981</v>
      </c>
      <c r="L45">
        <f t="shared" si="6"/>
        <v>0.95506585133735034</v>
      </c>
      <c r="M45">
        <f t="shared" si="4"/>
        <v>0.986784140969163</v>
      </c>
      <c r="N45">
        <f t="shared" si="7"/>
        <v>0.94244383568090961</v>
      </c>
      <c r="O45">
        <f>M45*H45/K45</f>
        <v>0.25693670537184626</v>
      </c>
    </row>
    <row r="46" spans="1:15" x14ac:dyDescent="0.25">
      <c r="A46" t="s">
        <v>40</v>
      </c>
      <c r="B46">
        <v>2011</v>
      </c>
      <c r="C46" s="1">
        <v>0.02</v>
      </c>
      <c r="D46" t="s">
        <v>13</v>
      </c>
      <c r="E46">
        <v>-0.26</v>
      </c>
      <c r="F46">
        <v>-0.92</v>
      </c>
      <c r="G46">
        <v>0.4</v>
      </c>
      <c r="H46">
        <v>0.336734694</v>
      </c>
      <c r="I46">
        <v>36</v>
      </c>
      <c r="J46" t="s">
        <v>54</v>
      </c>
      <c r="K46">
        <f t="shared" si="5"/>
        <v>1.010204082</v>
      </c>
      <c r="L46">
        <f t="shared" si="6"/>
        <v>-0.25737373728014695</v>
      </c>
      <c r="M46">
        <f t="shared" si="4"/>
        <v>0.97777777777777775</v>
      </c>
      <c r="N46">
        <f t="shared" si="7"/>
        <v>-0.2516543208961437</v>
      </c>
      <c r="O46">
        <f>M46*H46/K46</f>
        <v>0.3259259259259259</v>
      </c>
    </row>
    <row r="47" spans="1:15" x14ac:dyDescent="0.25">
      <c r="A47" t="s">
        <v>41</v>
      </c>
      <c r="B47">
        <v>2006</v>
      </c>
      <c r="C47" s="1">
        <v>1.9E-2</v>
      </c>
      <c r="D47" t="s">
        <v>15</v>
      </c>
      <c r="E47">
        <v>0.23</v>
      </c>
      <c r="F47">
        <v>-0.5</v>
      </c>
      <c r="G47">
        <v>0.97</v>
      </c>
      <c r="H47">
        <v>0.375</v>
      </c>
      <c r="I47">
        <v>29</v>
      </c>
      <c r="J47" t="s">
        <v>54</v>
      </c>
      <c r="K47">
        <f t="shared" si="5"/>
        <v>1.0097184013377194</v>
      </c>
      <c r="L47">
        <f t="shared" si="6"/>
        <v>0.22778628149718366</v>
      </c>
      <c r="M47">
        <f t="shared" si="4"/>
        <v>0.9719626168224299</v>
      </c>
      <c r="N47">
        <f t="shared" si="7"/>
        <v>0.22139975024025327</v>
      </c>
      <c r="O47">
        <f>M47*H47/K47</f>
        <v>0.36097785365258683</v>
      </c>
    </row>
    <row r="48" spans="1:15" x14ac:dyDescent="0.25">
      <c r="A48" t="s">
        <v>43</v>
      </c>
      <c r="B48">
        <v>2010</v>
      </c>
      <c r="C48" s="1">
        <v>2.1000000000000001E-2</v>
      </c>
      <c r="D48" t="s">
        <v>11</v>
      </c>
      <c r="E48">
        <v>1.88</v>
      </c>
      <c r="F48">
        <v>1.27</v>
      </c>
      <c r="G48">
        <v>2.4900000000000002</v>
      </c>
      <c r="H48">
        <v>0.31122449000000002</v>
      </c>
      <c r="I48">
        <v>66</v>
      </c>
      <c r="J48" t="s">
        <v>54</v>
      </c>
      <c r="K48">
        <f t="shared" si="5"/>
        <v>1.2641998546116204</v>
      </c>
      <c r="L48">
        <f t="shared" si="6"/>
        <v>1.4871066415187666</v>
      </c>
      <c r="M48">
        <f t="shared" si="4"/>
        <v>0.9882352941176471</v>
      </c>
      <c r="N48">
        <f t="shared" si="7"/>
        <v>1.4696112692656047</v>
      </c>
      <c r="O48">
        <f>M48*H48/K48</f>
        <v>0.24328671158268114</v>
      </c>
    </row>
    <row r="49" spans="1:15" x14ac:dyDescent="0.25">
      <c r="A49" t="s">
        <v>45</v>
      </c>
      <c r="B49">
        <v>2011</v>
      </c>
      <c r="C49" s="1">
        <v>1.7999999999999999E-2</v>
      </c>
      <c r="D49" t="s">
        <v>11</v>
      </c>
      <c r="E49">
        <v>0.02</v>
      </c>
      <c r="F49">
        <v>-0.86</v>
      </c>
      <c r="G49">
        <v>0.89</v>
      </c>
      <c r="H49">
        <v>0.446428571</v>
      </c>
      <c r="I49">
        <v>10</v>
      </c>
      <c r="J49" t="s">
        <v>54</v>
      </c>
      <c r="K49">
        <f t="shared" si="5"/>
        <v>0.70586554846709659</v>
      </c>
      <c r="L49">
        <f t="shared" si="6"/>
        <v>2.8334007862309326E-2</v>
      </c>
      <c r="M49">
        <f t="shared" si="4"/>
        <v>0.90322580645161288</v>
      </c>
      <c r="N49">
        <f t="shared" si="7"/>
        <v>2.5592007101440682E-2</v>
      </c>
      <c r="O49">
        <f>M49*H49/K49</f>
        <v>0.57125015796590084</v>
      </c>
    </row>
    <row r="50" spans="1:15" x14ac:dyDescent="0.25">
      <c r="A50" t="s">
        <v>51</v>
      </c>
      <c r="B50">
        <v>2011</v>
      </c>
      <c r="C50" s="1">
        <v>1.9E-2</v>
      </c>
      <c r="D50" t="s">
        <v>13</v>
      </c>
      <c r="E50">
        <v>0.22</v>
      </c>
      <c r="F50">
        <v>-0.5</v>
      </c>
      <c r="G50">
        <v>0.93</v>
      </c>
      <c r="H50">
        <v>0.364795918</v>
      </c>
      <c r="I50">
        <v>15</v>
      </c>
      <c r="J50" t="s">
        <v>54</v>
      </c>
      <c r="K50">
        <f t="shared" si="5"/>
        <v>0.70642425758922323</v>
      </c>
      <c r="L50">
        <f t="shared" si="6"/>
        <v>0.31142758425479666</v>
      </c>
      <c r="M50">
        <f t="shared" si="4"/>
        <v>0.94117647058823528</v>
      </c>
      <c r="N50">
        <f t="shared" si="7"/>
        <v>0.29310831459274977</v>
      </c>
      <c r="O50">
        <f>M50*H50/K50</f>
        <v>0.48602143952406801</v>
      </c>
    </row>
    <row r="51" spans="1:15" x14ac:dyDescent="0.25">
      <c r="A51" t="s">
        <v>52</v>
      </c>
      <c r="B51">
        <v>2015</v>
      </c>
      <c r="C51" s="1">
        <v>2.1000000000000001E-2</v>
      </c>
      <c r="D51" t="s">
        <v>13</v>
      </c>
      <c r="E51">
        <v>2</v>
      </c>
      <c r="F51">
        <v>1.45</v>
      </c>
      <c r="G51">
        <v>2.56</v>
      </c>
      <c r="H51">
        <v>0.283163265</v>
      </c>
      <c r="I51">
        <v>77</v>
      </c>
      <c r="J51" t="s">
        <v>54</v>
      </c>
      <c r="K51">
        <f t="shared" si="5"/>
        <v>1.2423737830963391</v>
      </c>
      <c r="L51">
        <f t="shared" si="6"/>
        <v>1.6098214782152331</v>
      </c>
      <c r="M51">
        <f t="shared" si="4"/>
        <v>0.98996655518394649</v>
      </c>
      <c r="N51">
        <f t="shared" si="7"/>
        <v>1.5936694232498629</v>
      </c>
      <c r="O51">
        <f>M51*H51/K51</f>
        <v>0.22563431860904906</v>
      </c>
    </row>
  </sheetData>
  <sortState xmlns:xlrd2="http://schemas.microsoft.com/office/spreadsheetml/2017/richdata2" ref="A2:K51">
    <sortCondition ref="J2:J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so_fiber_bsa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2025-10-18T21:49:25Z</dcterms:created>
  <dcterms:modified xsi:type="dcterms:W3CDTF">2025-12-30T01:12:35Z</dcterms:modified>
</cp:coreProperties>
</file>