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silva2013\"/>
    </mc:Choice>
  </mc:AlternateContent>
  <xr:revisionPtr revIDLastSave="0" documentId="13_ncr:1_{4335390B-B247-44C6-9CD7-A8F6E305A872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2" i="2"/>
  <c r="J6" i="2"/>
  <c r="J7" i="2"/>
  <c r="J8" i="2"/>
  <c r="J9" i="2"/>
  <c r="J10" i="2"/>
  <c r="J11" i="2"/>
  <c r="J12" i="2"/>
  <c r="J13" i="2"/>
  <c r="J14" i="2"/>
  <c r="J5" i="2"/>
  <c r="K11" i="2"/>
  <c r="L4" i="2"/>
  <c r="L3" i="2"/>
  <c r="L2" i="2"/>
  <c r="L6" i="2"/>
  <c r="L7" i="2"/>
  <c r="L8" i="2"/>
  <c r="L9" i="2"/>
  <c r="L10" i="2"/>
  <c r="L11" i="2"/>
  <c r="L12" i="2"/>
  <c r="L13" i="2"/>
  <c r="L14" i="2"/>
  <c r="L5" i="2"/>
  <c r="I14" i="2"/>
  <c r="I13" i="2"/>
  <c r="I12" i="2"/>
  <c r="I11" i="2"/>
  <c r="I4" i="2"/>
  <c r="J4" i="2" s="1"/>
  <c r="K4" i="2" s="1"/>
  <c r="I10" i="2"/>
  <c r="I3" i="2"/>
  <c r="J3" i="2" s="1"/>
  <c r="K3" i="2" s="1"/>
  <c r="M3" i="2" s="1"/>
  <c r="I9" i="2"/>
  <c r="I8" i="2"/>
  <c r="I7" i="2"/>
  <c r="K7" i="2" s="1"/>
  <c r="M7" i="2" s="1"/>
  <c r="I6" i="2"/>
  <c r="K6" i="2" s="1"/>
  <c r="I2" i="2"/>
  <c r="J2" i="2" s="1"/>
  <c r="K2" i="2" s="1"/>
  <c r="I5" i="2"/>
  <c r="K9" i="2" l="1"/>
  <c r="K8" i="2"/>
  <c r="K10" i="2"/>
  <c r="M10" i="2" s="1"/>
  <c r="K12" i="2"/>
  <c r="K13" i="2"/>
  <c r="M13" i="2" s="1"/>
  <c r="K14" i="2"/>
  <c r="M14" i="2" s="1"/>
  <c r="K5" i="2"/>
  <c r="M12" i="2"/>
  <c r="M11" i="2"/>
  <c r="M9" i="2"/>
  <c r="M8" i="2"/>
  <c r="M6" i="2"/>
  <c r="M5" i="2"/>
  <c r="M2" i="2"/>
  <c r="M4" i="2"/>
</calcChain>
</file>

<file path=xl/sharedStrings.xml><?xml version="1.0" encoding="utf-8"?>
<sst xmlns="http://schemas.openxmlformats.org/spreadsheetml/2006/main" count="40" uniqueCount="28">
  <si>
    <t>Dodson</t>
  </si>
  <si>
    <t>Niemi</t>
  </si>
  <si>
    <t>Calvo-Rubioa</t>
  </si>
  <si>
    <t>Calvo-Rubiob</t>
  </si>
  <si>
    <t>Calvo-Rubioc</t>
  </si>
  <si>
    <t>Ziai</t>
  </si>
  <si>
    <t>Walker</t>
  </si>
  <si>
    <t>Giacco</t>
  </si>
  <si>
    <t>Jenkins</t>
  </si>
  <si>
    <t>Hesse</t>
  </si>
  <si>
    <t>Cugnet-Anceaut</t>
  </si>
  <si>
    <t>Author</t>
  </si>
  <si>
    <t>Year</t>
  </si>
  <si>
    <t>fiber_diff</t>
  </si>
  <si>
    <t>ES</t>
  </si>
  <si>
    <t>CI_lower</t>
  </si>
  <si>
    <t>CI_upper</t>
  </si>
  <si>
    <t>Uusitupa</t>
  </si>
  <si>
    <t>design</t>
  </si>
  <si>
    <t>n</t>
  </si>
  <si>
    <t>p</t>
  </si>
  <si>
    <t>c</t>
  </si>
  <si>
    <t>pooled_sd</t>
  </si>
  <si>
    <t>SE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</si>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</sst>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97A6-7B75-4565-B94D-FF2DC5C1D819}">
  <dimension ref="A1:N14"/>
  <sheetViews>
    <sheetView tabSelected="1" topLeftCell="B1" workbookViewId="0">
      <selection activeCell="L4" sqref="L4"/>
    </sheetView>
  </sheetViews>
  <sheetFormatPr defaultRowHeight="15" x14ac:dyDescent="0.25"/>
  <cols>
    <col min="1" max="1" width="22.42578125" bestFit="1" customWidth="1"/>
    <col min="2" max="2" width="5.42578125" bestFit="1" customWidth="1"/>
    <col min="3" max="3" width="5.140625" bestFit="1" customWidth="1"/>
  </cols>
  <sheetData>
    <row r="1" spans="1:14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18</v>
      </c>
      <c r="H1" t="s">
        <v>19</v>
      </c>
      <c r="I1" t="s">
        <v>23</v>
      </c>
      <c r="J1" t="s">
        <v>22</v>
      </c>
      <c r="K1" t="s">
        <v>24</v>
      </c>
      <c r="L1" t="s">
        <v>25</v>
      </c>
      <c r="M1" t="s">
        <v>26</v>
      </c>
      <c r="N1" t="s">
        <v>27</v>
      </c>
    </row>
    <row r="2" spans="1:14" x14ac:dyDescent="0.25">
      <c r="A2" t="s">
        <v>1</v>
      </c>
      <c r="B2">
        <v>1988</v>
      </c>
      <c r="C2">
        <v>15</v>
      </c>
      <c r="D2">
        <v>1.1000000000000001</v>
      </c>
      <c r="E2">
        <v>-0.15</v>
      </c>
      <c r="F2">
        <v>2.35</v>
      </c>
      <c r="G2" t="s">
        <v>21</v>
      </c>
      <c r="H2">
        <v>22</v>
      </c>
      <c r="I2">
        <f t="shared" ref="I2:I14" si="0">(F2-E2)/2/1.96</f>
        <v>0.63775510204081631</v>
      </c>
      <c r="J2">
        <f>I2*SQRT(H2)</f>
        <v>2.9913365815200446</v>
      </c>
      <c r="K2">
        <f t="shared" ref="K2:K14" si="1">D2/J2</f>
        <v>0.36772859557015686</v>
      </c>
      <c r="L2">
        <f>1-3/(4*(H2-1)-1)</f>
        <v>0.96385542168674698</v>
      </c>
      <c r="M2">
        <f t="shared" ref="M2:M14" si="2">L2*K2</f>
        <v>0.3544372005495488</v>
      </c>
      <c r="N2">
        <f>L2*I2/J2</f>
        <v>0.2054946663668534</v>
      </c>
    </row>
    <row r="3" spans="1:14" x14ac:dyDescent="0.25">
      <c r="A3" t="s">
        <v>6</v>
      </c>
      <c r="B3">
        <v>1995</v>
      </c>
      <c r="C3">
        <v>9</v>
      </c>
      <c r="D3">
        <v>-0.3</v>
      </c>
      <c r="E3">
        <v>-0.5</v>
      </c>
      <c r="F3">
        <v>-0.1</v>
      </c>
      <c r="G3" t="s">
        <v>21</v>
      </c>
      <c r="H3">
        <v>24</v>
      </c>
      <c r="I3">
        <f t="shared" si="0"/>
        <v>0.10204081632653061</v>
      </c>
      <c r="J3">
        <f>I3*SQRT(H3)</f>
        <v>0.49989586587411794</v>
      </c>
      <c r="K3">
        <f t="shared" si="1"/>
        <v>-0.60012498698187866</v>
      </c>
      <c r="L3">
        <f>1-3/(4*(H3-1)-1)</f>
        <v>0.96703296703296704</v>
      </c>
      <c r="M3">
        <f t="shared" si="2"/>
        <v>-0.58034064675170682</v>
      </c>
      <c r="N3">
        <f>L3*I3/J3</f>
        <v>0.19739477780670303</v>
      </c>
    </row>
    <row r="4" spans="1:14" x14ac:dyDescent="0.25">
      <c r="A4" t="s">
        <v>8</v>
      </c>
      <c r="B4">
        <v>2002</v>
      </c>
      <c r="C4">
        <v>16.100000000000001</v>
      </c>
      <c r="D4">
        <v>-0.1</v>
      </c>
      <c r="E4">
        <v>-0.19</v>
      </c>
      <c r="F4">
        <v>-0.01</v>
      </c>
      <c r="G4" t="s">
        <v>21</v>
      </c>
      <c r="H4">
        <v>65</v>
      </c>
      <c r="I4">
        <f t="shared" si="0"/>
        <v>4.5918367346938778E-2</v>
      </c>
      <c r="J4">
        <f>I4*SQRT(H4)</f>
        <v>0.37020571293207627</v>
      </c>
      <c r="K4">
        <f t="shared" si="1"/>
        <v>-0.27012008866094289</v>
      </c>
      <c r="L4">
        <f>1-3/(4*(H4-1)-1)</f>
        <v>0.9882352941176471</v>
      </c>
      <c r="M4">
        <f t="shared" si="2"/>
        <v>-0.26694220526493179</v>
      </c>
      <c r="N4">
        <f>L4*I4/J4</f>
        <v>0.12257550241757072</v>
      </c>
    </row>
    <row r="5" spans="1:14" x14ac:dyDescent="0.25">
      <c r="A5" t="s">
        <v>0</v>
      </c>
      <c r="B5">
        <v>1984</v>
      </c>
      <c r="C5">
        <v>22.5</v>
      </c>
      <c r="D5">
        <v>1.8</v>
      </c>
      <c r="E5">
        <v>0.51</v>
      </c>
      <c r="F5">
        <v>3.09</v>
      </c>
      <c r="G5" t="s">
        <v>20</v>
      </c>
      <c r="H5">
        <v>50</v>
      </c>
      <c r="I5">
        <f t="shared" si="0"/>
        <v>0.65816326530612246</v>
      </c>
      <c r="J5">
        <f>I5*SQRT(H5/4)</f>
        <v>2.3269585401291999</v>
      </c>
      <c r="K5">
        <f t="shared" si="1"/>
        <v>0.7735419299305859</v>
      </c>
      <c r="L5">
        <f t="shared" ref="L5:L14" si="3">1-3/(4*(H5-2)-1)</f>
        <v>0.98429319371727753</v>
      </c>
      <c r="M5">
        <f t="shared" si="2"/>
        <v>0.76139205668560295</v>
      </c>
      <c r="N5">
        <f>L5*I5/J5</f>
        <v>0.27840015678130037</v>
      </c>
    </row>
    <row r="6" spans="1:14" x14ac:dyDescent="0.25">
      <c r="A6" t="s">
        <v>17</v>
      </c>
      <c r="B6">
        <v>1989</v>
      </c>
      <c r="C6">
        <v>15</v>
      </c>
      <c r="D6">
        <v>0.44</v>
      </c>
      <c r="E6">
        <v>-0.52</v>
      </c>
      <c r="F6">
        <v>1.4</v>
      </c>
      <c r="G6" t="s">
        <v>20</v>
      </c>
      <c r="H6">
        <v>39</v>
      </c>
      <c r="I6">
        <f t="shared" si="0"/>
        <v>0.48979591836734693</v>
      </c>
      <c r="J6">
        <f t="shared" ref="J6:J14" si="4">I6*SQRT(H6/4)</f>
        <v>1.5293872649138933</v>
      </c>
      <c r="K6">
        <f t="shared" si="1"/>
        <v>0.28769691633647326</v>
      </c>
      <c r="L6">
        <f t="shared" si="3"/>
        <v>0.97959183673469385</v>
      </c>
      <c r="M6">
        <f t="shared" si="2"/>
        <v>0.28182555069695342</v>
      </c>
      <c r="N6">
        <f>L6*I6/J6</f>
        <v>0.31372046459772174</v>
      </c>
    </row>
    <row r="7" spans="1:14" x14ac:dyDescent="0.25">
      <c r="A7" t="s">
        <v>2</v>
      </c>
      <c r="B7">
        <v>1989</v>
      </c>
      <c r="C7">
        <v>15</v>
      </c>
      <c r="D7">
        <v>-0.7</v>
      </c>
      <c r="E7">
        <v>-1.33</v>
      </c>
      <c r="F7">
        <v>-7.0000000000000007E-2</v>
      </c>
      <c r="G7" t="s">
        <v>20</v>
      </c>
      <c r="H7">
        <v>9</v>
      </c>
      <c r="I7">
        <f t="shared" si="0"/>
        <v>0.32142857142857145</v>
      </c>
      <c r="J7">
        <f t="shared" si="4"/>
        <v>0.48214285714285721</v>
      </c>
      <c r="K7">
        <f t="shared" si="1"/>
        <v>-1.4518518518518515</v>
      </c>
      <c r="L7">
        <f t="shared" si="3"/>
        <v>0.88888888888888884</v>
      </c>
      <c r="M7">
        <f t="shared" si="2"/>
        <v>-1.2905349794238679</v>
      </c>
      <c r="N7">
        <f>L7*I7/J7</f>
        <v>0.59259259259259245</v>
      </c>
    </row>
    <row r="8" spans="1:14" x14ac:dyDescent="0.25">
      <c r="A8" t="s">
        <v>3</v>
      </c>
      <c r="B8">
        <v>1989</v>
      </c>
      <c r="C8">
        <v>15</v>
      </c>
      <c r="D8">
        <v>-0.11</v>
      </c>
      <c r="E8">
        <v>-0.9</v>
      </c>
      <c r="F8">
        <v>0.68</v>
      </c>
      <c r="G8" t="s">
        <v>20</v>
      </c>
      <c r="H8">
        <v>15</v>
      </c>
      <c r="I8">
        <f t="shared" si="0"/>
        <v>0.40306122448979592</v>
      </c>
      <c r="J8">
        <f t="shared" si="4"/>
        <v>0.78052470497547433</v>
      </c>
      <c r="K8">
        <f t="shared" si="1"/>
        <v>-0.14093083703667833</v>
      </c>
      <c r="L8">
        <f t="shared" si="3"/>
        <v>0.94117647058823528</v>
      </c>
      <c r="M8">
        <f t="shared" si="2"/>
        <v>-0.13264078779922667</v>
      </c>
      <c r="N8">
        <f>L8*I8/J8</f>
        <v>0.48602143952406801</v>
      </c>
    </row>
    <row r="9" spans="1:14" x14ac:dyDescent="0.25">
      <c r="A9" t="s">
        <v>4</v>
      </c>
      <c r="B9">
        <v>1989</v>
      </c>
      <c r="C9">
        <v>15</v>
      </c>
      <c r="D9">
        <v>1</v>
      </c>
      <c r="E9">
        <v>-0.23</v>
      </c>
      <c r="F9">
        <v>2.23</v>
      </c>
      <c r="G9" t="s">
        <v>20</v>
      </c>
      <c r="H9">
        <v>10</v>
      </c>
      <c r="I9">
        <f t="shared" si="0"/>
        <v>0.62755102040816324</v>
      </c>
      <c r="J9">
        <f t="shared" si="4"/>
        <v>0.9922452862263027</v>
      </c>
      <c r="K9">
        <f t="shared" si="1"/>
        <v>1.0078153193382151</v>
      </c>
      <c r="L9">
        <f t="shared" si="3"/>
        <v>0.90322580645161288</v>
      </c>
      <c r="M9">
        <f t="shared" si="2"/>
        <v>0.9102848045635491</v>
      </c>
      <c r="N9">
        <f>L9*I9/J9</f>
        <v>0.57125015796590073</v>
      </c>
    </row>
    <row r="10" spans="1:14" x14ac:dyDescent="0.25">
      <c r="A10" t="s">
        <v>7</v>
      </c>
      <c r="B10">
        <v>2000</v>
      </c>
      <c r="C10">
        <v>21.3</v>
      </c>
      <c r="D10">
        <v>0.3</v>
      </c>
      <c r="E10">
        <v>-0.4</v>
      </c>
      <c r="F10">
        <v>1</v>
      </c>
      <c r="G10" t="s">
        <v>20</v>
      </c>
      <c r="H10">
        <v>34</v>
      </c>
      <c r="I10">
        <f t="shared" si="0"/>
        <v>0.35714285714285715</v>
      </c>
      <c r="J10">
        <f t="shared" si="4"/>
        <v>1.0412414097938036</v>
      </c>
      <c r="K10">
        <f t="shared" si="1"/>
        <v>0.28811762303941485</v>
      </c>
      <c r="L10">
        <f t="shared" si="3"/>
        <v>0.97637795275590555</v>
      </c>
      <c r="M10">
        <f t="shared" si="2"/>
        <v>0.28131169493612157</v>
      </c>
      <c r="N10">
        <f>L10*I10/J10</f>
        <v>0.33489487492395431</v>
      </c>
    </row>
    <row r="11" spans="1:14" x14ac:dyDescent="0.25">
      <c r="A11" t="s">
        <v>9</v>
      </c>
      <c r="B11">
        <v>2004</v>
      </c>
      <c r="C11">
        <v>16.5</v>
      </c>
      <c r="D11">
        <v>1</v>
      </c>
      <c r="E11">
        <v>0</v>
      </c>
      <c r="F11">
        <v>2</v>
      </c>
      <c r="G11" t="s">
        <v>20</v>
      </c>
      <c r="H11">
        <v>25</v>
      </c>
      <c r="I11">
        <f t="shared" si="0"/>
        <v>0.51020408163265307</v>
      </c>
      <c r="J11">
        <f t="shared" si="4"/>
        <v>1.2755102040816326</v>
      </c>
      <c r="K11">
        <f t="shared" si="1"/>
        <v>0.78400000000000003</v>
      </c>
      <c r="L11">
        <f t="shared" si="3"/>
        <v>0.96703296703296704</v>
      </c>
      <c r="M11">
        <f t="shared" si="2"/>
        <v>0.75815384615384618</v>
      </c>
      <c r="N11">
        <f>L11*I11/J11</f>
        <v>0.38681318681318683</v>
      </c>
    </row>
    <row r="12" spans="1:14" x14ac:dyDescent="0.25">
      <c r="A12" t="s">
        <v>5</v>
      </c>
      <c r="B12">
        <v>2005</v>
      </c>
      <c r="C12">
        <v>10.199999999999999</v>
      </c>
      <c r="D12">
        <v>3</v>
      </c>
      <c r="E12">
        <v>2.48</v>
      </c>
      <c r="F12">
        <v>3.52</v>
      </c>
      <c r="G12" t="s">
        <v>20</v>
      </c>
      <c r="H12">
        <v>49</v>
      </c>
      <c r="I12">
        <f t="shared" si="0"/>
        <v>0.26530612244897961</v>
      </c>
      <c r="J12">
        <f t="shared" si="4"/>
        <v>0.9285714285714286</v>
      </c>
      <c r="K12">
        <f t="shared" si="1"/>
        <v>3.2307692307692308</v>
      </c>
      <c r="L12">
        <f t="shared" si="3"/>
        <v>0.98395721925133695</v>
      </c>
      <c r="M12">
        <f t="shared" si="2"/>
        <v>3.1789387083504734</v>
      </c>
      <c r="N12">
        <f>L12*I12/J12</f>
        <v>0.2811306340718106</v>
      </c>
    </row>
    <row r="13" spans="1:14" x14ac:dyDescent="0.25">
      <c r="A13" t="s">
        <v>8</v>
      </c>
      <c r="B13">
        <v>2008</v>
      </c>
      <c r="C13">
        <v>3</v>
      </c>
      <c r="D13">
        <v>0.4</v>
      </c>
      <c r="E13">
        <v>0.22</v>
      </c>
      <c r="F13">
        <v>0.57999999999999996</v>
      </c>
      <c r="G13" t="s">
        <v>20</v>
      </c>
      <c r="H13">
        <v>210</v>
      </c>
      <c r="I13">
        <f t="shared" si="0"/>
        <v>9.1836734693877556E-2</v>
      </c>
      <c r="J13">
        <f t="shared" si="4"/>
        <v>0.66542036079441302</v>
      </c>
      <c r="K13">
        <f t="shared" si="1"/>
        <v>0.60112377613822854</v>
      </c>
      <c r="L13">
        <f t="shared" si="3"/>
        <v>0.99638989169675085</v>
      </c>
      <c r="M13">
        <f t="shared" si="2"/>
        <v>0.59895365420271141</v>
      </c>
      <c r="N13">
        <f>L13*I13/J13</f>
        <v>0.13751486958735723</v>
      </c>
    </row>
    <row r="14" spans="1:14" x14ac:dyDescent="0.25">
      <c r="A14" t="s">
        <v>10</v>
      </c>
      <c r="B14">
        <v>2010</v>
      </c>
      <c r="C14">
        <v>3.5</v>
      </c>
      <c r="D14">
        <v>0.17</v>
      </c>
      <c r="E14">
        <v>-0.23</v>
      </c>
      <c r="F14">
        <v>0.56999999999999995</v>
      </c>
      <c r="G14" t="s">
        <v>20</v>
      </c>
      <c r="H14">
        <v>53</v>
      </c>
      <c r="I14">
        <f t="shared" si="0"/>
        <v>0.2040816326530612</v>
      </c>
      <c r="J14">
        <f t="shared" si="4"/>
        <v>0.74286835604903234</v>
      </c>
      <c r="K14">
        <f t="shared" si="1"/>
        <v>0.22884269953851596</v>
      </c>
      <c r="L14">
        <f t="shared" si="3"/>
        <v>0.98522167487684731</v>
      </c>
      <c r="M14">
        <f t="shared" si="2"/>
        <v>0.22546078772267583</v>
      </c>
      <c r="N14">
        <f>L14*I14/J14</f>
        <v>0.27066120975111141</v>
      </c>
    </row>
  </sheetData>
  <sortState xmlns:xlrd2="http://schemas.microsoft.com/office/spreadsheetml/2017/richdata2" ref="A2:M14">
    <sortCondition ref="G2:G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2025-12-30T01:11:05Z</dcterms:modified>
</cp:coreProperties>
</file>