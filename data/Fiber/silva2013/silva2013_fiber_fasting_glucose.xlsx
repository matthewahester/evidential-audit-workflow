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Fiber\silva2013\"/>
    </mc:Choice>
  </mc:AlternateContent>
  <xr:revisionPtr revIDLastSave="0" documentId="13_ncr:1_{9DCF117C-2CB6-4B8A-8949-D43F52179096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2" i="2"/>
  <c r="J6" i="2"/>
  <c r="J7" i="2"/>
  <c r="J8" i="2"/>
  <c r="J9" i="2"/>
  <c r="J10" i="2"/>
  <c r="J11" i="2"/>
  <c r="J5" i="2"/>
  <c r="L4" i="2" l="1"/>
  <c r="L3" i="2"/>
  <c r="L2" i="2"/>
  <c r="L5" i="2"/>
  <c r="L6" i="2"/>
  <c r="L7" i="2"/>
  <c r="L8" i="2"/>
  <c r="L9" i="2"/>
  <c r="L10" i="2"/>
  <c r="L11" i="2"/>
  <c r="I11" i="2"/>
  <c r="K11" i="2" s="1"/>
  <c r="M11" i="2" s="1"/>
  <c r="I10" i="2"/>
  <c r="K10" i="2" s="1"/>
  <c r="I9" i="2"/>
  <c r="K9" i="2" s="1"/>
  <c r="M9" i="2" s="1"/>
  <c r="I4" i="2"/>
  <c r="J4" i="2" s="1"/>
  <c r="K4" i="2" s="1"/>
  <c r="I3" i="2"/>
  <c r="I8" i="2"/>
  <c r="I7" i="2"/>
  <c r="I6" i="2"/>
  <c r="I5" i="2"/>
  <c r="I2" i="2"/>
  <c r="J2" i="2" s="1"/>
  <c r="K6" i="2" l="1"/>
  <c r="M6" i="2" s="1"/>
  <c r="K7" i="2"/>
  <c r="M7" i="2" s="1"/>
  <c r="K2" i="2"/>
  <c r="M10" i="2"/>
  <c r="J3" i="2"/>
  <c r="K3" i="2" s="1"/>
  <c r="M3" i="2" s="1"/>
  <c r="K5" i="2"/>
  <c r="M5" i="2" s="1"/>
  <c r="K8" i="2"/>
  <c r="M8" i="2" s="1"/>
  <c r="M4" i="2"/>
  <c r="M2" i="2"/>
</calcChain>
</file>

<file path=xl/sharedStrings.xml><?xml version="1.0" encoding="utf-8"?>
<sst xmlns="http://schemas.openxmlformats.org/spreadsheetml/2006/main" count="34" uniqueCount="25">
  <si>
    <t>Niemi</t>
  </si>
  <si>
    <t>Calvo-Rubioa</t>
  </si>
  <si>
    <t>Calvo-Rubiob</t>
  </si>
  <si>
    <t>Calvo-Rubioc</t>
  </si>
  <si>
    <t>Walker</t>
  </si>
  <si>
    <t>Jenkins</t>
  </si>
  <si>
    <t>Ziai</t>
  </si>
  <si>
    <t>Cugnct-Anceaut</t>
  </si>
  <si>
    <t>fiber_diff</t>
  </si>
  <si>
    <t>Author</t>
  </si>
  <si>
    <t>Year</t>
  </si>
  <si>
    <t>ES</t>
  </si>
  <si>
    <t>CI_lower</t>
  </si>
  <si>
    <t>CI_upper</t>
  </si>
  <si>
    <t>Uusitupa</t>
  </si>
  <si>
    <t>design</t>
  </si>
  <si>
    <t>n</t>
  </si>
  <si>
    <t>p</t>
  </si>
  <si>
    <t>c</t>
  </si>
  <si>
    <t>pooled_sd</t>
  </si>
  <si>
    <t>SE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</si>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</sst>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E38CA-54CB-4522-A00A-855096A4CAD4}">
  <dimension ref="A1:N11"/>
  <sheetViews>
    <sheetView tabSelected="1" topLeftCell="C1" workbookViewId="0">
      <selection activeCell="J5" sqref="J5"/>
    </sheetView>
  </sheetViews>
  <sheetFormatPr defaultRowHeight="15" x14ac:dyDescent="0.25"/>
  <cols>
    <col min="1" max="1" width="19.28515625" bestFit="1" customWidth="1"/>
    <col min="2" max="2" width="5.42578125" bestFit="1" customWidth="1"/>
  </cols>
  <sheetData>
    <row r="1" spans="1:14" x14ac:dyDescent="0.25">
      <c r="A1" t="s">
        <v>9</v>
      </c>
      <c r="B1" t="s">
        <v>10</v>
      </c>
      <c r="C1" t="s">
        <v>8</v>
      </c>
      <c r="D1" t="s">
        <v>11</v>
      </c>
      <c r="E1" t="s">
        <v>12</v>
      </c>
      <c r="F1" t="s">
        <v>13</v>
      </c>
      <c r="G1" t="s">
        <v>15</v>
      </c>
      <c r="H1" t="s">
        <v>16</v>
      </c>
      <c r="I1" t="s">
        <v>20</v>
      </c>
      <c r="J1" t="s">
        <v>19</v>
      </c>
      <c r="K1" t="s">
        <v>21</v>
      </c>
      <c r="L1" t="s">
        <v>22</v>
      </c>
      <c r="M1" t="s">
        <v>23</v>
      </c>
      <c r="N1" t="s">
        <v>24</v>
      </c>
    </row>
    <row r="2" spans="1:14" x14ac:dyDescent="0.25">
      <c r="A2" t="s">
        <v>0</v>
      </c>
      <c r="B2">
        <v>1988</v>
      </c>
      <c r="C2">
        <v>15</v>
      </c>
      <c r="D2">
        <v>-10.26</v>
      </c>
      <c r="E2">
        <v>-38.67</v>
      </c>
      <c r="F2">
        <v>18.5</v>
      </c>
      <c r="G2" t="s">
        <v>18</v>
      </c>
      <c r="H2">
        <v>22</v>
      </c>
      <c r="I2">
        <f t="shared" ref="I2:I11" si="0">(F2-E2)/2/1.96</f>
        <v>14.584183673469388</v>
      </c>
      <c r="J2">
        <f>I2*SQRT(H2)</f>
        <v>68.405884946200374</v>
      </c>
      <c r="K2">
        <f t="shared" ref="K2:K11" si="1">D2/J2</f>
        <v>-0.14998709552649234</v>
      </c>
      <c r="L2">
        <f>1-3/(4*(H2-1)-1)</f>
        <v>0.96385542168674698</v>
      </c>
      <c r="M2">
        <f t="shared" ref="M2:M11" si="2">L2*K2</f>
        <v>-0.14456587520625766</v>
      </c>
      <c r="N2">
        <f>L2*I2/J2</f>
        <v>0.20549466636685343</v>
      </c>
    </row>
    <row r="3" spans="1:14" x14ac:dyDescent="0.25">
      <c r="A3" t="s">
        <v>4</v>
      </c>
      <c r="B3">
        <v>1995</v>
      </c>
      <c r="C3">
        <v>9</v>
      </c>
      <c r="D3">
        <v>-21.6</v>
      </c>
      <c r="E3">
        <v>-28.36</v>
      </c>
      <c r="F3">
        <v>-14.84</v>
      </c>
      <c r="G3" t="s">
        <v>18</v>
      </c>
      <c r="H3">
        <v>24</v>
      </c>
      <c r="I3">
        <f t="shared" si="0"/>
        <v>3.4489795918367347</v>
      </c>
      <c r="J3">
        <f>I3*SQRT(H3)</f>
        <v>16.896480266545186</v>
      </c>
      <c r="K3">
        <f t="shared" si="1"/>
        <v>-1.2783727533341795</v>
      </c>
      <c r="L3">
        <f>1-3/(4*(H3-1)-1)</f>
        <v>0.96703296703296704</v>
      </c>
      <c r="M3">
        <f t="shared" si="2"/>
        <v>-1.236228596630855</v>
      </c>
      <c r="N3">
        <f>L3*I3/J3</f>
        <v>0.19739477780670303</v>
      </c>
    </row>
    <row r="4" spans="1:14" x14ac:dyDescent="0.25">
      <c r="A4" t="s">
        <v>5</v>
      </c>
      <c r="B4">
        <v>2002</v>
      </c>
      <c r="C4">
        <v>16.100000000000001</v>
      </c>
      <c r="D4">
        <v>5.4</v>
      </c>
      <c r="E4">
        <v>3.21</v>
      </c>
      <c r="F4">
        <v>7.59</v>
      </c>
      <c r="G4" t="s">
        <v>18</v>
      </c>
      <c r="H4">
        <v>65</v>
      </c>
      <c r="I4">
        <f t="shared" si="0"/>
        <v>1.1173469387755102</v>
      </c>
      <c r="J4">
        <f>I4*SQRT(H4)</f>
        <v>9.0083390146805211</v>
      </c>
      <c r="K4">
        <f t="shared" si="1"/>
        <v>0.59944458031606507</v>
      </c>
      <c r="L4">
        <f>1-3/(4*(H4-1)-1)</f>
        <v>0.9882352941176471</v>
      </c>
      <c r="M4">
        <f t="shared" si="2"/>
        <v>0.5923922911358761</v>
      </c>
      <c r="N4">
        <f>L4*I4/J4</f>
        <v>0.12257550241757073</v>
      </c>
    </row>
    <row r="5" spans="1:14" x14ac:dyDescent="0.25">
      <c r="A5" t="s">
        <v>14</v>
      </c>
      <c r="B5">
        <v>1989</v>
      </c>
      <c r="C5">
        <v>15</v>
      </c>
      <c r="D5">
        <v>15.12</v>
      </c>
      <c r="E5">
        <v>-16.399999999999999</v>
      </c>
      <c r="F5">
        <v>46.64</v>
      </c>
      <c r="G5" t="s">
        <v>17</v>
      </c>
      <c r="H5">
        <v>39</v>
      </c>
      <c r="I5">
        <f t="shared" si="0"/>
        <v>16.081632653061224</v>
      </c>
      <c r="J5">
        <f>I5*SQRT(H5/4)</f>
        <v>50.214881864672833</v>
      </c>
      <c r="K5">
        <f t="shared" si="1"/>
        <v>0.30110595581500749</v>
      </c>
      <c r="L5">
        <f t="shared" ref="L5:L11" si="3">1-3/(4*(H5-2)-1)</f>
        <v>0.97959183673469385</v>
      </c>
      <c r="M5">
        <f t="shared" si="2"/>
        <v>0.29496093630857878</v>
      </c>
      <c r="N5">
        <f>L5*I5/J5</f>
        <v>0.31372046459772174</v>
      </c>
    </row>
    <row r="6" spans="1:14" x14ac:dyDescent="0.25">
      <c r="A6" t="s">
        <v>1</v>
      </c>
      <c r="B6">
        <v>1989</v>
      </c>
      <c r="C6">
        <v>15</v>
      </c>
      <c r="D6">
        <v>16.2</v>
      </c>
      <c r="E6">
        <v>-1.33</v>
      </c>
      <c r="F6">
        <v>33.729999999999997</v>
      </c>
      <c r="G6" t="s">
        <v>17</v>
      </c>
      <c r="H6">
        <v>9</v>
      </c>
      <c r="I6">
        <f t="shared" si="0"/>
        <v>8.9438775510204067</v>
      </c>
      <c r="J6">
        <f t="shared" ref="J6:J11" si="4">I6*SQRT(H6/4)</f>
        <v>13.41581632653061</v>
      </c>
      <c r="K6">
        <f t="shared" si="1"/>
        <v>1.2075299486594411</v>
      </c>
      <c r="L6">
        <f t="shared" si="3"/>
        <v>0.88888888888888884</v>
      </c>
      <c r="M6">
        <f t="shared" si="2"/>
        <v>1.0733599543639476</v>
      </c>
      <c r="N6">
        <f>L6*I6/J6</f>
        <v>0.59259259259259256</v>
      </c>
    </row>
    <row r="7" spans="1:14" x14ac:dyDescent="0.25">
      <c r="A7" t="s">
        <v>2</v>
      </c>
      <c r="B7">
        <v>1989</v>
      </c>
      <c r="C7">
        <v>15</v>
      </c>
      <c r="D7">
        <v>25.2</v>
      </c>
      <c r="E7">
        <v>10.75</v>
      </c>
      <c r="F7">
        <v>39.65</v>
      </c>
      <c r="G7" t="s">
        <v>17</v>
      </c>
      <c r="H7">
        <v>15</v>
      </c>
      <c r="I7">
        <f t="shared" si="0"/>
        <v>7.3724489795918364</v>
      </c>
      <c r="J7">
        <f t="shared" si="4"/>
        <v>14.276686059361523</v>
      </c>
      <c r="K7">
        <f t="shared" si="1"/>
        <v>1.7651155103656446</v>
      </c>
      <c r="L7">
        <f t="shared" si="3"/>
        <v>0.94117647058823528</v>
      </c>
      <c r="M7">
        <f t="shared" si="2"/>
        <v>1.661285186226489</v>
      </c>
      <c r="N7">
        <f>L7*I7/J7</f>
        <v>0.48602143952406801</v>
      </c>
    </row>
    <row r="8" spans="1:14" x14ac:dyDescent="0.25">
      <c r="A8" t="s">
        <v>3</v>
      </c>
      <c r="B8">
        <v>1989</v>
      </c>
      <c r="C8">
        <v>15</v>
      </c>
      <c r="D8">
        <v>-25.2</v>
      </c>
      <c r="E8">
        <v>-56.13</v>
      </c>
      <c r="F8">
        <v>5.73</v>
      </c>
      <c r="G8" t="s">
        <v>17</v>
      </c>
      <c r="H8">
        <v>10</v>
      </c>
      <c r="I8">
        <f t="shared" si="0"/>
        <v>15.780612244897959</v>
      </c>
      <c r="J8">
        <f t="shared" si="4"/>
        <v>24.951338782910199</v>
      </c>
      <c r="K8">
        <f t="shared" si="1"/>
        <v>-1.0099658466927681</v>
      </c>
      <c r="L8">
        <f t="shared" si="3"/>
        <v>0.90322580645161288</v>
      </c>
      <c r="M8">
        <f t="shared" si="2"/>
        <v>-0.91222721636766146</v>
      </c>
      <c r="N8">
        <f>L8*I8/J8</f>
        <v>0.57125015796590073</v>
      </c>
    </row>
    <row r="9" spans="1:14" x14ac:dyDescent="0.25">
      <c r="A9" t="s">
        <v>6</v>
      </c>
      <c r="B9">
        <v>2005</v>
      </c>
      <c r="C9">
        <v>10.199999999999999</v>
      </c>
      <c r="D9">
        <v>89.7</v>
      </c>
      <c r="E9">
        <v>74.13</v>
      </c>
      <c r="F9">
        <v>105.27</v>
      </c>
      <c r="G9" t="s">
        <v>17</v>
      </c>
      <c r="H9">
        <v>49</v>
      </c>
      <c r="I9">
        <f t="shared" si="0"/>
        <v>7.9438775510204085</v>
      </c>
      <c r="J9">
        <f t="shared" si="4"/>
        <v>27.803571428571431</v>
      </c>
      <c r="K9">
        <f t="shared" si="1"/>
        <v>3.2262042389210017</v>
      </c>
      <c r="L9">
        <f t="shared" si="3"/>
        <v>0.98395721925133695</v>
      </c>
      <c r="M9">
        <f t="shared" si="2"/>
        <v>3.1744469516655847</v>
      </c>
      <c r="N9">
        <f>L9*I9/J9</f>
        <v>0.28113063407181055</v>
      </c>
    </row>
    <row r="10" spans="1:14" x14ac:dyDescent="0.25">
      <c r="A10" t="s">
        <v>5</v>
      </c>
      <c r="B10">
        <v>2008</v>
      </c>
      <c r="C10">
        <v>3</v>
      </c>
      <c r="D10">
        <v>2.4</v>
      </c>
      <c r="E10">
        <v>-6</v>
      </c>
      <c r="F10">
        <v>10.8</v>
      </c>
      <c r="G10" t="s">
        <v>17</v>
      </c>
      <c r="H10">
        <v>210</v>
      </c>
      <c r="I10">
        <f t="shared" si="0"/>
        <v>4.2857142857142856</v>
      </c>
      <c r="J10">
        <f t="shared" si="4"/>
        <v>31.052950170405939</v>
      </c>
      <c r="K10">
        <f t="shared" si="1"/>
        <v>7.7287342646343668E-2</v>
      </c>
      <c r="L10">
        <f t="shared" si="3"/>
        <v>0.99638989169675085</v>
      </c>
      <c r="M10">
        <f t="shared" si="2"/>
        <v>7.7008326968920043E-2</v>
      </c>
      <c r="N10">
        <f>L10*I10/J10</f>
        <v>0.13751486958735723</v>
      </c>
    </row>
    <row r="11" spans="1:14" x14ac:dyDescent="0.25">
      <c r="A11" t="s">
        <v>7</v>
      </c>
      <c r="B11">
        <v>2010</v>
      </c>
      <c r="C11">
        <v>3.5</v>
      </c>
      <c r="D11">
        <v>0.69</v>
      </c>
      <c r="E11">
        <v>-0.35</v>
      </c>
      <c r="F11">
        <v>1.73</v>
      </c>
      <c r="G11" t="s">
        <v>17</v>
      </c>
      <c r="H11">
        <v>53</v>
      </c>
      <c r="I11">
        <f t="shared" si="0"/>
        <v>0.53061224489795922</v>
      </c>
      <c r="J11">
        <f t="shared" si="4"/>
        <v>1.9314577257274845</v>
      </c>
      <c r="K11">
        <f t="shared" si="1"/>
        <v>0.35724312823885962</v>
      </c>
      <c r="L11">
        <f t="shared" si="3"/>
        <v>0.98522167487684731</v>
      </c>
      <c r="M11">
        <f t="shared" si="2"/>
        <v>0.3519636731417336</v>
      </c>
      <c r="N11">
        <f>L11*I11/J11</f>
        <v>0.27066120975111141</v>
      </c>
    </row>
  </sheetData>
  <sortState xmlns:xlrd2="http://schemas.microsoft.com/office/spreadsheetml/2017/richdata2" ref="A2:M11">
    <sortCondition ref="G2:G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2025-12-30T01:11:37Z</dcterms:modified>
</cp:coreProperties>
</file>