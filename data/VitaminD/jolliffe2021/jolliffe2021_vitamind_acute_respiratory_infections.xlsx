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Vitamins\jolliffe2021\"/>
    </mc:Choice>
  </mc:AlternateContent>
  <xr:revisionPtr revIDLastSave="0" documentId="13_ncr:1_{399C42A3-1285-4893-91F4-9172ABFEC308}" xr6:coauthVersionLast="47" xr6:coauthVersionMax="47" xr10:uidLastSave="{00000000-0000-0000-0000-000000000000}"/>
  <bookViews>
    <workbookView xWindow="38400" yWindow="2940" windowWidth="14400" windowHeight="16200" xr2:uid="{9FCE01F7-41BF-4226-ABF6-A1E7D1266AF7}"/>
  </bookViews>
  <sheets>
    <sheet name="jolliffe21_vitamind_r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O38" i="1" s="1"/>
  <c r="N3" i="1"/>
  <c r="O3" i="1" s="1"/>
  <c r="N4" i="1"/>
  <c r="O4" i="1" s="1"/>
  <c r="N5" i="1"/>
  <c r="O5" i="1" s="1"/>
  <c r="N6" i="1"/>
  <c r="O6" i="1" s="1"/>
  <c r="N7" i="1"/>
  <c r="O7" i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/>
  <c r="N14" i="1"/>
  <c r="O14" i="1" s="1"/>
  <c r="N15" i="1"/>
  <c r="O15" i="1" s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/>
  <c r="O2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M25" i="1" s="1"/>
  <c r="L26" i="1"/>
  <c r="M26" i="1" s="1"/>
  <c r="L27" i="1"/>
  <c r="L28" i="1"/>
  <c r="L29" i="1"/>
  <c r="L30" i="1"/>
  <c r="L31" i="1"/>
  <c r="L32" i="1"/>
  <c r="L33" i="1"/>
  <c r="L34" i="1"/>
  <c r="L35" i="1"/>
  <c r="L36" i="1"/>
  <c r="L37" i="1"/>
  <c r="L38" i="1"/>
  <c r="M38" i="1" s="1"/>
  <c r="L2" i="1"/>
  <c r="K3" i="1"/>
  <c r="M3" i="1" s="1"/>
  <c r="K4" i="1"/>
  <c r="M4" i="1" s="1"/>
  <c r="K5" i="1"/>
  <c r="K6" i="1"/>
  <c r="K7" i="1"/>
  <c r="K8" i="1"/>
  <c r="K9" i="1"/>
  <c r="K10" i="1"/>
  <c r="K11" i="1"/>
  <c r="K12" i="1"/>
  <c r="K13" i="1"/>
  <c r="K14" i="1"/>
  <c r="K15" i="1"/>
  <c r="M15" i="1" s="1"/>
  <c r="K16" i="1"/>
  <c r="M16" i="1" s="1"/>
  <c r="K17" i="1"/>
  <c r="M17" i="1" s="1"/>
  <c r="K18" i="1"/>
  <c r="M18" i="1" s="1"/>
  <c r="K19" i="1"/>
  <c r="K20" i="1"/>
  <c r="K21" i="1"/>
  <c r="K22" i="1"/>
  <c r="K23" i="1"/>
  <c r="K24" i="1"/>
  <c r="K25" i="1"/>
  <c r="K26" i="1"/>
  <c r="K27" i="1"/>
  <c r="M27" i="1" s="1"/>
  <c r="K28" i="1"/>
  <c r="M28" i="1" s="1"/>
  <c r="K29" i="1"/>
  <c r="M29" i="1" s="1"/>
  <c r="K30" i="1"/>
  <c r="M30" i="1" s="1"/>
  <c r="K31" i="1"/>
  <c r="K32" i="1"/>
  <c r="M32" i="1" s="1"/>
  <c r="K33" i="1"/>
  <c r="K34" i="1"/>
  <c r="K35" i="1"/>
  <c r="K36" i="1"/>
  <c r="K37" i="1"/>
  <c r="K38" i="1"/>
  <c r="K2" i="1"/>
  <c r="M35" i="1" l="1"/>
  <c r="M23" i="1"/>
  <c r="M11" i="1"/>
  <c r="M34" i="1"/>
  <c r="M22" i="1"/>
  <c r="M20" i="1"/>
  <c r="M36" i="1"/>
  <c r="M24" i="1"/>
  <c r="M12" i="1"/>
  <c r="M33" i="1"/>
  <c r="M21" i="1"/>
  <c r="M9" i="1"/>
  <c r="M8" i="1"/>
  <c r="M31" i="1"/>
  <c r="M19" i="1"/>
  <c r="M7" i="1"/>
  <c r="M6" i="1"/>
  <c r="M2" i="1"/>
  <c r="M5" i="1"/>
  <c r="M10" i="1"/>
  <c r="M13" i="1"/>
  <c r="M37" i="1"/>
  <c r="M14" i="1"/>
</calcChain>
</file>

<file path=xl/sharedStrings.xml><?xml version="1.0" encoding="utf-8"?>
<sst xmlns="http://schemas.openxmlformats.org/spreadsheetml/2006/main" count="52" uniqueCount="47">
  <si>
    <t>Author</t>
  </si>
  <si>
    <t>Year</t>
  </si>
  <si>
    <t>OR</t>
  </si>
  <si>
    <t>lCI</t>
  </si>
  <si>
    <t>uCI</t>
  </si>
  <si>
    <t>weight</t>
  </si>
  <si>
    <t>ES</t>
  </si>
  <si>
    <t>Li-Ng</t>
  </si>
  <si>
    <t>Laaksi</t>
  </si>
  <si>
    <t>Manaseki-Holland</t>
  </si>
  <si>
    <t>Urashima</t>
  </si>
  <si>
    <t>Majak</t>
  </si>
  <si>
    <t>Kumar</t>
  </si>
  <si>
    <t>Bergman</t>
  </si>
  <si>
    <t>Camargo</t>
  </si>
  <si>
    <t>Lehouck</t>
  </si>
  <si>
    <t>Murdoch</t>
  </si>
  <si>
    <t>Marchisio</t>
  </si>
  <si>
    <t>Rees</t>
  </si>
  <si>
    <t>Goodall</t>
  </si>
  <si>
    <t>Grant</t>
  </si>
  <si>
    <t>Tran</t>
  </si>
  <si>
    <t>Dubnov-Raz</t>
  </si>
  <si>
    <t>Martineau</t>
  </si>
  <si>
    <t>Simpson</t>
  </si>
  <si>
    <t>Denlinger</t>
  </si>
  <si>
    <t>Gupta</t>
  </si>
  <si>
    <t>Tachimoto</t>
  </si>
  <si>
    <t>Arihiro</t>
  </si>
  <si>
    <t>Loeb</t>
  </si>
  <si>
    <t>Shimizu</t>
  </si>
  <si>
    <t>Aloia</t>
  </si>
  <si>
    <t>Hauger</t>
  </si>
  <si>
    <t>Bischoff-Ferrari</t>
  </si>
  <si>
    <t>Ganmaa</t>
  </si>
  <si>
    <t>Mandlik</t>
  </si>
  <si>
    <t>Pham</t>
  </si>
  <si>
    <t>Rake</t>
  </si>
  <si>
    <t>NCT02046577</t>
  </si>
  <si>
    <t>ari_treat</t>
  </si>
  <si>
    <t>n_treat</t>
  </si>
  <si>
    <t>ari_ctrl</t>
  </si>
  <si>
    <t>n_ctrl</t>
  </si>
  <si>
    <t>J</t>
  </si>
  <si>
    <t>g</t>
  </si>
  <si>
    <t>se_g</t>
  </si>
  <si>
    <t>se_es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</si>
</sst>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6C9AC-875F-4D5C-BD55-1E59E662DB71}">
  <dimension ref="A1:O38"/>
  <sheetViews>
    <sheetView tabSelected="1" topLeftCell="D1" workbookViewId="0">
      <selection activeCell="O18" sqref="O18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39</v>
      </c>
      <c r="D1" t="s">
        <v>40</v>
      </c>
      <c r="E1" t="s">
        <v>41</v>
      </c>
      <c r="F1" t="s">
        <v>42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43</v>
      </c>
      <c r="M1" t="s">
        <v>44</v>
      </c>
      <c r="N1" t="s">
        <v>46</v>
      </c>
      <c r="O1" t="s">
        <v>45</v>
      </c>
    </row>
    <row r="2" spans="1:15" x14ac:dyDescent="0.25">
      <c r="A2" t="s">
        <v>7</v>
      </c>
      <c r="B2">
        <v>2009</v>
      </c>
      <c r="C2">
        <v>32</v>
      </c>
      <c r="D2">
        <v>81</v>
      </c>
      <c r="E2">
        <v>33</v>
      </c>
      <c r="F2">
        <v>76</v>
      </c>
      <c r="G2">
        <v>0.85</v>
      </c>
      <c r="H2">
        <v>0.45</v>
      </c>
      <c r="I2">
        <v>1.61</v>
      </c>
      <c r="J2">
        <v>1.25</v>
      </c>
      <c r="K2">
        <f>-LN(G2)/1.81</f>
        <v>8.9789463810925382E-2</v>
      </c>
      <c r="L2">
        <f t="shared" ref="L2:L38" si="0">1-3/(4*(F2+D2-2)-1)</f>
        <v>0.99515347334410342</v>
      </c>
      <c r="M2">
        <f t="shared" ref="M2:M38" si="1">L2*K2</f>
        <v>8.9354296781147077E-2</v>
      </c>
      <c r="N2">
        <f>(LN(I2)-LN(H2))/2/1.96/1.81</f>
        <v>0.17966257120506021</v>
      </c>
      <c r="O2">
        <f>N2*L2</f>
        <v>0.17879183176464797</v>
      </c>
    </row>
    <row r="3" spans="1:15" x14ac:dyDescent="0.25">
      <c r="A3" t="s">
        <v>8</v>
      </c>
      <c r="B3">
        <v>2010</v>
      </c>
      <c r="C3">
        <v>39</v>
      </c>
      <c r="D3">
        <v>80</v>
      </c>
      <c r="E3">
        <v>54</v>
      </c>
      <c r="F3">
        <v>84</v>
      </c>
      <c r="G3">
        <v>0.53</v>
      </c>
      <c r="H3">
        <v>0.28000000000000003</v>
      </c>
      <c r="I3">
        <v>0.99</v>
      </c>
      <c r="J3">
        <v>1.28</v>
      </c>
      <c r="K3">
        <f t="shared" ref="K3:K38" si="2">-LN(G3)/1.81</f>
        <v>0.35076147648396105</v>
      </c>
      <c r="L3">
        <f t="shared" si="0"/>
        <v>0.99536321483771251</v>
      </c>
      <c r="M3">
        <f t="shared" si="1"/>
        <v>0.34913507087429818</v>
      </c>
      <c r="N3">
        <f t="shared" ref="N3:N37" si="3">(LN(I3)-LN(H3))/2/1.96/1.81</f>
        <v>0.17799573513916253</v>
      </c>
      <c r="O3">
        <f t="shared" ref="O3:O37" si="4">N3*L3</f>
        <v>0.17717040715551879</v>
      </c>
    </row>
    <row r="4" spans="1:15" x14ac:dyDescent="0.25">
      <c r="A4" t="s">
        <v>9</v>
      </c>
      <c r="B4">
        <v>2010</v>
      </c>
      <c r="C4">
        <v>97</v>
      </c>
      <c r="D4">
        <v>224</v>
      </c>
      <c r="E4">
        <v>126</v>
      </c>
      <c r="F4">
        <v>229</v>
      </c>
      <c r="G4">
        <v>0.62</v>
      </c>
      <c r="H4">
        <v>0.43</v>
      </c>
      <c r="I4">
        <v>0.9</v>
      </c>
      <c r="J4">
        <v>3.07</v>
      </c>
      <c r="K4">
        <f t="shared" si="2"/>
        <v>0.26410817731657449</v>
      </c>
      <c r="L4">
        <f t="shared" si="0"/>
        <v>0.99833610648918469</v>
      </c>
      <c r="M4">
        <f t="shared" si="1"/>
        <v>0.26366872943418418</v>
      </c>
      <c r="N4">
        <f t="shared" si="3"/>
        <v>0.1040998921294259</v>
      </c>
      <c r="O4">
        <f t="shared" si="4"/>
        <v>0.10392668099443518</v>
      </c>
    </row>
    <row r="5" spans="1:15" x14ac:dyDescent="0.25">
      <c r="A5" t="s">
        <v>10</v>
      </c>
      <c r="B5">
        <v>2010</v>
      </c>
      <c r="C5">
        <v>68</v>
      </c>
      <c r="D5">
        <v>167</v>
      </c>
      <c r="E5">
        <v>69</v>
      </c>
      <c r="F5">
        <v>167</v>
      </c>
      <c r="G5">
        <v>0.98</v>
      </c>
      <c r="H5">
        <v>0.63</v>
      </c>
      <c r="I5">
        <v>1.51</v>
      </c>
      <c r="J5">
        <v>2.38</v>
      </c>
      <c r="K5">
        <f t="shared" si="2"/>
        <v>1.1161716750010754E-2</v>
      </c>
      <c r="L5">
        <f t="shared" si="0"/>
        <v>0.99773926149208747</v>
      </c>
      <c r="M5">
        <f t="shared" si="1"/>
        <v>1.1136483027139592E-2</v>
      </c>
      <c r="N5">
        <f t="shared" si="3"/>
        <v>0.12320232134730405</v>
      </c>
      <c r="O5">
        <f t="shared" si="4"/>
        <v>0.12292379311516999</v>
      </c>
    </row>
    <row r="6" spans="1:15" x14ac:dyDescent="0.25">
      <c r="A6" t="s">
        <v>11</v>
      </c>
      <c r="B6">
        <v>2011</v>
      </c>
      <c r="C6">
        <v>4</v>
      </c>
      <c r="D6">
        <v>24</v>
      </c>
      <c r="E6">
        <v>11</v>
      </c>
      <c r="F6">
        <v>24</v>
      </c>
      <c r="G6">
        <v>0.24</v>
      </c>
      <c r="H6">
        <v>0.06</v>
      </c>
      <c r="I6">
        <v>0.9</v>
      </c>
      <c r="J6">
        <v>0.3</v>
      </c>
      <c r="K6">
        <f t="shared" si="2"/>
        <v>0.78846207493930709</v>
      </c>
      <c r="L6">
        <f t="shared" si="0"/>
        <v>0.98360655737704916</v>
      </c>
      <c r="M6">
        <f t="shared" si="1"/>
        <v>0.77553646715341684</v>
      </c>
      <c r="N6">
        <f t="shared" si="3"/>
        <v>0.38167355410731341</v>
      </c>
      <c r="O6">
        <f t="shared" si="4"/>
        <v>0.37541661059735743</v>
      </c>
    </row>
    <row r="7" spans="1:15" x14ac:dyDescent="0.25">
      <c r="A7" t="s">
        <v>12</v>
      </c>
      <c r="B7">
        <v>2011</v>
      </c>
      <c r="C7">
        <v>438</v>
      </c>
      <c r="D7">
        <v>1034</v>
      </c>
      <c r="E7">
        <v>458</v>
      </c>
      <c r="F7">
        <v>1030</v>
      </c>
      <c r="G7">
        <v>0.92</v>
      </c>
      <c r="H7">
        <v>0.77</v>
      </c>
      <c r="I7">
        <v>1.0900000000000001</v>
      </c>
      <c r="J7">
        <v>7.47</v>
      </c>
      <c r="K7">
        <f t="shared" si="2"/>
        <v>4.6067187259144202E-2</v>
      </c>
      <c r="L7">
        <f t="shared" si="0"/>
        <v>0.99963623135685709</v>
      </c>
      <c r="M7">
        <f t="shared" si="1"/>
        <v>4.6050429460941532E-2</v>
      </c>
      <c r="N7">
        <f t="shared" si="3"/>
        <v>4.8982757410003935E-2</v>
      </c>
      <c r="O7">
        <f t="shared" si="4"/>
        <v>4.8964939018803499E-2</v>
      </c>
    </row>
    <row r="8" spans="1:15" x14ac:dyDescent="0.25">
      <c r="A8" t="s">
        <v>13</v>
      </c>
      <c r="B8">
        <v>2012</v>
      </c>
      <c r="C8">
        <v>26</v>
      </c>
      <c r="D8">
        <v>62</v>
      </c>
      <c r="E8">
        <v>39</v>
      </c>
      <c r="F8">
        <v>62</v>
      </c>
      <c r="G8">
        <v>0.43</v>
      </c>
      <c r="H8">
        <v>0.21</v>
      </c>
      <c r="I8">
        <v>0.88</v>
      </c>
      <c r="J8">
        <v>0.99</v>
      </c>
      <c r="K8">
        <f t="shared" si="2"/>
        <v>0.46628180679255743</v>
      </c>
      <c r="L8">
        <f t="shared" si="0"/>
        <v>0.99383983572895274</v>
      </c>
      <c r="M8">
        <f t="shared" si="1"/>
        <v>0.46340943426611453</v>
      </c>
      <c r="N8">
        <f t="shared" si="3"/>
        <v>0.20194136553652939</v>
      </c>
      <c r="O8">
        <f t="shared" si="4"/>
        <v>0.20069737355170478</v>
      </c>
    </row>
    <row r="9" spans="1:15" x14ac:dyDescent="0.25">
      <c r="A9" t="s">
        <v>14</v>
      </c>
      <c r="B9">
        <v>2012</v>
      </c>
      <c r="C9">
        <v>44</v>
      </c>
      <c r="D9">
        <v>141</v>
      </c>
      <c r="E9">
        <v>53</v>
      </c>
      <c r="F9">
        <v>103</v>
      </c>
      <c r="G9">
        <v>0.43</v>
      </c>
      <c r="H9">
        <v>0.25</v>
      </c>
      <c r="I9">
        <v>0.72</v>
      </c>
      <c r="J9">
        <v>1.74</v>
      </c>
      <c r="K9">
        <f t="shared" si="2"/>
        <v>0.46628180679255743</v>
      </c>
      <c r="L9">
        <f t="shared" si="0"/>
        <v>0.99689762150982419</v>
      </c>
      <c r="M9">
        <f t="shared" si="1"/>
        <v>0.46483522414480388</v>
      </c>
      <c r="N9">
        <f t="shared" si="3"/>
        <v>0.14908533855956907</v>
      </c>
      <c r="O9">
        <f t="shared" si="4"/>
        <v>0.1486228194120213</v>
      </c>
    </row>
    <row r="10" spans="1:15" x14ac:dyDescent="0.25">
      <c r="A10" t="s">
        <v>15</v>
      </c>
      <c r="B10">
        <v>2012</v>
      </c>
      <c r="C10">
        <v>30</v>
      </c>
      <c r="D10">
        <v>86</v>
      </c>
      <c r="E10">
        <v>29</v>
      </c>
      <c r="F10">
        <v>89</v>
      </c>
      <c r="G10">
        <v>1.1100000000000001</v>
      </c>
      <c r="H10">
        <v>0.59</v>
      </c>
      <c r="I10">
        <v>2.0699999999999998</v>
      </c>
      <c r="J10">
        <v>1.28</v>
      </c>
      <c r="K10">
        <f t="shared" si="2"/>
        <v>-5.7657467029968427E-2</v>
      </c>
      <c r="L10">
        <f t="shared" si="0"/>
        <v>0.99565846599131691</v>
      </c>
      <c r="M10">
        <f t="shared" si="1"/>
        <v>-5.7407145176003295E-2</v>
      </c>
      <c r="N10">
        <f t="shared" si="3"/>
        <v>0.17690570376587686</v>
      </c>
      <c r="O10">
        <f t="shared" si="4"/>
        <v>0.17613766163664729</v>
      </c>
    </row>
    <row r="11" spans="1:15" x14ac:dyDescent="0.25">
      <c r="A11" t="s">
        <v>9</v>
      </c>
      <c r="B11">
        <v>2012</v>
      </c>
      <c r="C11">
        <v>260</v>
      </c>
      <c r="D11">
        <v>1506</v>
      </c>
      <c r="E11">
        <v>245</v>
      </c>
      <c r="F11">
        <v>1505</v>
      </c>
      <c r="G11">
        <v>1.07</v>
      </c>
      <c r="H11">
        <v>0.89</v>
      </c>
      <c r="I11">
        <v>1.3</v>
      </c>
      <c r="J11">
        <v>6.89</v>
      </c>
      <c r="K11">
        <f t="shared" si="2"/>
        <v>-3.7380468770063457E-2</v>
      </c>
      <c r="L11">
        <f t="shared" si="0"/>
        <v>0.99975072704611545</v>
      </c>
      <c r="M11">
        <f t="shared" si="1"/>
        <v>-3.7371150830195557E-2</v>
      </c>
      <c r="N11">
        <f t="shared" si="3"/>
        <v>5.3402029643060456E-2</v>
      </c>
      <c r="O11">
        <f t="shared" si="4"/>
        <v>5.3388717961387902E-2</v>
      </c>
    </row>
    <row r="12" spans="1:15" x14ac:dyDescent="0.25">
      <c r="A12" t="s">
        <v>16</v>
      </c>
      <c r="B12">
        <v>2012</v>
      </c>
      <c r="C12">
        <v>154</v>
      </c>
      <c r="D12">
        <v>161</v>
      </c>
      <c r="E12">
        <v>155</v>
      </c>
      <c r="F12">
        <v>161</v>
      </c>
      <c r="G12">
        <v>0.85</v>
      </c>
      <c r="H12">
        <v>0.28000000000000003</v>
      </c>
      <c r="I12">
        <v>2.59</v>
      </c>
      <c r="J12">
        <v>0.44</v>
      </c>
      <c r="K12">
        <f t="shared" si="2"/>
        <v>8.9789463810925382E-2</v>
      </c>
      <c r="L12">
        <f t="shared" si="0"/>
        <v>0.99765441751368256</v>
      </c>
      <c r="M12">
        <f t="shared" si="1"/>
        <v>8.957885521715464E-2</v>
      </c>
      <c r="N12">
        <f t="shared" si="3"/>
        <v>0.31353923096238778</v>
      </c>
      <c r="O12">
        <f t="shared" si="4"/>
        <v>0.31280379883346898</v>
      </c>
    </row>
    <row r="13" spans="1:15" x14ac:dyDescent="0.25">
      <c r="A13" t="s">
        <v>17</v>
      </c>
      <c r="B13">
        <v>2013</v>
      </c>
      <c r="C13">
        <v>26</v>
      </c>
      <c r="D13">
        <v>58</v>
      </c>
      <c r="E13">
        <v>38</v>
      </c>
      <c r="F13">
        <v>58</v>
      </c>
      <c r="G13">
        <v>0.43</v>
      </c>
      <c r="H13">
        <v>0.2</v>
      </c>
      <c r="I13">
        <v>0.9</v>
      </c>
      <c r="J13">
        <v>0.92</v>
      </c>
      <c r="K13">
        <f t="shared" si="2"/>
        <v>0.46628180679255743</v>
      </c>
      <c r="L13">
        <f t="shared" si="0"/>
        <v>0.99340659340659343</v>
      </c>
      <c r="M13">
        <f t="shared" si="1"/>
        <v>0.46320742125326586</v>
      </c>
      <c r="N13">
        <f t="shared" si="3"/>
        <v>0.21198520080847247</v>
      </c>
      <c r="O13">
        <f t="shared" si="4"/>
        <v>0.21058749618775727</v>
      </c>
    </row>
    <row r="14" spans="1:15" x14ac:dyDescent="0.25">
      <c r="A14" t="s">
        <v>18</v>
      </c>
      <c r="B14">
        <v>2013</v>
      </c>
      <c r="C14">
        <v>303</v>
      </c>
      <c r="D14">
        <v>399</v>
      </c>
      <c r="E14">
        <v>276</v>
      </c>
      <c r="F14">
        <v>360</v>
      </c>
      <c r="G14">
        <v>0.96</v>
      </c>
      <c r="H14">
        <v>0.69</v>
      </c>
      <c r="I14">
        <v>1.34</v>
      </c>
      <c r="J14">
        <v>3.56</v>
      </c>
      <c r="K14">
        <f t="shared" si="2"/>
        <v>2.2553588132737661E-2</v>
      </c>
      <c r="L14">
        <f t="shared" si="0"/>
        <v>0.9990089197224975</v>
      </c>
      <c r="M14">
        <f t="shared" si="1"/>
        <v>2.2531235716352391E-2</v>
      </c>
      <c r="N14">
        <f t="shared" si="3"/>
        <v>9.3546805636719493E-2</v>
      </c>
      <c r="O14">
        <f t="shared" si="4"/>
        <v>9.3454093242629585E-2</v>
      </c>
    </row>
    <row r="15" spans="1:15" x14ac:dyDescent="0.25">
      <c r="A15" t="s">
        <v>19</v>
      </c>
      <c r="B15">
        <v>2014</v>
      </c>
      <c r="C15">
        <v>70</v>
      </c>
      <c r="D15">
        <v>258</v>
      </c>
      <c r="E15">
        <v>80</v>
      </c>
      <c r="F15">
        <v>234</v>
      </c>
      <c r="G15">
        <v>0.72</v>
      </c>
      <c r="H15">
        <v>0.49</v>
      </c>
      <c r="I15">
        <v>1.05</v>
      </c>
      <c r="J15">
        <v>2.9</v>
      </c>
      <c r="K15">
        <f t="shared" si="2"/>
        <v>0.18149395965305862</v>
      </c>
      <c r="L15">
        <f t="shared" si="0"/>
        <v>0.99846860643185298</v>
      </c>
      <c r="M15">
        <f t="shared" si="1"/>
        <v>0.18121602097058839</v>
      </c>
      <c r="N15">
        <f t="shared" si="3"/>
        <v>0.10741628876520702</v>
      </c>
      <c r="O15">
        <f t="shared" si="4"/>
        <v>0.10725179215147776</v>
      </c>
    </row>
    <row r="16" spans="1:15" x14ac:dyDescent="0.25">
      <c r="A16" t="s">
        <v>20</v>
      </c>
      <c r="B16">
        <v>2014</v>
      </c>
      <c r="C16">
        <v>94</v>
      </c>
      <c r="D16">
        <v>157</v>
      </c>
      <c r="E16">
        <v>53</v>
      </c>
      <c r="F16">
        <v>80</v>
      </c>
      <c r="G16">
        <v>0.76</v>
      </c>
      <c r="H16">
        <v>0.43</v>
      </c>
      <c r="I16">
        <v>1.33</v>
      </c>
      <c r="J16">
        <v>1.55</v>
      </c>
      <c r="K16">
        <f t="shared" si="2"/>
        <v>0.15162256668605542</v>
      </c>
      <c r="L16">
        <f t="shared" si="0"/>
        <v>0.99680511182108622</v>
      </c>
      <c r="M16">
        <f t="shared" si="1"/>
        <v>0.15113814954009358</v>
      </c>
      <c r="N16">
        <f t="shared" si="3"/>
        <v>0.1591426615920892</v>
      </c>
      <c r="O16">
        <f t="shared" si="4"/>
        <v>0.15863421858380777</v>
      </c>
    </row>
    <row r="17" spans="1:15" x14ac:dyDescent="0.25">
      <c r="A17" t="s">
        <v>21</v>
      </c>
      <c r="B17">
        <v>2014</v>
      </c>
      <c r="C17">
        <v>185</v>
      </c>
      <c r="D17">
        <v>397</v>
      </c>
      <c r="E17">
        <v>96</v>
      </c>
      <c r="F17">
        <v>197</v>
      </c>
      <c r="G17">
        <v>0.92</v>
      </c>
      <c r="H17">
        <v>0.65</v>
      </c>
      <c r="I17">
        <v>1.29</v>
      </c>
      <c r="J17">
        <v>3.46</v>
      </c>
      <c r="K17">
        <f t="shared" si="2"/>
        <v>4.6067187259144202E-2</v>
      </c>
      <c r="L17">
        <f t="shared" si="0"/>
        <v>0.99873257287705952</v>
      </c>
      <c r="M17">
        <f t="shared" si="1"/>
        <v>4.6008800456534382E-2</v>
      </c>
      <c r="N17">
        <f t="shared" si="3"/>
        <v>9.6604061121044499E-2</v>
      </c>
      <c r="O17">
        <f t="shared" si="4"/>
        <v>9.6481622513793483E-2</v>
      </c>
    </row>
    <row r="18" spans="1:15" x14ac:dyDescent="0.25">
      <c r="A18" t="s">
        <v>10</v>
      </c>
      <c r="B18">
        <v>2014</v>
      </c>
      <c r="C18">
        <v>32</v>
      </c>
      <c r="D18">
        <v>148</v>
      </c>
      <c r="E18">
        <v>17</v>
      </c>
      <c r="F18">
        <v>99</v>
      </c>
      <c r="G18">
        <v>1.33</v>
      </c>
      <c r="H18">
        <v>0.69</v>
      </c>
      <c r="I18">
        <v>2.56</v>
      </c>
      <c r="J18">
        <v>1.19</v>
      </c>
      <c r="K18">
        <f t="shared" si="2"/>
        <v>-0.15755742664843231</v>
      </c>
      <c r="L18">
        <f t="shared" si="0"/>
        <v>0.99693564862104189</v>
      </c>
      <c r="M18">
        <f t="shared" si="1"/>
        <v>-0.1570746153308171</v>
      </c>
      <c r="N18">
        <f t="shared" si="3"/>
        <v>0.18478280244141157</v>
      </c>
      <c r="O18">
        <f t="shared" si="4"/>
        <v>0.1842165630059425</v>
      </c>
    </row>
    <row r="19" spans="1:15" x14ac:dyDescent="0.25">
      <c r="A19" t="s">
        <v>22</v>
      </c>
      <c r="B19">
        <v>2015</v>
      </c>
      <c r="C19">
        <v>10</v>
      </c>
      <c r="D19">
        <v>14</v>
      </c>
      <c r="E19">
        <v>10</v>
      </c>
      <c r="F19">
        <v>11</v>
      </c>
      <c r="G19">
        <v>0.25</v>
      </c>
      <c r="H19">
        <v>0.02</v>
      </c>
      <c r="I19">
        <v>2.65</v>
      </c>
      <c r="J19">
        <v>0.1</v>
      </c>
      <c r="K19">
        <f t="shared" si="2"/>
        <v>0.76590848680656931</v>
      </c>
      <c r="L19">
        <f t="shared" si="0"/>
        <v>0.96703296703296704</v>
      </c>
      <c r="M19">
        <f t="shared" si="1"/>
        <v>0.74065875647228685</v>
      </c>
      <c r="N19">
        <f t="shared" si="3"/>
        <v>0.68871668810270004</v>
      </c>
      <c r="O19">
        <f t="shared" si="4"/>
        <v>0.66601174234107252</v>
      </c>
    </row>
    <row r="20" spans="1:15" x14ac:dyDescent="0.25">
      <c r="A20" t="s">
        <v>23</v>
      </c>
      <c r="B20">
        <v>2015</v>
      </c>
      <c r="C20">
        <v>85</v>
      </c>
      <c r="D20">
        <v>125</v>
      </c>
      <c r="E20">
        <v>93</v>
      </c>
      <c r="F20">
        <v>125</v>
      </c>
      <c r="G20">
        <v>0.73</v>
      </c>
      <c r="H20">
        <v>0.42</v>
      </c>
      <c r="I20">
        <v>1.27</v>
      </c>
      <c r="J20">
        <v>1.61</v>
      </c>
      <c r="K20">
        <f t="shared" si="2"/>
        <v>0.17387333969044211</v>
      </c>
      <c r="L20">
        <f t="shared" si="0"/>
        <v>0.99697275479313829</v>
      </c>
      <c r="M20">
        <f t="shared" si="1"/>
        <v>0.17334698245626318</v>
      </c>
      <c r="N20">
        <f t="shared" si="3"/>
        <v>0.15595296371846079</v>
      </c>
      <c r="O20">
        <f t="shared" si="4"/>
        <v>0.15548085585654819</v>
      </c>
    </row>
    <row r="21" spans="1:15" x14ac:dyDescent="0.25">
      <c r="A21" t="s">
        <v>23</v>
      </c>
      <c r="B21">
        <v>2015</v>
      </c>
      <c r="C21">
        <v>76</v>
      </c>
      <c r="D21">
        <v>122</v>
      </c>
      <c r="E21">
        <v>75</v>
      </c>
      <c r="F21">
        <v>118</v>
      </c>
      <c r="G21">
        <v>0.95</v>
      </c>
      <c r="H21">
        <v>0.56000000000000005</v>
      </c>
      <c r="I21">
        <v>1.6</v>
      </c>
      <c r="J21">
        <v>1.75</v>
      </c>
      <c r="K21">
        <f t="shared" si="2"/>
        <v>2.8338836678204738E-2</v>
      </c>
      <c r="L21">
        <f t="shared" si="0"/>
        <v>0.99684542586750791</v>
      </c>
      <c r="M21">
        <f t="shared" si="1"/>
        <v>2.8249439717074755E-2</v>
      </c>
      <c r="N21">
        <f t="shared" si="3"/>
        <v>0.14796230190814599</v>
      </c>
      <c r="O21">
        <f t="shared" si="4"/>
        <v>0.14749554385796257</v>
      </c>
    </row>
    <row r="22" spans="1:15" x14ac:dyDescent="0.25">
      <c r="A22" t="s">
        <v>23</v>
      </c>
      <c r="B22">
        <v>2015</v>
      </c>
      <c r="C22">
        <v>13</v>
      </c>
      <c r="D22">
        <v>22</v>
      </c>
      <c r="E22">
        <v>13</v>
      </c>
      <c r="F22">
        <v>24</v>
      </c>
      <c r="G22">
        <v>1.22</v>
      </c>
      <c r="H22">
        <v>0.38</v>
      </c>
      <c r="I22">
        <v>3.93</v>
      </c>
      <c r="J22">
        <v>0.4</v>
      </c>
      <c r="K22">
        <f t="shared" si="2"/>
        <v>-0.10986235289788131</v>
      </c>
      <c r="L22">
        <f t="shared" si="0"/>
        <v>0.98285714285714287</v>
      </c>
      <c r="M22">
        <f t="shared" si="1"/>
        <v>-0.10797899827677478</v>
      </c>
      <c r="N22">
        <f t="shared" si="3"/>
        <v>0.32926816046663598</v>
      </c>
      <c r="O22">
        <f t="shared" si="4"/>
        <v>0.3236235634300651</v>
      </c>
    </row>
    <row r="23" spans="1:15" x14ac:dyDescent="0.25">
      <c r="A23" t="s">
        <v>24</v>
      </c>
      <c r="B23">
        <v>2015</v>
      </c>
      <c r="C23">
        <v>16</v>
      </c>
      <c r="D23">
        <v>18</v>
      </c>
      <c r="E23">
        <v>14</v>
      </c>
      <c r="F23">
        <v>16</v>
      </c>
      <c r="G23">
        <v>1.1399999999999999</v>
      </c>
      <c r="H23">
        <v>0.14000000000000001</v>
      </c>
      <c r="I23">
        <v>9.2100000000000009</v>
      </c>
      <c r="J23">
        <v>0.13</v>
      </c>
      <c r="K23">
        <f t="shared" si="2"/>
        <v>-7.2391305196908284E-2</v>
      </c>
      <c r="L23">
        <f t="shared" si="0"/>
        <v>0.97637795275590555</v>
      </c>
      <c r="M23">
        <f t="shared" si="1"/>
        <v>-7.0681274365485255E-2</v>
      </c>
      <c r="N23">
        <f t="shared" si="3"/>
        <v>0.5900330796369444</v>
      </c>
      <c r="O23">
        <f t="shared" si="4"/>
        <v>0.57609529035418194</v>
      </c>
    </row>
    <row r="24" spans="1:15" x14ac:dyDescent="0.25">
      <c r="A24" t="s">
        <v>25</v>
      </c>
      <c r="B24">
        <v>2016</v>
      </c>
      <c r="C24">
        <v>110</v>
      </c>
      <c r="D24">
        <v>201</v>
      </c>
      <c r="E24">
        <v>93</v>
      </c>
      <c r="F24">
        <v>207</v>
      </c>
      <c r="G24">
        <v>1.48</v>
      </c>
      <c r="H24">
        <v>1</v>
      </c>
      <c r="I24">
        <v>2.19</v>
      </c>
      <c r="J24">
        <v>2.84</v>
      </c>
      <c r="K24">
        <f t="shared" si="2"/>
        <v>-0.21659783855028933</v>
      </c>
      <c r="L24">
        <f t="shared" si="0"/>
        <v>0.99815157116451014</v>
      </c>
      <c r="M24">
        <f t="shared" si="1"/>
        <v>-0.2161974728598082</v>
      </c>
      <c r="N24">
        <f t="shared" si="3"/>
        <v>0.11048336112137914</v>
      </c>
      <c r="O24">
        <f t="shared" si="4"/>
        <v>0.11027914049084055</v>
      </c>
    </row>
    <row r="25" spans="1:15" x14ac:dyDescent="0.25">
      <c r="A25" t="s">
        <v>26</v>
      </c>
      <c r="B25">
        <v>2016</v>
      </c>
      <c r="C25">
        <v>39</v>
      </c>
      <c r="D25">
        <v>156</v>
      </c>
      <c r="E25">
        <v>36</v>
      </c>
      <c r="F25">
        <v>158</v>
      </c>
      <c r="G25">
        <v>1.1299999999999999</v>
      </c>
      <c r="H25">
        <v>0.67</v>
      </c>
      <c r="I25">
        <v>1.9</v>
      </c>
      <c r="J25">
        <v>1.78</v>
      </c>
      <c r="K25">
        <f t="shared" si="2"/>
        <v>-6.7523553991297849E-2</v>
      </c>
      <c r="L25">
        <f t="shared" si="0"/>
        <v>0.99759422614274262</v>
      </c>
      <c r="M25">
        <f t="shared" si="1"/>
        <v>-6.7361107590356475E-2</v>
      </c>
      <c r="N25">
        <f t="shared" si="3"/>
        <v>0.14690656398262486</v>
      </c>
      <c r="O25">
        <f t="shared" si="4"/>
        <v>0.14655314001153597</v>
      </c>
    </row>
    <row r="26" spans="1:15" x14ac:dyDescent="0.25">
      <c r="A26" t="s">
        <v>27</v>
      </c>
      <c r="B26">
        <v>2016</v>
      </c>
      <c r="C26">
        <v>4</v>
      </c>
      <c r="D26">
        <v>54</v>
      </c>
      <c r="E26">
        <v>5</v>
      </c>
      <c r="F26">
        <v>35</v>
      </c>
      <c r="G26">
        <v>0.48</v>
      </c>
      <c r="H26">
        <v>0.12</v>
      </c>
      <c r="I26">
        <v>1.93</v>
      </c>
      <c r="J26">
        <v>0.28000000000000003</v>
      </c>
      <c r="K26">
        <f t="shared" si="2"/>
        <v>0.40550783153602232</v>
      </c>
      <c r="L26">
        <f t="shared" si="0"/>
        <v>0.99135446685878958</v>
      </c>
      <c r="M26">
        <f t="shared" si="1"/>
        <v>0.40200200013945725</v>
      </c>
      <c r="N26">
        <f t="shared" si="3"/>
        <v>0.39150179545564401</v>
      </c>
      <c r="O26">
        <f t="shared" si="4"/>
        <v>0.38811705370818883</v>
      </c>
    </row>
    <row r="27" spans="1:15" x14ac:dyDescent="0.25">
      <c r="A27" t="s">
        <v>28</v>
      </c>
      <c r="B27">
        <v>2019</v>
      </c>
      <c r="C27">
        <v>19</v>
      </c>
      <c r="D27">
        <v>115</v>
      </c>
      <c r="E27">
        <v>30</v>
      </c>
      <c r="F27">
        <v>108</v>
      </c>
      <c r="G27">
        <v>0.51</v>
      </c>
      <c r="H27">
        <v>0.27</v>
      </c>
      <c r="I27">
        <v>0.98</v>
      </c>
      <c r="J27">
        <v>1.2</v>
      </c>
      <c r="K27">
        <f t="shared" si="2"/>
        <v>0.37201356533909702</v>
      </c>
      <c r="L27">
        <f t="shared" si="0"/>
        <v>0.99660249150622882</v>
      </c>
      <c r="M27">
        <f t="shared" si="1"/>
        <v>0.37074964609105932</v>
      </c>
      <c r="N27">
        <f t="shared" si="3"/>
        <v>0.18169052495577895</v>
      </c>
      <c r="O27">
        <f t="shared" si="4"/>
        <v>0.18107322985400395</v>
      </c>
    </row>
    <row r="28" spans="1:15" x14ac:dyDescent="0.25">
      <c r="A28" t="s">
        <v>29</v>
      </c>
      <c r="B28">
        <v>2019</v>
      </c>
      <c r="C28">
        <v>50</v>
      </c>
      <c r="D28">
        <v>577</v>
      </c>
      <c r="E28">
        <v>43</v>
      </c>
      <c r="F28">
        <v>576</v>
      </c>
      <c r="G28">
        <v>1.18</v>
      </c>
      <c r="H28">
        <v>0.77</v>
      </c>
      <c r="I28">
        <v>1.8</v>
      </c>
      <c r="J28">
        <v>2.48</v>
      </c>
      <c r="K28">
        <f t="shared" si="2"/>
        <v>-9.1444441147830569E-2</v>
      </c>
      <c r="L28">
        <f t="shared" si="0"/>
        <v>0.99934825114056047</v>
      </c>
      <c r="M28">
        <f t="shared" si="1"/>
        <v>-9.1384842337610392E-2</v>
      </c>
      <c r="N28">
        <f t="shared" si="3"/>
        <v>0.11967970304382208</v>
      </c>
      <c r="O28">
        <f t="shared" si="4"/>
        <v>0.11960170193386521</v>
      </c>
    </row>
    <row r="29" spans="1:15" x14ac:dyDescent="0.25">
      <c r="A29" t="s">
        <v>30</v>
      </c>
      <c r="B29">
        <v>2018</v>
      </c>
      <c r="C29">
        <v>41</v>
      </c>
      <c r="D29">
        <v>110</v>
      </c>
      <c r="E29">
        <v>43</v>
      </c>
      <c r="F29">
        <v>105</v>
      </c>
      <c r="G29">
        <v>0.86</v>
      </c>
      <c r="H29">
        <v>0.5</v>
      </c>
      <c r="I29">
        <v>1.48</v>
      </c>
      <c r="J29">
        <v>1.62</v>
      </c>
      <c r="K29">
        <f t="shared" si="2"/>
        <v>8.3327563389272732E-2</v>
      </c>
      <c r="L29">
        <f t="shared" si="0"/>
        <v>0.99647473560517041</v>
      </c>
      <c r="M29">
        <f t="shared" si="1"/>
        <v>8.3033811696948623E-2</v>
      </c>
      <c r="N29">
        <f t="shared" si="3"/>
        <v>0.15294695968203417</v>
      </c>
      <c r="O29">
        <f t="shared" si="4"/>
        <v>0.15240778121076967</v>
      </c>
    </row>
    <row r="30" spans="1:15" x14ac:dyDescent="0.25">
      <c r="A30" t="s">
        <v>31</v>
      </c>
      <c r="B30">
        <v>2019</v>
      </c>
      <c r="C30">
        <v>76</v>
      </c>
      <c r="D30">
        <v>130</v>
      </c>
      <c r="E30">
        <v>72</v>
      </c>
      <c r="F30">
        <v>130</v>
      </c>
      <c r="G30">
        <v>1.1299999999999999</v>
      </c>
      <c r="H30">
        <v>0.69</v>
      </c>
      <c r="I30">
        <v>1.85</v>
      </c>
      <c r="J30">
        <v>1.96</v>
      </c>
      <c r="K30">
        <f t="shared" si="2"/>
        <v>-6.7523553991297849E-2</v>
      </c>
      <c r="L30">
        <f t="shared" si="0"/>
        <v>0.99709020368574197</v>
      </c>
      <c r="M30">
        <f t="shared" si="1"/>
        <v>-6.7327074202768372E-2</v>
      </c>
      <c r="N30">
        <f t="shared" si="3"/>
        <v>0.13900232840245033</v>
      </c>
      <c r="O30">
        <f t="shared" si="4"/>
        <v>0.13859785993959159</v>
      </c>
    </row>
    <row r="31" spans="1:15" x14ac:dyDescent="0.25">
      <c r="A31" t="s">
        <v>32</v>
      </c>
      <c r="B31">
        <v>2019</v>
      </c>
      <c r="C31">
        <v>36</v>
      </c>
      <c r="D31">
        <v>77</v>
      </c>
      <c r="E31">
        <v>25</v>
      </c>
      <c r="F31">
        <v>41</v>
      </c>
      <c r="G31">
        <v>0.56000000000000005</v>
      </c>
      <c r="H31">
        <v>0.26</v>
      </c>
      <c r="I31">
        <v>1.21</v>
      </c>
      <c r="J31">
        <v>0.87</v>
      </c>
      <c r="K31">
        <f t="shared" si="2"/>
        <v>0.32034171008449835</v>
      </c>
      <c r="L31">
        <f t="shared" si="0"/>
        <v>0.99352051835853128</v>
      </c>
      <c r="M31">
        <f t="shared" si="1"/>
        <v>0.31826606185500916</v>
      </c>
      <c r="N31">
        <f t="shared" si="3"/>
        <v>0.21672313783617925</v>
      </c>
      <c r="O31">
        <f t="shared" si="4"/>
        <v>0.21531888424328824</v>
      </c>
    </row>
    <row r="32" spans="1:15" x14ac:dyDescent="0.25">
      <c r="A32" t="s">
        <v>33</v>
      </c>
      <c r="B32">
        <v>2020</v>
      </c>
      <c r="C32">
        <v>647</v>
      </c>
      <c r="D32">
        <v>1076</v>
      </c>
      <c r="E32">
        <v>652</v>
      </c>
      <c r="F32">
        <v>1081</v>
      </c>
      <c r="G32">
        <v>0.99</v>
      </c>
      <c r="H32">
        <v>0.84</v>
      </c>
      <c r="I32">
        <v>1.18</v>
      </c>
      <c r="J32">
        <v>7.53</v>
      </c>
      <c r="K32">
        <f t="shared" si="2"/>
        <v>5.5526717422659947E-3</v>
      </c>
      <c r="L32">
        <f t="shared" si="0"/>
        <v>0.99965193177862866</v>
      </c>
      <c r="M32">
        <f t="shared" si="1"/>
        <v>5.5507390336888051E-3</v>
      </c>
      <c r="N32">
        <f t="shared" si="3"/>
        <v>4.7901091670756443E-2</v>
      </c>
      <c r="O32">
        <f t="shared" si="4"/>
        <v>4.7884418822976858E-2</v>
      </c>
    </row>
    <row r="33" spans="1:15" x14ac:dyDescent="0.25">
      <c r="A33" t="s">
        <v>14</v>
      </c>
      <c r="B33">
        <v>2020</v>
      </c>
      <c r="C33">
        <v>1882</v>
      </c>
      <c r="D33">
        <v>2539</v>
      </c>
      <c r="E33">
        <v>1855</v>
      </c>
      <c r="F33">
        <v>2517</v>
      </c>
      <c r="G33">
        <v>1.02</v>
      </c>
      <c r="H33">
        <v>0.9</v>
      </c>
      <c r="I33">
        <v>1.1599999999999999</v>
      </c>
      <c r="J33">
        <v>9.2799999999999994</v>
      </c>
      <c r="K33">
        <f t="shared" si="2"/>
        <v>-1.0940678064187696E-2</v>
      </c>
      <c r="L33">
        <f t="shared" si="0"/>
        <v>0.99985159534998769</v>
      </c>
      <c r="M33">
        <f t="shared" si="1"/>
        <v>-1.0939054416688682E-2</v>
      </c>
      <c r="N33">
        <f t="shared" si="3"/>
        <v>3.5767916447189574E-2</v>
      </c>
      <c r="O33">
        <f t="shared" si="4"/>
        <v>3.5762608322067561E-2</v>
      </c>
    </row>
    <row r="34" spans="1:15" x14ac:dyDescent="0.25">
      <c r="A34" t="s">
        <v>34</v>
      </c>
      <c r="B34">
        <v>2020</v>
      </c>
      <c r="C34">
        <v>3783</v>
      </c>
      <c r="D34">
        <v>4401</v>
      </c>
      <c r="E34">
        <v>3793</v>
      </c>
      <c r="F34">
        <v>4418</v>
      </c>
      <c r="G34">
        <v>1.01</v>
      </c>
      <c r="H34">
        <v>0.89</v>
      </c>
      <c r="I34">
        <v>1.1399999999999999</v>
      </c>
      <c r="J34">
        <v>9.49</v>
      </c>
      <c r="K34">
        <f t="shared" si="2"/>
        <v>-5.4974203608663492E-3</v>
      </c>
      <c r="L34">
        <f t="shared" si="0"/>
        <v>0.99991493464144954</v>
      </c>
      <c r="M34">
        <f t="shared" si="1"/>
        <v>-5.4969527208322492E-3</v>
      </c>
      <c r="N34">
        <f t="shared" si="3"/>
        <v>3.4891487014087764E-2</v>
      </c>
      <c r="O34">
        <f t="shared" si="4"/>
        <v>3.4888518957234549E-2</v>
      </c>
    </row>
    <row r="35" spans="1:15" x14ac:dyDescent="0.25">
      <c r="A35" t="s">
        <v>35</v>
      </c>
      <c r="B35">
        <v>2020</v>
      </c>
      <c r="C35">
        <v>92</v>
      </c>
      <c r="D35">
        <v>116</v>
      </c>
      <c r="E35">
        <v>99</v>
      </c>
      <c r="F35">
        <v>121</v>
      </c>
      <c r="G35">
        <v>0.85</v>
      </c>
      <c r="H35">
        <v>0.45</v>
      </c>
      <c r="I35">
        <v>1.62</v>
      </c>
      <c r="J35">
        <v>1.22</v>
      </c>
      <c r="K35">
        <f t="shared" si="2"/>
        <v>8.9789463810925382E-2</v>
      </c>
      <c r="L35">
        <f t="shared" si="0"/>
        <v>0.99680511182108622</v>
      </c>
      <c r="M35">
        <f t="shared" si="1"/>
        <v>8.9502596514404856E-2</v>
      </c>
      <c r="N35">
        <f t="shared" si="3"/>
        <v>0.18053526968402081</v>
      </c>
      <c r="O35">
        <f t="shared" si="4"/>
        <v>0.17995847968503031</v>
      </c>
    </row>
    <row r="36" spans="1:15" x14ac:dyDescent="0.25">
      <c r="A36" t="s">
        <v>36</v>
      </c>
      <c r="B36">
        <v>2021</v>
      </c>
      <c r="C36">
        <v>5253</v>
      </c>
      <c r="D36">
        <v>8000</v>
      </c>
      <c r="E36">
        <v>5310</v>
      </c>
      <c r="F36">
        <v>8000</v>
      </c>
      <c r="G36">
        <v>0.97</v>
      </c>
      <c r="H36">
        <v>0.91</v>
      </c>
      <c r="I36">
        <v>1.03</v>
      </c>
      <c r="J36">
        <v>11.46</v>
      </c>
      <c r="K36">
        <f t="shared" si="2"/>
        <v>1.6828291428015785E-2</v>
      </c>
      <c r="L36">
        <f t="shared" si="0"/>
        <v>0.99995311840727608</v>
      </c>
      <c r="M36">
        <f t="shared" si="1"/>
        <v>1.6827502490910817E-2</v>
      </c>
      <c r="N36">
        <f t="shared" si="3"/>
        <v>1.7458208607620044E-2</v>
      </c>
      <c r="O36">
        <f t="shared" si="4"/>
        <v>1.7457390138994413E-2</v>
      </c>
    </row>
    <row r="37" spans="1:15" x14ac:dyDescent="0.25">
      <c r="A37" t="s">
        <v>37</v>
      </c>
      <c r="B37">
        <v>2020</v>
      </c>
      <c r="C37">
        <v>73</v>
      </c>
      <c r="D37">
        <v>395</v>
      </c>
      <c r="E37">
        <v>65</v>
      </c>
      <c r="F37">
        <v>392</v>
      </c>
      <c r="G37">
        <v>1.1399999999999999</v>
      </c>
      <c r="H37">
        <v>0.79</v>
      </c>
      <c r="I37">
        <v>1.65</v>
      </c>
      <c r="J37">
        <v>3.11</v>
      </c>
      <c r="K37">
        <f t="shared" si="2"/>
        <v>-7.2391305196908284E-2</v>
      </c>
      <c r="L37">
        <f t="shared" si="0"/>
        <v>0.99904428161834979</v>
      </c>
      <c r="M37">
        <f t="shared" si="1"/>
        <v>-7.2322119495859954E-2</v>
      </c>
      <c r="N37">
        <f t="shared" si="3"/>
        <v>0.10380223551606142</v>
      </c>
      <c r="O37">
        <f t="shared" si="4"/>
        <v>0.10370302981152234</v>
      </c>
    </row>
    <row r="38" spans="1:15" x14ac:dyDescent="0.25">
      <c r="A38" t="s">
        <v>38</v>
      </c>
      <c r="B38">
        <v>2014</v>
      </c>
      <c r="C38">
        <v>125</v>
      </c>
      <c r="D38">
        <v>133</v>
      </c>
      <c r="E38">
        <v>59</v>
      </c>
      <c r="F38">
        <v>61</v>
      </c>
      <c r="G38">
        <v>0.53</v>
      </c>
      <c r="H38">
        <v>0.11</v>
      </c>
      <c r="I38">
        <v>2.57</v>
      </c>
      <c r="J38">
        <v>0.22</v>
      </c>
      <c r="K38">
        <f t="shared" si="2"/>
        <v>0.35076147648396105</v>
      </c>
      <c r="L38">
        <f t="shared" si="0"/>
        <v>0.99608865710560623</v>
      </c>
      <c r="M38">
        <f t="shared" si="1"/>
        <v>0.34938952807528845</v>
      </c>
      <c r="N38">
        <f>(LN(I38)-LN(H38))/2/1.96/1.81</f>
        <v>0.44412853930782065</v>
      </c>
      <c r="O38">
        <f>N38*L38</f>
        <v>0.44239140030140151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jolliffe21_vitamind_rti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Hester</cp:lastModifiedBy>
  <dcterms:created xsi:type="dcterms:W3CDTF">2025-09-28T02:10:16Z</dcterms:created>
  <dcterms:modified xsi:type="dcterms:W3CDTF">2025-12-26T21:53:00Z</dcterms:modified>
</cp:coreProperties>
</file>