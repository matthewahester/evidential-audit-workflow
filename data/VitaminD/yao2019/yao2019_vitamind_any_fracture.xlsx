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yao2019\"/>
    </mc:Choice>
  </mc:AlternateContent>
  <xr:revisionPtr revIDLastSave="0" documentId="13_ncr:1_{3C80FA13-966E-43F2-B02D-992EE42B6A6D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 s="1"/>
  <c r="N4" i="1"/>
  <c r="O4" i="1" s="1"/>
  <c r="N5" i="1"/>
  <c r="O5" i="1" s="1"/>
  <c r="N6" i="1"/>
  <c r="O6" i="1"/>
  <c r="N7" i="1"/>
  <c r="O7" i="1" s="1"/>
  <c r="N8" i="1"/>
  <c r="O8" i="1" s="1"/>
  <c r="N9" i="1"/>
  <c r="O9" i="1" s="1"/>
  <c r="N10" i="1"/>
  <c r="O10" i="1"/>
  <c r="N11" i="1"/>
  <c r="O11" i="1" s="1"/>
  <c r="N12" i="1"/>
  <c r="O12" i="1"/>
  <c r="O2" i="1"/>
  <c r="N2" i="1"/>
  <c r="K3" i="1"/>
  <c r="K4" i="1"/>
  <c r="M4" i="1" s="1"/>
  <c r="K5" i="1"/>
  <c r="K6" i="1"/>
  <c r="K7" i="1"/>
  <c r="K8" i="1"/>
  <c r="M8" i="1" s="1"/>
  <c r="K9" i="1"/>
  <c r="K10" i="1"/>
  <c r="M10" i="1" s="1"/>
  <c r="K11" i="1"/>
  <c r="M11" i="1" s="1"/>
  <c r="K12" i="1"/>
  <c r="K2" i="1"/>
  <c r="M2" i="1" s="1"/>
  <c r="L3" i="1"/>
  <c r="M3" i="1" s="1"/>
  <c r="L4" i="1"/>
  <c r="L5" i="1"/>
  <c r="L6" i="1"/>
  <c r="M6" i="1" s="1"/>
  <c r="L7" i="1"/>
  <c r="M7" i="1"/>
  <c r="L8" i="1"/>
  <c r="L9" i="1"/>
  <c r="L10" i="1"/>
  <c r="L11" i="1"/>
  <c r="L12" i="1"/>
  <c r="L2" i="1"/>
  <c r="M9" i="1" l="1"/>
  <c r="M12" i="1"/>
  <c r="M5" i="1"/>
</calcChain>
</file>

<file path=xl/sharedStrings.xml><?xml version="1.0" encoding="utf-8"?>
<sst xmlns="http://schemas.openxmlformats.org/spreadsheetml/2006/main" count="37" uniqueCount="35">
  <si>
    <t>150 000 IU/3 mo</t>
  </si>
  <si>
    <t>20 000 IU/wk</t>
  </si>
  <si>
    <t>100 000 IU/3 mo</t>
  </si>
  <si>
    <t>400 IU/d</t>
  </si>
  <si>
    <t>100 000 IU/4 mo</t>
  </si>
  <si>
    <t>500 000 IU/y</t>
  </si>
  <si>
    <t>100 000 IU/mo</t>
  </si>
  <si>
    <t>800 IU/d</t>
  </si>
  <si>
    <t>300 000 IU/y</t>
  </si>
  <si>
    <t>Glendenning</t>
  </si>
  <si>
    <t>Larsen</t>
  </si>
  <si>
    <t>Law</t>
  </si>
  <si>
    <t>Meyer</t>
  </si>
  <si>
    <t>Lips</t>
  </si>
  <si>
    <t>Trivedi</t>
  </si>
  <si>
    <t>Sanders</t>
  </si>
  <si>
    <t>Khaw</t>
  </si>
  <si>
    <t>Grant</t>
  </si>
  <si>
    <t>Lyons</t>
  </si>
  <si>
    <t>Smith</t>
  </si>
  <si>
    <t>treatment</t>
  </si>
  <si>
    <t>OR</t>
  </si>
  <si>
    <t>lCI_OR</t>
  </si>
  <si>
    <t>uCI_OR</t>
  </si>
  <si>
    <t>f_treat</t>
  </si>
  <si>
    <t>n_treat</t>
  </si>
  <si>
    <t>f_control</t>
  </si>
  <si>
    <t>n_control</t>
  </si>
  <si>
    <t>ES</t>
  </si>
  <si>
    <t>J</t>
  </si>
  <si>
    <t>g</t>
  </si>
  <si>
    <t>se_g</t>
  </si>
  <si>
    <t>Author</t>
  </si>
  <si>
    <t>Year</t>
  </si>
  <si>
    <t>se_es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</si>
</sst>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topLeftCell="D1" workbookViewId="0">
      <selection activeCell="O7" sqref="O7"/>
    </sheetView>
  </sheetViews>
  <sheetFormatPr defaultRowHeight="15" x14ac:dyDescent="0.25"/>
  <cols>
    <col min="1" max="1" width="24.140625" bestFit="1" customWidth="1"/>
    <col min="3" max="3" width="15" bestFit="1" customWidth="1"/>
    <col min="4" max="4" width="8.85546875" bestFit="1" customWidth="1"/>
    <col min="5" max="5" width="8.85546875" customWidth="1"/>
    <col min="6" max="6" width="8.85546875" bestFit="1" customWidth="1"/>
    <col min="7" max="7" width="8.85546875" customWidth="1"/>
    <col min="8" max="8" width="14.42578125" bestFit="1" customWidth="1"/>
    <col min="11" max="11" width="12.28515625" bestFit="1" customWidth="1"/>
  </cols>
  <sheetData>
    <row r="1" spans="1:15" x14ac:dyDescent="0.25">
      <c r="A1" t="s">
        <v>32</v>
      </c>
      <c r="B1" t="s">
        <v>33</v>
      </c>
      <c r="C1" t="s">
        <v>20</v>
      </c>
      <c r="D1" t="s">
        <v>24</v>
      </c>
      <c r="E1" t="s">
        <v>25</v>
      </c>
      <c r="F1" t="s">
        <v>26</v>
      </c>
      <c r="G1" t="s">
        <v>27</v>
      </c>
      <c r="H1" t="s">
        <v>21</v>
      </c>
      <c r="I1" t="s">
        <v>22</v>
      </c>
      <c r="J1" t="s">
        <v>23</v>
      </c>
      <c r="K1" s="1" t="s">
        <v>28</v>
      </c>
      <c r="L1" t="s">
        <v>29</v>
      </c>
      <c r="M1" t="s">
        <v>30</v>
      </c>
      <c r="N1" t="s">
        <v>34</v>
      </c>
      <c r="O1" t="s">
        <v>31</v>
      </c>
    </row>
    <row r="2" spans="1:15" x14ac:dyDescent="0.25">
      <c r="A2" t="s">
        <v>9</v>
      </c>
      <c r="B2">
        <v>2012</v>
      </c>
      <c r="C2" t="s">
        <v>0</v>
      </c>
      <c r="D2">
        <v>10</v>
      </c>
      <c r="E2">
        <v>353</v>
      </c>
      <c r="F2">
        <v>10</v>
      </c>
      <c r="G2">
        <v>333</v>
      </c>
      <c r="H2">
        <v>0.94</v>
      </c>
      <c r="I2">
        <v>0.39</v>
      </c>
      <c r="J2">
        <v>2.29</v>
      </c>
      <c r="K2" s="2">
        <f>LN(H2)/1.81</f>
        <v>-3.418530592159532E-2</v>
      </c>
      <c r="L2">
        <f>1-3/(4*(G2+E2-2)-1)</f>
        <v>0.99890310786106029</v>
      </c>
      <c r="M2">
        <f>L2*K2</f>
        <v>-3.4147808328262676E-2</v>
      </c>
      <c r="N2">
        <f>(LN(J2)-LN(I2))/2/1.96/1.81</f>
        <v>0.24948702748683521</v>
      </c>
      <c r="O2">
        <f>N2*L2</f>
        <v>0.24921336712761746</v>
      </c>
    </row>
    <row r="3" spans="1:15" x14ac:dyDescent="0.25">
      <c r="A3" t="s">
        <v>10</v>
      </c>
      <c r="B3">
        <v>2018</v>
      </c>
      <c r="C3" t="s">
        <v>1</v>
      </c>
      <c r="D3">
        <v>15</v>
      </c>
      <c r="E3">
        <v>256</v>
      </c>
      <c r="F3">
        <v>13</v>
      </c>
      <c r="G3">
        <v>255</v>
      </c>
      <c r="H3">
        <v>1.1599999999999999</v>
      </c>
      <c r="I3">
        <v>0.54</v>
      </c>
      <c r="J3">
        <v>2.48</v>
      </c>
      <c r="K3" s="2">
        <f t="shared" ref="K3:K12" si="0">LN(H3)/1.81</f>
        <v>8.2000002827775254E-2</v>
      </c>
      <c r="L3">
        <f t="shared" ref="L3:L12" si="1">1-3/(4*(G3+E3-2)-1)</f>
        <v>0.99852579852579848</v>
      </c>
      <c r="M3">
        <f t="shared" ref="M3:M12" si="2">L3*K3</f>
        <v>8.1879118302722015E-2</v>
      </c>
      <c r="N3">
        <f t="shared" ref="N3:N12" si="3">(LN(J3)-LN(I3))/2/1.96/1.81</f>
        <v>0.21485577567943226</v>
      </c>
      <c r="O3">
        <f t="shared" ref="O3:O12" si="4">N3*L3</f>
        <v>0.21453903497818494</v>
      </c>
    </row>
    <row r="4" spans="1:15" x14ac:dyDescent="0.25">
      <c r="A4" t="s">
        <v>11</v>
      </c>
      <c r="B4">
        <v>2006</v>
      </c>
      <c r="C4" t="s">
        <v>2</v>
      </c>
      <c r="D4">
        <v>66</v>
      </c>
      <c r="E4">
        <v>1762</v>
      </c>
      <c r="F4">
        <v>53</v>
      </c>
      <c r="G4">
        <v>1955</v>
      </c>
      <c r="H4">
        <v>1.39</v>
      </c>
      <c r="I4">
        <v>0.97</v>
      </c>
      <c r="J4">
        <v>2.0099999999999998</v>
      </c>
      <c r="K4" s="2">
        <f t="shared" si="0"/>
        <v>0.18193577190198912</v>
      </c>
      <c r="L4">
        <f t="shared" si="1"/>
        <v>0.99979810216030685</v>
      </c>
      <c r="M4">
        <f t="shared" si="2"/>
        <v>0.18189903946267921</v>
      </c>
      <c r="N4">
        <f t="shared" si="3"/>
        <v>0.10268828638455474</v>
      </c>
      <c r="O4">
        <f t="shared" si="4"/>
        <v>0.10266755384137191</v>
      </c>
    </row>
    <row r="5" spans="1:15" x14ac:dyDescent="0.25">
      <c r="A5" t="s">
        <v>12</v>
      </c>
      <c r="B5">
        <v>2002</v>
      </c>
      <c r="C5" t="s">
        <v>3</v>
      </c>
      <c r="D5">
        <v>69</v>
      </c>
      <c r="E5">
        <v>569</v>
      </c>
      <c r="F5">
        <v>76</v>
      </c>
      <c r="G5">
        <v>575</v>
      </c>
      <c r="H5">
        <v>0.9</v>
      </c>
      <c r="I5">
        <v>0.64</v>
      </c>
      <c r="J5">
        <v>1.28</v>
      </c>
      <c r="K5" s="2">
        <f t="shared" si="0"/>
        <v>-5.8210229645207889E-2</v>
      </c>
      <c r="L5">
        <f t="shared" si="1"/>
        <v>0.9993431136413401</v>
      </c>
      <c r="M5">
        <f t="shared" si="2"/>
        <v>-5.8171992139419489E-2</v>
      </c>
      <c r="N5">
        <f t="shared" si="3"/>
        <v>9.7692409031450184E-2</v>
      </c>
      <c r="O5">
        <f t="shared" si="4"/>
        <v>9.7628236220612799E-2</v>
      </c>
    </row>
    <row r="6" spans="1:15" x14ac:dyDescent="0.25">
      <c r="A6" t="s">
        <v>13</v>
      </c>
      <c r="B6">
        <v>1996</v>
      </c>
      <c r="C6" t="s">
        <v>3</v>
      </c>
      <c r="D6">
        <v>135</v>
      </c>
      <c r="E6">
        <v>1291</v>
      </c>
      <c r="F6">
        <v>122</v>
      </c>
      <c r="G6">
        <v>1287</v>
      </c>
      <c r="H6">
        <v>1.1200000000000001</v>
      </c>
      <c r="I6">
        <v>0.86</v>
      </c>
      <c r="J6">
        <v>1.45</v>
      </c>
      <c r="K6" s="2">
        <f t="shared" si="0"/>
        <v>6.2612533318786329E-2</v>
      </c>
      <c r="L6">
        <f t="shared" si="1"/>
        <v>0.99970882267300787</v>
      </c>
      <c r="M6">
        <f t="shared" si="2"/>
        <v>6.2594301968698363E-2</v>
      </c>
      <c r="N6">
        <f t="shared" si="3"/>
        <v>7.3625330669617003E-2</v>
      </c>
      <c r="O6">
        <f t="shared" si="4"/>
        <v>7.3603892642633714E-2</v>
      </c>
    </row>
    <row r="7" spans="1:15" x14ac:dyDescent="0.25">
      <c r="A7" t="s">
        <v>14</v>
      </c>
      <c r="B7">
        <v>2003</v>
      </c>
      <c r="C7" t="s">
        <v>4</v>
      </c>
      <c r="D7">
        <v>119</v>
      </c>
      <c r="E7">
        <v>1345</v>
      </c>
      <c r="F7">
        <v>149</v>
      </c>
      <c r="G7">
        <v>1341</v>
      </c>
      <c r="H7">
        <v>0.78</v>
      </c>
      <c r="I7">
        <v>0.61</v>
      </c>
      <c r="J7">
        <v>1</v>
      </c>
      <c r="K7" s="2">
        <f t="shared" si="0"/>
        <v>-0.13727146922569039</v>
      </c>
      <c r="L7">
        <f t="shared" si="1"/>
        <v>0.99972054028877499</v>
      </c>
      <c r="M7">
        <f t="shared" si="2"/>
        <v>-0.13723310738054115</v>
      </c>
      <c r="N7">
        <f t="shared" si="3"/>
        <v>6.9666298598317189E-2</v>
      </c>
      <c r="O7">
        <f t="shared" si="4"/>
        <v>6.9646829674628791E-2</v>
      </c>
    </row>
    <row r="8" spans="1:15" x14ac:dyDescent="0.25">
      <c r="A8" t="s">
        <v>15</v>
      </c>
      <c r="B8">
        <v>2010</v>
      </c>
      <c r="C8" t="s">
        <v>5</v>
      </c>
      <c r="D8">
        <v>171</v>
      </c>
      <c r="E8">
        <v>1131</v>
      </c>
      <c r="F8">
        <v>135</v>
      </c>
      <c r="G8">
        <v>1127</v>
      </c>
      <c r="H8">
        <v>1.31</v>
      </c>
      <c r="I8">
        <v>1.03</v>
      </c>
      <c r="J8">
        <v>1.67</v>
      </c>
      <c r="K8" s="2">
        <f t="shared" si="0"/>
        <v>0.14918626365362442</v>
      </c>
      <c r="L8">
        <f t="shared" si="1"/>
        <v>0.99966751634711293</v>
      </c>
      <c r="M8">
        <f t="shared" si="2"/>
        <v>0.14913666165972428</v>
      </c>
      <c r="N8">
        <f t="shared" si="3"/>
        <v>6.8111515417059315E-2</v>
      </c>
      <c r="O8">
        <f t="shared" si="4"/>
        <v>6.8088869451609774E-2</v>
      </c>
    </row>
    <row r="9" spans="1:15" x14ac:dyDescent="0.25">
      <c r="A9" t="s">
        <v>16</v>
      </c>
      <c r="B9">
        <v>2017</v>
      </c>
      <c r="C9" t="s">
        <v>6</v>
      </c>
      <c r="D9">
        <v>156</v>
      </c>
      <c r="E9">
        <v>2558</v>
      </c>
      <c r="F9">
        <v>136</v>
      </c>
      <c r="G9">
        <v>2550</v>
      </c>
      <c r="H9">
        <v>1.1499999999999999</v>
      </c>
      <c r="I9">
        <v>0.91</v>
      </c>
      <c r="J9">
        <v>1.46</v>
      </c>
      <c r="K9" s="2">
        <f t="shared" si="0"/>
        <v>7.7216542748706415E-2</v>
      </c>
      <c r="L9">
        <f t="shared" si="1"/>
        <v>0.99985310679136263</v>
      </c>
      <c r="M9">
        <f t="shared" si="2"/>
        <v>7.7205200162982171E-2</v>
      </c>
      <c r="N9">
        <f t="shared" si="3"/>
        <v>6.66291457875023E-2</v>
      </c>
      <c r="O9">
        <f t="shared" si="4"/>
        <v>6.6619358418488803E-2</v>
      </c>
    </row>
    <row r="10" spans="1:15" x14ac:dyDescent="0.25">
      <c r="A10" t="s">
        <v>17</v>
      </c>
      <c r="B10">
        <v>2005</v>
      </c>
      <c r="C10" t="s">
        <v>7</v>
      </c>
      <c r="D10">
        <v>208</v>
      </c>
      <c r="E10">
        <v>1343</v>
      </c>
      <c r="F10">
        <v>192</v>
      </c>
      <c r="G10">
        <v>1332</v>
      </c>
      <c r="H10">
        <v>1.08</v>
      </c>
      <c r="I10">
        <v>0.88</v>
      </c>
      <c r="J10">
        <v>1.35</v>
      </c>
      <c r="K10" s="2">
        <f t="shared" si="0"/>
        <v>4.2519912229905192E-2</v>
      </c>
      <c r="L10">
        <f t="shared" si="1"/>
        <v>0.99971939014124034</v>
      </c>
      <c r="M10">
        <f t="shared" si="2"/>
        <v>4.2507980723339882E-2</v>
      </c>
      <c r="N10">
        <f t="shared" si="3"/>
        <v>6.0313728148638938E-2</v>
      </c>
      <c r="O10">
        <f t="shared" si="4"/>
        <v>6.0296803521901879E-2</v>
      </c>
    </row>
    <row r="11" spans="1:15" x14ac:dyDescent="0.25">
      <c r="A11" t="s">
        <v>18</v>
      </c>
      <c r="B11">
        <v>2007</v>
      </c>
      <c r="C11" t="s">
        <v>4</v>
      </c>
      <c r="D11">
        <v>205</v>
      </c>
      <c r="E11">
        <v>1725</v>
      </c>
      <c r="F11">
        <v>218</v>
      </c>
      <c r="G11">
        <v>1715</v>
      </c>
      <c r="H11">
        <v>0.92</v>
      </c>
      <c r="I11">
        <v>0.76</v>
      </c>
      <c r="J11">
        <v>1.1399999999999999</v>
      </c>
      <c r="K11" s="2">
        <f t="shared" si="0"/>
        <v>-4.6067187259144202E-2</v>
      </c>
      <c r="L11">
        <f t="shared" si="1"/>
        <v>0.99978183404843279</v>
      </c>
      <c r="M11">
        <f t="shared" si="2"/>
        <v>-4.6057136967399784E-2</v>
      </c>
      <c r="N11">
        <f t="shared" si="3"/>
        <v>5.7146395888511142E-2</v>
      </c>
      <c r="O11">
        <f t="shared" si="4"/>
        <v>5.7133928490673488E-2</v>
      </c>
    </row>
    <row r="12" spans="1:15" x14ac:dyDescent="0.25">
      <c r="A12" t="s">
        <v>19</v>
      </c>
      <c r="B12">
        <v>2007</v>
      </c>
      <c r="C12" t="s">
        <v>8</v>
      </c>
      <c r="D12">
        <v>306</v>
      </c>
      <c r="E12">
        <v>4727</v>
      </c>
      <c r="F12">
        <v>279</v>
      </c>
      <c r="G12">
        <v>4713</v>
      </c>
      <c r="H12">
        <v>1.1100000000000001</v>
      </c>
      <c r="I12">
        <v>0.93</v>
      </c>
      <c r="J12">
        <v>1.3</v>
      </c>
      <c r="K12" s="2">
        <f t="shared" si="0"/>
        <v>5.7657467029968427E-2</v>
      </c>
      <c r="L12">
        <f t="shared" si="1"/>
        <v>0.99992053190643959</v>
      </c>
      <c r="M12">
        <f t="shared" si="2"/>
        <v>5.7652885100984035E-2</v>
      </c>
      <c r="N12">
        <f t="shared" si="3"/>
        <v>4.7205851463288755E-2</v>
      </c>
      <c r="O12">
        <f t="shared" si="4"/>
        <v>4.720210010426807E-2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2025-12-26T22:00:30Z</dcterms:modified>
</cp:coreProperties>
</file>