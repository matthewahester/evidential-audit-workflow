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stockton2011\"/>
    </mc:Choice>
  </mc:AlternateContent>
  <xr:revisionPtr revIDLastSave="0" documentId="13_ncr:1_{D6143E67-134C-44D5-A653-C81B77E54CEA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H3" i="2" l="1"/>
  <c r="H4" i="2"/>
  <c r="H5" i="2"/>
  <c r="H6" i="2"/>
  <c r="H7" i="2"/>
  <c r="H8" i="2"/>
  <c r="H9" i="2"/>
  <c r="H10" i="2"/>
  <c r="H11" i="2"/>
  <c r="H12" i="2"/>
  <c r="H2" i="2"/>
  <c r="I3" i="2"/>
  <c r="J3" i="2" s="1"/>
  <c r="I2" i="2"/>
  <c r="I4" i="2"/>
  <c r="I5" i="2"/>
  <c r="I6" i="2"/>
  <c r="J6" i="2" s="1"/>
  <c r="I7" i="2"/>
  <c r="I8" i="2"/>
  <c r="J8" i="2" s="1"/>
  <c r="I9" i="2"/>
  <c r="J9" i="2" s="1"/>
  <c r="I10" i="2"/>
  <c r="J10" i="2" s="1"/>
  <c r="I11" i="2"/>
  <c r="J11" i="2" s="1"/>
  <c r="I12" i="2"/>
  <c r="J12" i="2" s="1"/>
  <c r="J4" i="2"/>
  <c r="J7" i="2"/>
  <c r="K2" i="2" l="1"/>
  <c r="J2" i="2"/>
  <c r="J5" i="2"/>
</calcChain>
</file>

<file path=xl/sharedStrings.xml><?xml version="1.0" encoding="utf-8"?>
<sst xmlns="http://schemas.openxmlformats.org/spreadsheetml/2006/main" count="22" uniqueCount="22">
  <si>
    <t>Author</t>
  </si>
  <si>
    <t>Year</t>
  </si>
  <si>
    <t>CI_lower</t>
  </si>
  <si>
    <t>CI_upper</t>
  </si>
  <si>
    <t>N</t>
  </si>
  <si>
    <t>pooled_sd</t>
  </si>
  <si>
    <t>Bischoff</t>
  </si>
  <si>
    <t>Bunout</t>
  </si>
  <si>
    <t>Dhesi</t>
  </si>
  <si>
    <t>Grady</t>
  </si>
  <si>
    <t>Janssen</t>
  </si>
  <si>
    <t>Latham</t>
  </si>
  <si>
    <t>Pfeifer</t>
  </si>
  <si>
    <t>Kenny</t>
  </si>
  <si>
    <t>Kukulijan</t>
  </si>
  <si>
    <t>Bischoffb</t>
  </si>
  <si>
    <t>Gradyb</t>
  </si>
  <si>
    <t>SMD</t>
  </si>
  <si>
    <t>J</t>
  </si>
  <si>
    <t>g</t>
  </si>
  <si>
    <t>se_d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</si>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</sst>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61A1-502D-49C2-8946-F37011FFEE87}">
  <dimension ref="A1:K12"/>
  <sheetViews>
    <sheetView tabSelected="1" workbookViewId="0">
      <selection activeCell="J3" sqref="J3"/>
    </sheetView>
  </sheetViews>
  <sheetFormatPr defaultRowHeight="15" x14ac:dyDescent="0.25"/>
  <cols>
    <col min="1" max="1" width="9.28515625" bestFit="1" customWidth="1"/>
    <col min="2" max="2" width="4.85546875" bestFit="1" customWidth="1"/>
    <col min="3" max="3" width="4" bestFit="1" customWidth="1"/>
    <col min="4" max="4" width="7.28515625" bestFit="1" customWidth="1"/>
    <col min="5" max="5" width="8.85546875" bestFit="1" customWidth="1"/>
    <col min="6" max="6" width="9" bestFit="1" customWidth="1"/>
    <col min="7" max="7" width="6.5703125" bestFit="1" customWidth="1"/>
    <col min="8" max="8" width="10.28515625" bestFit="1" customWidth="1"/>
    <col min="9" max="9" width="7.28515625" bestFit="1" customWidth="1"/>
    <col min="10" max="10" width="6.5703125" bestFit="1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17</v>
      </c>
      <c r="E1" t="s">
        <v>2</v>
      </c>
      <c r="F1" t="s">
        <v>3</v>
      </c>
      <c r="G1" t="s">
        <v>20</v>
      </c>
      <c r="H1" t="s">
        <v>5</v>
      </c>
      <c r="I1" t="s">
        <v>18</v>
      </c>
      <c r="J1" t="s">
        <v>19</v>
      </c>
      <c r="K1" t="s">
        <v>21</v>
      </c>
    </row>
    <row r="2" spans="1:11" x14ac:dyDescent="0.25">
      <c r="A2" t="s">
        <v>6</v>
      </c>
      <c r="B2">
        <v>2003</v>
      </c>
      <c r="C2">
        <v>122</v>
      </c>
      <c r="D2" s="1">
        <v>0.2</v>
      </c>
      <c r="E2" s="1">
        <v>-0.28999999999999998</v>
      </c>
      <c r="F2" s="1">
        <v>0.69</v>
      </c>
      <c r="G2" s="1">
        <v>0.25</v>
      </c>
      <c r="H2">
        <f>G2*SQRT(C2/4)</f>
        <v>1.3806701271484076</v>
      </c>
      <c r="I2">
        <f>1-3/(4*(C2-2)-1)</f>
        <v>0.99373695198329859</v>
      </c>
      <c r="J2">
        <f>I2*D2</f>
        <v>0.19874739039665973</v>
      </c>
      <c r="K2">
        <f>I2*G2</f>
        <v>0.24843423799582465</v>
      </c>
    </row>
    <row r="3" spans="1:11" x14ac:dyDescent="0.25">
      <c r="A3" t="s">
        <v>7</v>
      </c>
      <c r="B3">
        <v>2006</v>
      </c>
      <c r="C3">
        <v>96</v>
      </c>
      <c r="D3" s="1">
        <v>-0.28999999999999998</v>
      </c>
      <c r="E3" s="1">
        <v>-0.85899999999999999</v>
      </c>
      <c r="F3" s="1">
        <v>0.27900000000000003</v>
      </c>
      <c r="G3" s="1">
        <v>0.28999999999999998</v>
      </c>
      <c r="H3">
        <f>G3*SQRT(C3/4)</f>
        <v>1.420704050814243</v>
      </c>
      <c r="I3">
        <f>1-3/(4*(C3-2)-1)</f>
        <v>0.99199999999999999</v>
      </c>
      <c r="J3">
        <f>I3*D3</f>
        <v>-0.28767999999999999</v>
      </c>
      <c r="K3">
        <f t="shared" ref="K3:K12" si="0">I3*G3</f>
        <v>0.28767999999999999</v>
      </c>
    </row>
    <row r="4" spans="1:11" x14ac:dyDescent="0.25">
      <c r="A4" t="s">
        <v>8</v>
      </c>
      <c r="B4">
        <v>2004</v>
      </c>
      <c r="C4">
        <v>139</v>
      </c>
      <c r="D4" s="1">
        <v>0.22700000000000001</v>
      </c>
      <c r="E4" s="1">
        <v>-0.127</v>
      </c>
      <c r="F4" s="1">
        <v>0.58199999999999996</v>
      </c>
      <c r="G4" s="1">
        <v>0.18099999999999999</v>
      </c>
      <c r="H4">
        <f>G4*SQRT(C4/4)</f>
        <v>1.0669792640909193</v>
      </c>
      <c r="I4">
        <f>1-3/(4*(C4-2)-1)</f>
        <v>0.99451553930530168</v>
      </c>
      <c r="J4">
        <f>I4*D4</f>
        <v>0.22575502742230349</v>
      </c>
      <c r="K4">
        <f t="shared" si="0"/>
        <v>0.18000731261425959</v>
      </c>
    </row>
    <row r="5" spans="1:11" x14ac:dyDescent="0.25">
      <c r="A5" t="s">
        <v>9</v>
      </c>
      <c r="B5">
        <v>1991</v>
      </c>
      <c r="C5">
        <v>98</v>
      </c>
      <c r="D5" s="1">
        <v>0.12</v>
      </c>
      <c r="E5" s="1">
        <v>-0.27700000000000002</v>
      </c>
      <c r="F5" s="1">
        <v>0.51600000000000001</v>
      </c>
      <c r="G5" s="1">
        <v>0.20200000000000001</v>
      </c>
      <c r="H5">
        <f>G5*SQRT(C5/4)</f>
        <v>0.99984898859777827</v>
      </c>
      <c r="I5">
        <f>1-3/(4*(C5-2)-1)</f>
        <v>0.9921671018276762</v>
      </c>
      <c r="J5">
        <f>I5*D5</f>
        <v>0.11906005221932114</v>
      </c>
      <c r="K5">
        <f t="shared" si="0"/>
        <v>0.20041775456919061</v>
      </c>
    </row>
    <row r="6" spans="1:11" x14ac:dyDescent="0.25">
      <c r="A6" t="s">
        <v>10</v>
      </c>
      <c r="B6">
        <v>2010</v>
      </c>
      <c r="C6">
        <v>70</v>
      </c>
      <c r="D6" s="1">
        <v>0.19700000000000001</v>
      </c>
      <c r="E6" s="1">
        <v>-0.27300000000000002</v>
      </c>
      <c r="F6" s="1">
        <v>0.66700000000000004</v>
      </c>
      <c r="G6" s="1">
        <v>0.24</v>
      </c>
      <c r="H6">
        <f>G6*SQRT(C6/4)</f>
        <v>1.0039920318408906</v>
      </c>
      <c r="I6">
        <f>1-3/(4*(C6-2)-1)</f>
        <v>0.98892988929889303</v>
      </c>
      <c r="J6">
        <f>I6*D6</f>
        <v>0.19481918819188193</v>
      </c>
      <c r="K6">
        <f t="shared" si="0"/>
        <v>0.23734317343173431</v>
      </c>
    </row>
    <row r="7" spans="1:11" x14ac:dyDescent="0.25">
      <c r="A7" t="s">
        <v>11</v>
      </c>
      <c r="B7">
        <v>2003</v>
      </c>
      <c r="C7">
        <v>243</v>
      </c>
      <c r="D7" s="1">
        <v>0</v>
      </c>
      <c r="E7" s="1">
        <v>-0.251</v>
      </c>
      <c r="F7" s="1">
        <v>0.251</v>
      </c>
      <c r="G7" s="1">
        <v>0.128</v>
      </c>
      <c r="H7">
        <f>G7*SQRT(C7/4)</f>
        <v>0.99766126515967335</v>
      </c>
      <c r="I7">
        <f>1-3/(4*(C7-2)-1)</f>
        <v>0.99688473520249221</v>
      </c>
      <c r="J7">
        <f>I7*D7</f>
        <v>0</v>
      </c>
      <c r="K7">
        <f t="shared" si="0"/>
        <v>0.127601246105919</v>
      </c>
    </row>
    <row r="8" spans="1:11" x14ac:dyDescent="0.25">
      <c r="A8" t="s">
        <v>12</v>
      </c>
      <c r="B8">
        <v>2009</v>
      </c>
      <c r="C8">
        <v>242</v>
      </c>
      <c r="D8" s="1">
        <v>0.20699999999999999</v>
      </c>
      <c r="E8" s="1">
        <v>-5.2999999999999999E-2</v>
      </c>
      <c r="F8" s="1">
        <v>0.46700000000000003</v>
      </c>
      <c r="G8" s="1">
        <v>0.13300000000000001</v>
      </c>
      <c r="H8">
        <f>G8*SQRT(C8/4)</f>
        <v>1.0344972208759191</v>
      </c>
      <c r="I8">
        <f>1-3/(4*(C8-2)-1)</f>
        <v>0.99687174139728885</v>
      </c>
      <c r="J8">
        <f>I8*D8</f>
        <v>0.20635245046923878</v>
      </c>
      <c r="K8">
        <f t="shared" si="0"/>
        <v>0.13258394160583942</v>
      </c>
    </row>
    <row r="9" spans="1:11" x14ac:dyDescent="0.25">
      <c r="A9" t="s">
        <v>15</v>
      </c>
      <c r="B9">
        <v>2003</v>
      </c>
      <c r="C9">
        <v>122</v>
      </c>
      <c r="D9" s="1">
        <v>0.191</v>
      </c>
      <c r="E9" s="1">
        <v>-0.309</v>
      </c>
      <c r="F9" s="1">
        <v>0.69099999999999995</v>
      </c>
      <c r="G9" s="1">
        <v>0.255</v>
      </c>
      <c r="H9">
        <f>G9*SQRT(C9/4)</f>
        <v>1.4082835296913758</v>
      </c>
      <c r="I9">
        <f>1-3/(4*(C9-2)-1)</f>
        <v>0.99373695198329859</v>
      </c>
      <c r="J9">
        <f>I9*D9</f>
        <v>0.18980375782881004</v>
      </c>
      <c r="K9">
        <f t="shared" si="0"/>
        <v>0.25340292275574117</v>
      </c>
    </row>
    <row r="10" spans="1:11" x14ac:dyDescent="0.25">
      <c r="A10" t="s">
        <v>16</v>
      </c>
      <c r="B10">
        <v>1991</v>
      </c>
      <c r="C10">
        <v>98</v>
      </c>
      <c r="D10" s="1">
        <v>3.7999999999999999E-2</v>
      </c>
      <c r="E10" s="1">
        <v>-0.35899999999999999</v>
      </c>
      <c r="F10" s="1">
        <v>0.434</v>
      </c>
      <c r="G10" s="1">
        <v>0.20200000000000001</v>
      </c>
      <c r="H10">
        <f>G10*SQRT(C10/4)</f>
        <v>0.99984898859777827</v>
      </c>
      <c r="I10">
        <f>1-3/(4*(C10-2)-1)</f>
        <v>0.9921671018276762</v>
      </c>
      <c r="J10">
        <f>I10*D10</f>
        <v>3.7702349869451694E-2</v>
      </c>
      <c r="K10">
        <f t="shared" si="0"/>
        <v>0.20041775456919061</v>
      </c>
    </row>
    <row r="11" spans="1:11" x14ac:dyDescent="0.25">
      <c r="A11" t="s">
        <v>13</v>
      </c>
      <c r="B11">
        <v>2003</v>
      </c>
      <c r="C11">
        <v>65</v>
      </c>
      <c r="D11" s="1">
        <v>2.7E-2</v>
      </c>
      <c r="E11" s="1">
        <v>-0.48</v>
      </c>
      <c r="F11" s="1">
        <v>0.53300000000000003</v>
      </c>
      <c r="G11" s="1">
        <v>0.25800000000000001</v>
      </c>
      <c r="H11">
        <f>G11*SQRT(C11/4)</f>
        <v>1.0400312495305128</v>
      </c>
      <c r="I11">
        <f>1-3/(4*(C11-2)-1)</f>
        <v>0.98804780876494025</v>
      </c>
      <c r="J11">
        <f>I11*D11</f>
        <v>2.6677290836653385E-2</v>
      </c>
      <c r="K11">
        <f t="shared" si="0"/>
        <v>0.2549163346613546</v>
      </c>
    </row>
    <row r="12" spans="1:11" x14ac:dyDescent="0.25">
      <c r="A12" t="s">
        <v>14</v>
      </c>
      <c r="B12">
        <v>2009</v>
      </c>
      <c r="C12">
        <v>180</v>
      </c>
      <c r="D12" s="1">
        <v>8.7999999999999995E-2</v>
      </c>
      <c r="E12" s="1">
        <v>-0.33500000000000002</v>
      </c>
      <c r="F12" s="1">
        <v>0.51100000000000001</v>
      </c>
      <c r="G12" s="1">
        <v>0.216</v>
      </c>
      <c r="H12">
        <f>G12*SQRT(C12/4)</f>
        <v>1.4489720494198637</v>
      </c>
      <c r="I12">
        <f>1-3/(4*(C12-2)-1)</f>
        <v>0.99578059071729963</v>
      </c>
      <c r="J12">
        <f>I12*D12</f>
        <v>8.7628691983122356E-2</v>
      </c>
      <c r="K12">
        <f t="shared" si="0"/>
        <v>0.21508860759493673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2025-12-30T22:52:53Z</dcterms:modified>
</cp:coreProperties>
</file>