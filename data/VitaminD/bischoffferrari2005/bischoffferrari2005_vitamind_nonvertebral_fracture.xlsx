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Vitamins\bischoffferrari2005\"/>
    </mc:Choice>
  </mc:AlternateContent>
  <xr:revisionPtr revIDLastSave="0" documentId="13_ncr:1_{093CBE11-4D51-4A65-B5A1-1E71CC4C9C41}" xr6:coauthVersionLast="47" xr6:coauthVersionMax="47" xr10:uidLastSave="{00000000-0000-0000-0000-000000000000}"/>
  <bookViews>
    <workbookView xWindow="384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 s="1"/>
  <c r="L4" i="1"/>
  <c r="M4" i="1" s="1"/>
  <c r="L5" i="1"/>
  <c r="M5" i="1" s="1"/>
  <c r="L6" i="1"/>
  <c r="M6" i="1"/>
  <c r="M2" i="1"/>
  <c r="L2" i="1"/>
  <c r="J3" i="1"/>
  <c r="J4" i="1"/>
  <c r="J5" i="1"/>
  <c r="J6" i="1"/>
  <c r="J2" i="1"/>
  <c r="I3" i="1" l="1"/>
  <c r="K3" i="1" s="1"/>
  <c r="I4" i="1"/>
  <c r="K4" i="1" s="1"/>
  <c r="I5" i="1"/>
  <c r="K5" i="1" s="1"/>
  <c r="I6" i="1"/>
  <c r="K6" i="1" s="1"/>
  <c r="I2" i="1"/>
  <c r="K2" i="1" s="1"/>
</calcChain>
</file>

<file path=xl/sharedStrings.xml><?xml version="1.0" encoding="utf-8"?>
<sst xmlns="http://schemas.openxmlformats.org/spreadsheetml/2006/main" count="18" uniqueCount="17">
  <si>
    <t>Author</t>
  </si>
  <si>
    <t>Year</t>
  </si>
  <si>
    <t>OR</t>
  </si>
  <si>
    <t>CI_lower_OR</t>
  </si>
  <si>
    <t>CI_upper_OR</t>
  </si>
  <si>
    <t>weight</t>
  </si>
  <si>
    <t>ES</t>
  </si>
  <si>
    <t>Chapuy</t>
  </si>
  <si>
    <t>Pfeifer</t>
  </si>
  <si>
    <t>Trivedi</t>
  </si>
  <si>
    <t>DawsonHughes</t>
  </si>
  <si>
    <t>n_treat</t>
  </si>
  <si>
    <t>n_ctrl</t>
  </si>
  <si>
    <t>J</t>
  </si>
  <si>
    <t>g</t>
  </si>
  <si>
    <t>se_g</t>
  </si>
  <si>
    <t>se_es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</si>
</sst>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L3" sqref="L3"/>
    </sheetView>
  </sheetViews>
  <sheetFormatPr defaultRowHeight="15" x14ac:dyDescent="0.25"/>
  <cols>
    <col min="1" max="1" width="8" bestFit="1" customWidth="1"/>
  </cols>
  <sheetData>
    <row r="1" spans="1:13" ht="30" x14ac:dyDescent="0.25">
      <c r="A1" s="1" t="s">
        <v>0</v>
      </c>
      <c r="B1" s="1" t="s">
        <v>1</v>
      </c>
      <c r="C1" s="1" t="s">
        <v>11</v>
      </c>
      <c r="D1" s="1" t="s">
        <v>12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t="s">
        <v>13</v>
      </c>
      <c r="K1" t="s">
        <v>14</v>
      </c>
      <c r="L1" t="s">
        <v>16</v>
      </c>
      <c r="M1" t="s">
        <v>15</v>
      </c>
    </row>
    <row r="2" spans="1:13" x14ac:dyDescent="0.25">
      <c r="A2" s="2" t="s">
        <v>7</v>
      </c>
      <c r="B2" s="2">
        <v>1994</v>
      </c>
      <c r="C2" s="2">
        <v>1176</v>
      </c>
      <c r="D2" s="2">
        <v>1127</v>
      </c>
      <c r="E2" s="2">
        <v>0.79</v>
      </c>
      <c r="F2" s="2">
        <v>0.69</v>
      </c>
      <c r="G2" s="2">
        <v>0.92</v>
      </c>
      <c r="H2" s="2">
        <v>307.39999999999998</v>
      </c>
      <c r="I2" s="2">
        <f>-LN(E2)/1.81</f>
        <v>0.13023333343705515</v>
      </c>
      <c r="J2">
        <f>1-3/(4*(D2+C2-2)-1)</f>
        <v>0.99967401934151912</v>
      </c>
      <c r="K2">
        <f>J2*I2</f>
        <v>0.13019087988926517</v>
      </c>
      <c r="L2">
        <f>(LN(G2)-LN(F2))/2/1.96/1.81</f>
        <v>4.0546013142939034E-2</v>
      </c>
      <c r="M2">
        <f>L2*J2</f>
        <v>4.0532795926875927E-2</v>
      </c>
    </row>
    <row r="3" spans="1:13" ht="30" x14ac:dyDescent="0.25">
      <c r="A3" s="2" t="s">
        <v>10</v>
      </c>
      <c r="B3" s="2">
        <v>1997</v>
      </c>
      <c r="C3" s="2">
        <v>187</v>
      </c>
      <c r="D3" s="2">
        <v>1287</v>
      </c>
      <c r="E3" s="2">
        <v>0.46</v>
      </c>
      <c r="F3" s="2">
        <v>0.24</v>
      </c>
      <c r="G3" s="2">
        <v>0.88</v>
      </c>
      <c r="H3" s="2">
        <v>34.44</v>
      </c>
      <c r="I3" s="2">
        <f t="shared" ref="I3:I6" si="0">-LN(E3)/1.81</f>
        <v>0.42902143066242887</v>
      </c>
      <c r="J3">
        <f>1-3/(4*(D3+C3-2)-1)</f>
        <v>0.9994904025819602</v>
      </c>
      <c r="K3">
        <f>J3*I3</f>
        <v>0.42880280244907953</v>
      </c>
      <c r="L3">
        <f t="shared" ref="L3:L6" si="1">(LN(G3)-LN(F3))/2/1.96/1.81</f>
        <v>0.18312140378428529</v>
      </c>
      <c r="M3">
        <f t="shared" ref="M3:M6" si="2">L3*J3</f>
        <v>0.18302808558972899</v>
      </c>
    </row>
    <row r="4" spans="1:13" x14ac:dyDescent="0.25">
      <c r="A4" s="2" t="s">
        <v>8</v>
      </c>
      <c r="B4" s="2">
        <v>2000</v>
      </c>
      <c r="C4" s="2">
        <v>70</v>
      </c>
      <c r="D4" s="2">
        <v>67</v>
      </c>
      <c r="E4" s="2">
        <v>0.48</v>
      </c>
      <c r="F4" s="2">
        <v>0.13</v>
      </c>
      <c r="G4" s="2">
        <v>1.78</v>
      </c>
      <c r="H4" s="2">
        <v>8.52</v>
      </c>
      <c r="I4" s="2">
        <f t="shared" si="0"/>
        <v>0.40550783153602232</v>
      </c>
      <c r="J4">
        <f>1-3/(4*(D4+C4-2)-1)</f>
        <v>0.99443413729128016</v>
      </c>
      <c r="K4">
        <f>J4*I4</f>
        <v>0.40325083061838213</v>
      </c>
      <c r="L4">
        <f t="shared" si="1"/>
        <v>0.36881753760719194</v>
      </c>
      <c r="M4">
        <f t="shared" si="2"/>
        <v>0.36676474982830221</v>
      </c>
    </row>
    <row r="5" spans="1:13" x14ac:dyDescent="0.25">
      <c r="A5" s="2" t="s">
        <v>7</v>
      </c>
      <c r="B5" s="2">
        <v>2002</v>
      </c>
      <c r="C5" s="2">
        <v>393</v>
      </c>
      <c r="D5" s="2">
        <v>190</v>
      </c>
      <c r="E5" s="2">
        <v>0.85</v>
      </c>
      <c r="F5" s="2">
        <v>0.64</v>
      </c>
      <c r="G5" s="2">
        <v>1.1299999999999999</v>
      </c>
      <c r="H5" s="2">
        <v>91.71</v>
      </c>
      <c r="I5" s="2">
        <f t="shared" si="0"/>
        <v>8.9789463810925382E-2</v>
      </c>
      <c r="J5">
        <f>1-3/(4*(D5+C5-2)-1)</f>
        <v>0.99870856650882478</v>
      </c>
      <c r="K5">
        <f>J5*I5</f>
        <v>8.9673506690205282E-2</v>
      </c>
      <c r="L5">
        <f t="shared" si="1"/>
        <v>8.0125258675254885E-2</v>
      </c>
      <c r="M5">
        <f t="shared" si="2"/>
        <v>8.0021782232712585E-2</v>
      </c>
    </row>
    <row r="6" spans="1:13" x14ac:dyDescent="0.25">
      <c r="A6" s="2" t="s">
        <v>9</v>
      </c>
      <c r="B6" s="2">
        <v>2003</v>
      </c>
      <c r="C6" s="2">
        <v>1345</v>
      </c>
      <c r="D6" s="2">
        <v>1341</v>
      </c>
      <c r="E6" s="2">
        <v>0.67</v>
      </c>
      <c r="F6" s="2">
        <v>0.46</v>
      </c>
      <c r="G6" s="2">
        <v>0.99</v>
      </c>
      <c r="H6" s="2">
        <v>57.72</v>
      </c>
      <c r="I6" s="2">
        <f t="shared" si="0"/>
        <v>0.22125832408680951</v>
      </c>
      <c r="J6">
        <f>1-3/(4*(D6+C6-2)-1)</f>
        <v>0.99972054028877499</v>
      </c>
      <c r="K6">
        <f>J6*I6</f>
        <v>0.2211964912994541</v>
      </c>
      <c r="L6">
        <f t="shared" si="1"/>
        <v>0.10802774462249053</v>
      </c>
      <c r="M6">
        <f t="shared" si="2"/>
        <v>0.10799755522017404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2025-12-26T21:50:35Z</dcterms:modified>
</cp:coreProperties>
</file>