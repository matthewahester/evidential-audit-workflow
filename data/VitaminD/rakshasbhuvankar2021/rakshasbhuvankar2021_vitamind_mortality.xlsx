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rakshasbhuvankar2021\"/>
    </mc:Choice>
  </mc:AlternateContent>
  <xr:revisionPtr revIDLastSave="0" documentId="13_ncr:1_{C276ED6D-265D-47F7-8ABB-56868E0CDB41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6" i="1"/>
  <c r="M6" i="1" s="1"/>
  <c r="L7" i="1"/>
  <c r="M7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M2" i="1"/>
  <c r="L2" i="1"/>
  <c r="I2" i="1"/>
  <c r="K2" i="1" s="1"/>
  <c r="J2" i="1"/>
  <c r="J3" i="1"/>
  <c r="J4" i="1"/>
  <c r="J5" i="1"/>
  <c r="J6" i="1"/>
  <c r="J7" i="1"/>
  <c r="J8" i="1"/>
  <c r="K8" i="1" s="1"/>
  <c r="J9" i="1"/>
  <c r="K9" i="1" s="1"/>
  <c r="J10" i="1"/>
  <c r="J11" i="1"/>
  <c r="J12" i="1"/>
  <c r="J13" i="1"/>
  <c r="I3" i="1"/>
  <c r="I4" i="1"/>
  <c r="I5" i="1"/>
  <c r="K5" i="1" s="1"/>
  <c r="I6" i="1"/>
  <c r="K6" i="1" s="1"/>
  <c r="I7" i="1"/>
  <c r="I8" i="1"/>
  <c r="I9" i="1"/>
  <c r="I10" i="1"/>
  <c r="I11" i="1"/>
  <c r="K11" i="1" s="1"/>
  <c r="I12" i="1"/>
  <c r="K12" i="1" s="1"/>
  <c r="I13" i="1"/>
  <c r="K3" i="1"/>
  <c r="K4" i="1"/>
  <c r="K7" i="1"/>
  <c r="K13" i="1" l="1"/>
  <c r="K10" i="1"/>
</calcChain>
</file>

<file path=xl/sharedStrings.xml><?xml version="1.0" encoding="utf-8"?>
<sst xmlns="http://schemas.openxmlformats.org/spreadsheetml/2006/main" count="25" uniqueCount="25">
  <si>
    <t>RR</t>
  </si>
  <si>
    <t>author</t>
  </si>
  <si>
    <t>treat_events</t>
  </si>
  <si>
    <t>n_treat</t>
  </si>
  <si>
    <t>control_events</t>
  </si>
  <si>
    <t>n_control</t>
  </si>
  <si>
    <t>lCI</t>
  </si>
  <si>
    <t>uCI</t>
  </si>
  <si>
    <t>Bental</t>
  </si>
  <si>
    <t>Giridhar</t>
  </si>
  <si>
    <t>Kiatchoosakun</t>
  </si>
  <si>
    <t>Mactier</t>
  </si>
  <si>
    <t>Rakshasbhuvankar</t>
  </si>
  <si>
    <t>Ravishankar</t>
  </si>
  <si>
    <t>Shenai</t>
  </si>
  <si>
    <t>Sun</t>
  </si>
  <si>
    <t>Tyson</t>
  </si>
  <si>
    <t>Wardle</t>
  </si>
  <si>
    <t>Papagaroufalisa</t>
  </si>
  <si>
    <t>Papagaroufalisb</t>
  </si>
  <si>
    <t>ES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</si>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</sst>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B1" workbookViewId="0">
      <selection activeCell="K7" sqref="K7"/>
    </sheetView>
  </sheetViews>
  <sheetFormatPr defaultRowHeight="15" x14ac:dyDescent="0.25"/>
  <cols>
    <col min="1" max="1" width="26.5703125" bestFit="1" customWidth="1"/>
    <col min="2" max="2" width="12.28515625" bestFit="1" customWidth="1"/>
    <col min="3" max="3" width="7.42578125" bestFit="1" customWidth="1"/>
    <col min="4" max="4" width="14.42578125" bestFit="1" customWidth="1"/>
    <col min="5" max="5" width="9.42578125" bestFit="1" customWidth="1"/>
    <col min="6" max="7" width="5" bestFit="1" customWidth="1"/>
    <col min="8" max="8" width="7" bestFit="1" customWidth="1"/>
    <col min="9" max="9" width="12.2851562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20</v>
      </c>
      <c r="J1" t="s">
        <v>21</v>
      </c>
      <c r="K1" t="s">
        <v>22</v>
      </c>
      <c r="L1" t="s">
        <v>24</v>
      </c>
      <c r="M1" t="s">
        <v>23</v>
      </c>
    </row>
    <row r="2" spans="1:13" x14ac:dyDescent="0.25">
      <c r="A2" t="s">
        <v>8</v>
      </c>
      <c r="B2">
        <v>11</v>
      </c>
      <c r="C2">
        <v>31</v>
      </c>
      <c r="D2">
        <v>11</v>
      </c>
      <c r="E2">
        <v>29</v>
      </c>
      <c r="F2">
        <v>0.94</v>
      </c>
      <c r="G2">
        <v>0.48</v>
      </c>
      <c r="H2">
        <v>1.82</v>
      </c>
      <c r="I2" s="1">
        <f>LN(F2)/1.81</f>
        <v>-3.418530592159532E-2</v>
      </c>
      <c r="J2">
        <f>1-3/(4*(E2+C2-2)-1)</f>
        <v>0.98701298701298701</v>
      </c>
      <c r="K2">
        <f>J2*I2</f>
        <v>-3.3741340909626549E-2</v>
      </c>
      <c r="L2">
        <f>(LN(H2)-LN(G2))/2/1.96/1.81</f>
        <v>0.18784610386865833</v>
      </c>
      <c r="M2">
        <f>L2*J2</f>
        <v>0.18540654407815627</v>
      </c>
    </row>
    <row r="3" spans="1:13" x14ac:dyDescent="0.25">
      <c r="A3" t="s">
        <v>9</v>
      </c>
      <c r="B3">
        <v>8</v>
      </c>
      <c r="C3">
        <v>55</v>
      </c>
      <c r="D3">
        <v>4</v>
      </c>
      <c r="E3">
        <v>59</v>
      </c>
      <c r="F3">
        <v>2.15</v>
      </c>
      <c r="G3">
        <v>0.68</v>
      </c>
      <c r="H3">
        <v>6.73</v>
      </c>
      <c r="I3" s="1">
        <f t="shared" ref="I3:I13" si="0">LN(F3)/1.81</f>
        <v>0.42291041002186264</v>
      </c>
      <c r="J3">
        <f t="shared" ref="J3:J13" si="1">1-3/(4*(E3+C3-2)-1)</f>
        <v>0.99328859060402686</v>
      </c>
      <c r="K3">
        <f t="shared" ref="K3:K13" si="2">J3*I3</f>
        <v>0.42007208512238703</v>
      </c>
      <c r="L3">
        <f t="shared" ref="L3:L13" si="3">(LN(H3)-LN(G3))/2/1.96/1.81</f>
        <v>0.32306878234138869</v>
      </c>
      <c r="M3">
        <f t="shared" ref="M3:M13" si="4">L3*J3</f>
        <v>0.32090053548003711</v>
      </c>
    </row>
    <row r="4" spans="1:13" x14ac:dyDescent="0.25">
      <c r="A4" t="s">
        <v>10</v>
      </c>
      <c r="B4">
        <v>2</v>
      </c>
      <c r="C4">
        <v>40</v>
      </c>
      <c r="D4">
        <v>1</v>
      </c>
      <c r="E4">
        <v>40</v>
      </c>
      <c r="F4">
        <v>2</v>
      </c>
      <c r="G4">
        <v>0.19</v>
      </c>
      <c r="H4">
        <v>21.18</v>
      </c>
      <c r="I4" s="1">
        <f t="shared" si="0"/>
        <v>0.38295424340328466</v>
      </c>
      <c r="J4">
        <f t="shared" si="1"/>
        <v>0.99035369774919613</v>
      </c>
      <c r="K4">
        <f t="shared" si="2"/>
        <v>0.37926015102318866</v>
      </c>
      <c r="L4">
        <f t="shared" si="3"/>
        <v>0.66436302669338598</v>
      </c>
      <c r="M4">
        <f t="shared" si="4"/>
        <v>0.65795438013364271</v>
      </c>
    </row>
    <row r="5" spans="1:13" x14ac:dyDescent="0.25">
      <c r="A5" t="s">
        <v>11</v>
      </c>
      <c r="B5">
        <v>3</v>
      </c>
      <c r="C5">
        <v>42</v>
      </c>
      <c r="D5">
        <v>3</v>
      </c>
      <c r="E5">
        <v>46</v>
      </c>
      <c r="F5">
        <v>1.1000000000000001</v>
      </c>
      <c r="G5">
        <v>0.23</v>
      </c>
      <c r="H5">
        <v>5.13</v>
      </c>
      <c r="I5" s="1">
        <f t="shared" si="0"/>
        <v>5.2657557902941951E-2</v>
      </c>
      <c r="J5">
        <f t="shared" si="1"/>
        <v>0.99125364431486884</v>
      </c>
      <c r="K5">
        <f t="shared" si="2"/>
        <v>5.2196996172012435E-2</v>
      </c>
      <c r="L5">
        <f t="shared" si="3"/>
        <v>0.43758902204893729</v>
      </c>
      <c r="M5">
        <f t="shared" si="4"/>
        <v>0.43376171281818859</v>
      </c>
    </row>
    <row r="6" spans="1:13" x14ac:dyDescent="0.25">
      <c r="A6" t="s">
        <v>18</v>
      </c>
      <c r="B6">
        <v>6</v>
      </c>
      <c r="C6">
        <v>19</v>
      </c>
      <c r="D6">
        <v>5</v>
      </c>
      <c r="E6">
        <v>18</v>
      </c>
      <c r="F6">
        <v>1.1399999999999999</v>
      </c>
      <c r="G6">
        <v>0.42</v>
      </c>
      <c r="H6">
        <v>3.08</v>
      </c>
      <c r="I6" s="1">
        <f t="shared" si="0"/>
        <v>7.2391305196908284E-2</v>
      </c>
      <c r="J6">
        <f t="shared" si="1"/>
        <v>0.97841726618705038</v>
      </c>
      <c r="K6">
        <f t="shared" si="2"/>
        <v>7.0828902926471413E-2</v>
      </c>
      <c r="L6">
        <f t="shared" si="3"/>
        <v>0.28081381281573542</v>
      </c>
      <c r="M6">
        <f t="shared" si="4"/>
        <v>0.27475308304273394</v>
      </c>
    </row>
    <row r="7" spans="1:13" x14ac:dyDescent="0.25">
      <c r="A7" t="s">
        <v>19</v>
      </c>
      <c r="B7">
        <v>4</v>
      </c>
      <c r="C7">
        <v>23</v>
      </c>
      <c r="D7">
        <v>8</v>
      </c>
      <c r="E7">
        <v>24</v>
      </c>
      <c r="F7">
        <v>0.52</v>
      </c>
      <c r="G7">
        <v>0.18</v>
      </c>
      <c r="H7">
        <v>1.5</v>
      </c>
      <c r="I7" s="1">
        <f t="shared" si="0"/>
        <v>-0.36128534110865412</v>
      </c>
      <c r="J7">
        <f t="shared" si="1"/>
        <v>0.98324022346368711</v>
      </c>
      <c r="K7">
        <f t="shared" si="2"/>
        <v>-0.35523027952582753</v>
      </c>
      <c r="L7">
        <f t="shared" si="3"/>
        <v>0.29883069345474272</v>
      </c>
      <c r="M7">
        <f t="shared" si="4"/>
        <v>0.29382235781024979</v>
      </c>
    </row>
    <row r="8" spans="1:13" x14ac:dyDescent="0.25">
      <c r="A8" t="s">
        <v>12</v>
      </c>
      <c r="B8">
        <v>8</v>
      </c>
      <c r="C8">
        <v>94</v>
      </c>
      <c r="D8">
        <v>5</v>
      </c>
      <c r="E8">
        <v>94</v>
      </c>
      <c r="F8">
        <v>1.6</v>
      </c>
      <c r="G8">
        <v>0.54</v>
      </c>
      <c r="H8">
        <v>4.71</v>
      </c>
      <c r="I8" s="1">
        <f t="shared" si="0"/>
        <v>0.25967051339543407</v>
      </c>
      <c r="J8">
        <f t="shared" si="1"/>
        <v>0.99596231493943477</v>
      </c>
      <c r="K8">
        <f t="shared" si="2"/>
        <v>0.25862204564282804</v>
      </c>
      <c r="L8">
        <f t="shared" si="3"/>
        <v>0.30525905505865136</v>
      </c>
      <c r="M8">
        <f t="shared" si="4"/>
        <v>0.30402651513243878</v>
      </c>
    </row>
    <row r="9" spans="1:13" x14ac:dyDescent="0.25">
      <c r="A9" t="s">
        <v>13</v>
      </c>
      <c r="B9">
        <v>5</v>
      </c>
      <c r="C9">
        <v>22</v>
      </c>
      <c r="D9">
        <v>4</v>
      </c>
      <c r="E9">
        <v>18</v>
      </c>
      <c r="F9">
        <v>1.02</v>
      </c>
      <c r="G9">
        <v>0.32</v>
      </c>
      <c r="H9">
        <v>3.26</v>
      </c>
      <c r="I9" s="1">
        <f t="shared" si="0"/>
        <v>1.0940678064187696E-2</v>
      </c>
      <c r="J9">
        <f t="shared" si="1"/>
        <v>0.98013245033112584</v>
      </c>
      <c r="K9">
        <f t="shared" si="2"/>
        <v>1.0723313599336285E-2</v>
      </c>
      <c r="L9">
        <f t="shared" si="3"/>
        <v>0.32714532057827556</v>
      </c>
      <c r="M9">
        <f t="shared" si="4"/>
        <v>0.32064574467274692</v>
      </c>
    </row>
    <row r="10" spans="1:13" x14ac:dyDescent="0.25">
      <c r="A10" t="s">
        <v>14</v>
      </c>
      <c r="B10">
        <v>3</v>
      </c>
      <c r="C10">
        <v>20</v>
      </c>
      <c r="D10">
        <v>0</v>
      </c>
      <c r="E10">
        <v>20</v>
      </c>
      <c r="F10">
        <v>7</v>
      </c>
      <c r="G10">
        <v>0.38</v>
      </c>
      <c r="H10">
        <v>127.32</v>
      </c>
      <c r="I10" s="1">
        <f t="shared" si="0"/>
        <v>1.075088480141057</v>
      </c>
      <c r="J10">
        <f t="shared" si="1"/>
        <v>0.98013245033112584</v>
      </c>
      <c r="K10">
        <f t="shared" si="2"/>
        <v>1.05372910636342</v>
      </c>
      <c r="L10">
        <f t="shared" si="3"/>
        <v>0.81946775688854401</v>
      </c>
      <c r="M10">
        <f t="shared" si="4"/>
        <v>0.80318694052651995</v>
      </c>
    </row>
    <row r="11" spans="1:13" x14ac:dyDescent="0.25">
      <c r="A11" t="s">
        <v>15</v>
      </c>
      <c r="B11">
        <v>1</v>
      </c>
      <c r="C11">
        <v>132</v>
      </c>
      <c r="D11">
        <v>2</v>
      </c>
      <c r="E11">
        <v>130</v>
      </c>
      <c r="F11">
        <v>0.49</v>
      </c>
      <c r="G11">
        <v>0.05</v>
      </c>
      <c r="H11">
        <v>5.36</v>
      </c>
      <c r="I11" s="1">
        <f t="shared" si="0"/>
        <v>-0.39411596015329547</v>
      </c>
      <c r="J11">
        <f t="shared" si="1"/>
        <v>0.99711260827718962</v>
      </c>
      <c r="K11">
        <f t="shared" si="2"/>
        <v>-0.39297799299212138</v>
      </c>
      <c r="L11">
        <f t="shared" si="3"/>
        <v>0.65885334432245768</v>
      </c>
      <c r="M11">
        <f t="shared" si="4"/>
        <v>0.65695097662951507</v>
      </c>
    </row>
    <row r="12" spans="1:13" x14ac:dyDescent="0.25">
      <c r="A12" t="s">
        <v>16</v>
      </c>
      <c r="B12">
        <v>67</v>
      </c>
      <c r="C12">
        <v>405</v>
      </c>
      <c r="D12">
        <v>66</v>
      </c>
      <c r="E12">
        <v>402</v>
      </c>
      <c r="F12">
        <v>1.01</v>
      </c>
      <c r="G12">
        <v>0.74</v>
      </c>
      <c r="H12">
        <v>1.37</v>
      </c>
      <c r="I12" s="1">
        <f t="shared" si="0"/>
        <v>5.4974203608663492E-3</v>
      </c>
      <c r="J12">
        <f t="shared" si="1"/>
        <v>0.99906803355079221</v>
      </c>
      <c r="K12">
        <f t="shared" si="2"/>
        <v>5.4922969495328298E-3</v>
      </c>
      <c r="L12">
        <f t="shared" si="3"/>
        <v>8.6807395510197768E-2</v>
      </c>
      <c r="M12">
        <f t="shared" si="4"/>
        <v>8.6726493930039159E-2</v>
      </c>
    </row>
    <row r="13" spans="1:13" x14ac:dyDescent="0.25">
      <c r="A13" t="s">
        <v>17</v>
      </c>
      <c r="B13">
        <v>25</v>
      </c>
      <c r="C13">
        <v>77</v>
      </c>
      <c r="D13">
        <v>29</v>
      </c>
      <c r="E13">
        <v>77</v>
      </c>
      <c r="F13">
        <v>0.86</v>
      </c>
      <c r="G13">
        <v>0.56000000000000005</v>
      </c>
      <c r="H13">
        <v>1.33</v>
      </c>
      <c r="I13" s="1">
        <f t="shared" si="0"/>
        <v>-8.3327563389272732E-2</v>
      </c>
      <c r="J13">
        <f t="shared" si="1"/>
        <v>0.99505766062602963</v>
      </c>
      <c r="K13">
        <f t="shared" si="2"/>
        <v>-8.2915730291796913E-2</v>
      </c>
      <c r="L13">
        <f t="shared" si="3"/>
        <v>0.12191304508493128</v>
      </c>
      <c r="M13">
        <f t="shared" si="4"/>
        <v>0.1213105094420074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2025-12-26T21:59:40Z</dcterms:modified>
</cp:coreProperties>
</file>