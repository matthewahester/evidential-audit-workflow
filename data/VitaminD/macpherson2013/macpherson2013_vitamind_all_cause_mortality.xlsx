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macpherson2013\"/>
    </mc:Choice>
  </mc:AlternateContent>
  <xr:revisionPtr revIDLastSave="0" documentId="13_ncr:1_{BC0AA0C4-AFC4-41C9-9AA6-E2D7C7E6CD06}" xr6:coauthVersionLast="47" xr6:coauthVersionMax="47" xr10:uidLastSave="{00000000-0000-0000-0000-000000000000}"/>
  <bookViews>
    <workbookView xWindow="38415" yWindow="4110" windowWidth="28785" windowHeight="14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6" i="1" s="1"/>
  <c r="M3" i="1"/>
  <c r="N3" i="1" s="1"/>
  <c r="M4" i="1"/>
  <c r="N4" i="1" s="1"/>
  <c r="M5" i="1"/>
  <c r="N5" i="1" s="1"/>
  <c r="M7" i="1"/>
  <c r="N7" i="1" s="1"/>
  <c r="M8" i="1"/>
  <c r="N8" i="1" s="1"/>
  <c r="M9" i="1"/>
  <c r="N9" i="1" s="1"/>
  <c r="M10" i="1"/>
  <c r="N10" i="1"/>
  <c r="M11" i="1"/>
  <c r="N11" i="1" s="1"/>
  <c r="M12" i="1"/>
  <c r="N12" i="1"/>
  <c r="M13" i="1"/>
  <c r="N13" i="1"/>
  <c r="M14" i="1"/>
  <c r="N14" i="1"/>
  <c r="M15" i="1"/>
  <c r="N15" i="1" s="1"/>
  <c r="M16" i="1"/>
  <c r="N16" i="1"/>
  <c r="M17" i="1"/>
  <c r="N17" i="1" s="1"/>
  <c r="M18" i="1"/>
  <c r="N18" i="1"/>
  <c r="M19" i="1"/>
  <c r="N19" i="1"/>
  <c r="M20" i="1"/>
  <c r="N20" i="1"/>
  <c r="M21" i="1"/>
  <c r="N21" i="1" s="1"/>
  <c r="M22" i="1"/>
  <c r="N22" i="1"/>
  <c r="N2" i="1"/>
  <c r="M2" i="1"/>
  <c r="J3" i="1"/>
  <c r="K3" i="1"/>
  <c r="L3" i="1"/>
  <c r="J4" i="1"/>
  <c r="K4" i="1"/>
  <c r="L4" i="1" s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L2" i="1"/>
  <c r="K2" i="1"/>
  <c r="J2" i="1"/>
</calcChain>
</file>

<file path=xl/sharedStrings.xml><?xml version="1.0" encoding="utf-8"?>
<sst xmlns="http://schemas.openxmlformats.org/spreadsheetml/2006/main" count="35" uniqueCount="35">
  <si>
    <t>ARMDS</t>
  </si>
  <si>
    <t>Bogden</t>
  </si>
  <si>
    <t>Chandra</t>
  </si>
  <si>
    <t>CTNS</t>
  </si>
  <si>
    <t>Graat</t>
  </si>
  <si>
    <t>HATS</t>
  </si>
  <si>
    <t>HPS</t>
  </si>
  <si>
    <t>LAST</t>
  </si>
  <si>
    <t>Leng</t>
  </si>
  <si>
    <t>MAVIS</t>
  </si>
  <si>
    <t>NIT1</t>
  </si>
  <si>
    <t>NIT2</t>
  </si>
  <si>
    <t>PHS2</t>
  </si>
  <si>
    <t>Pike</t>
  </si>
  <si>
    <t>Plummer</t>
  </si>
  <si>
    <t>PMMST</t>
  </si>
  <si>
    <t>PPS</t>
  </si>
  <si>
    <t>REACT</t>
  </si>
  <si>
    <t>SIT</t>
  </si>
  <si>
    <t>SUVIMAX</t>
  </si>
  <si>
    <t>WACS</t>
  </si>
  <si>
    <t>Author</t>
  </si>
  <si>
    <t>Year</t>
  </si>
  <si>
    <t>f_treat</t>
  </si>
  <si>
    <t>n_treat</t>
  </si>
  <si>
    <t>f_control</t>
  </si>
  <si>
    <t>n_control</t>
  </si>
  <si>
    <t>OR</t>
  </si>
  <si>
    <t>lCI_OR</t>
  </si>
  <si>
    <t>uCI_OR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</si>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</sst>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E1" workbookViewId="0">
      <selection activeCell="P14" sqref="P14"/>
    </sheetView>
  </sheetViews>
  <sheetFormatPr defaultRowHeight="15" x14ac:dyDescent="0.25"/>
  <cols>
    <col min="1" max="1" width="17.85546875" bestFit="1" customWidth="1"/>
    <col min="3" max="3" width="10.85546875" bestFit="1" customWidth="1"/>
    <col min="4" max="4" width="10.85546875" customWidth="1"/>
    <col min="5" max="5" width="10.85546875" bestFit="1" customWidth="1"/>
    <col min="6" max="6" width="10.85546875" customWidth="1"/>
    <col min="7" max="7" width="15.42578125" bestFit="1" customWidth="1"/>
    <col min="8" max="8" width="11" bestFit="1" customWidth="1"/>
    <col min="10" max="10" width="11.5703125" bestFit="1" customWidth="1"/>
  </cols>
  <sheetData>
    <row r="1" spans="1:1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s="1" t="s">
        <v>30</v>
      </c>
      <c r="K1" t="s">
        <v>31</v>
      </c>
      <c r="L1" t="s">
        <v>32</v>
      </c>
      <c r="M1" t="s">
        <v>34</v>
      </c>
      <c r="N1" t="s">
        <v>33</v>
      </c>
    </row>
    <row r="2" spans="1:14" x14ac:dyDescent="0.25">
      <c r="A2" t="s">
        <v>0</v>
      </c>
      <c r="B2">
        <v>1991</v>
      </c>
      <c r="C2">
        <v>2</v>
      </c>
      <c r="D2">
        <v>39</v>
      </c>
      <c r="E2">
        <v>2</v>
      </c>
      <c r="F2">
        <v>32</v>
      </c>
      <c r="G2">
        <v>0.82</v>
      </c>
      <c r="H2">
        <v>0.12</v>
      </c>
      <c r="I2">
        <v>5.51</v>
      </c>
      <c r="J2" s="2">
        <f>-LN(G2)/1.81</f>
        <v>0.10964140260985542</v>
      </c>
      <c r="K2">
        <f>1-3/(4*(F2+D2-2)-1)</f>
        <v>0.98909090909090913</v>
      </c>
      <c r="L2">
        <f>K2*J2</f>
        <v>0.10844531458138428</v>
      </c>
      <c r="M2">
        <f>(LN(I2)-LN(H2))/2/1.96/1.81</f>
        <v>0.53935451563943426</v>
      </c>
      <c r="N2">
        <f>M2*K2</f>
        <v>0.53347064819609502</v>
      </c>
    </row>
    <row r="3" spans="1:14" x14ac:dyDescent="0.25">
      <c r="A3" t="s">
        <v>1</v>
      </c>
      <c r="B3">
        <v>1994</v>
      </c>
      <c r="C3">
        <v>0</v>
      </c>
      <c r="D3">
        <v>33</v>
      </c>
      <c r="E3">
        <v>1</v>
      </c>
      <c r="F3">
        <v>32</v>
      </c>
      <c r="G3">
        <v>0.32</v>
      </c>
      <c r="H3">
        <v>0.01</v>
      </c>
      <c r="I3">
        <v>7.65</v>
      </c>
      <c r="J3" s="2">
        <f t="shared" ref="J3:J22" si="0">-LN(G3)/1.81</f>
        <v>0.62952170341898606</v>
      </c>
      <c r="K3">
        <f t="shared" ref="K3:K22" si="1">1-3/(4*(F3+D3-2)-1)</f>
        <v>0.98804780876494025</v>
      </c>
      <c r="L3">
        <f t="shared" ref="L3:L22" si="2">K3*J3</f>
        <v>0.62199753963310178</v>
      </c>
      <c r="M3">
        <f t="shared" ref="M3:M22" si="3">(LN(I3)-LN(H3))/2/1.96/1.81</f>
        <v>0.93582645081555627</v>
      </c>
      <c r="N3">
        <f t="shared" ref="N3:N22" si="4">M3*K3</f>
        <v>0.92464127411258146</v>
      </c>
    </row>
    <row r="4" spans="1:14" x14ac:dyDescent="0.25">
      <c r="A4" t="s">
        <v>2</v>
      </c>
      <c r="B4">
        <v>2002</v>
      </c>
      <c r="C4">
        <v>0</v>
      </c>
      <c r="D4">
        <v>48</v>
      </c>
      <c r="E4">
        <v>2</v>
      </c>
      <c r="F4">
        <v>48</v>
      </c>
      <c r="G4">
        <v>0.2</v>
      </c>
      <c r="H4">
        <v>0.01</v>
      </c>
      <c r="I4">
        <v>4.0599999999999996</v>
      </c>
      <c r="J4" s="2">
        <f t="shared" si="0"/>
        <v>0.88919221681442007</v>
      </c>
      <c r="K4">
        <f t="shared" si="1"/>
        <v>0.99199999999999999</v>
      </c>
      <c r="L4">
        <f t="shared" si="2"/>
        <v>0.88207867907990467</v>
      </c>
      <c r="M4">
        <f t="shared" si="3"/>
        <v>0.84653754081657062</v>
      </c>
      <c r="N4">
        <f t="shared" si="4"/>
        <v>0.83976524049003809</v>
      </c>
    </row>
    <row r="5" spans="1:14" x14ac:dyDescent="0.25">
      <c r="A5" t="s">
        <v>3</v>
      </c>
      <c r="B5">
        <v>2008</v>
      </c>
      <c r="C5">
        <v>77</v>
      </c>
      <c r="D5">
        <v>510</v>
      </c>
      <c r="E5">
        <v>81</v>
      </c>
      <c r="F5">
        <v>510</v>
      </c>
      <c r="G5">
        <v>0.95</v>
      </c>
      <c r="H5">
        <v>0.71</v>
      </c>
      <c r="I5">
        <v>1.27</v>
      </c>
      <c r="J5" s="2">
        <f t="shared" si="0"/>
        <v>2.8338836678204738E-2</v>
      </c>
      <c r="K5">
        <f t="shared" si="1"/>
        <v>0.99926308032424471</v>
      </c>
      <c r="L5">
        <f t="shared" si="2"/>
        <v>2.8317953231868552E-2</v>
      </c>
      <c r="M5">
        <f t="shared" si="3"/>
        <v>8.1957831973344789E-2</v>
      </c>
      <c r="N5">
        <f t="shared" si="4"/>
        <v>8.1897435634381385E-2</v>
      </c>
    </row>
    <row r="6" spans="1:14" x14ac:dyDescent="0.25">
      <c r="A6" t="s">
        <v>4</v>
      </c>
      <c r="B6">
        <v>2002</v>
      </c>
      <c r="C6">
        <v>0</v>
      </c>
      <c r="D6">
        <v>335</v>
      </c>
      <c r="E6">
        <v>5</v>
      </c>
      <c r="F6">
        <v>153</v>
      </c>
      <c r="G6">
        <v>0.04</v>
      </c>
      <c r="H6" s="3">
        <v>1E-3</v>
      </c>
      <c r="I6">
        <v>0.75</v>
      </c>
      <c r="J6" s="2">
        <f t="shared" si="0"/>
        <v>1.7783844336288401</v>
      </c>
      <c r="K6">
        <f t="shared" si="1"/>
        <v>0.99845599588265566</v>
      </c>
      <c r="L6">
        <f t="shared" si="2"/>
        <v>1.775638600741096</v>
      </c>
      <c r="M6">
        <f>(LN(I6)-LN(H6))/2/1.96/1.81</f>
        <v>0.93303546151346772</v>
      </c>
      <c r="N6">
        <f t="shared" si="4"/>
        <v>0.93159485091926264</v>
      </c>
    </row>
    <row r="7" spans="1:14" x14ac:dyDescent="0.25">
      <c r="A7" t="s">
        <v>5</v>
      </c>
      <c r="B7">
        <v>2001</v>
      </c>
      <c r="C7">
        <v>0</v>
      </c>
      <c r="D7">
        <v>42</v>
      </c>
      <c r="E7">
        <v>1</v>
      </c>
      <c r="F7">
        <v>38</v>
      </c>
      <c r="G7">
        <v>0.3</v>
      </c>
      <c r="H7">
        <v>0.01</v>
      </c>
      <c r="I7">
        <v>7.18</v>
      </c>
      <c r="J7" s="2">
        <f t="shared" si="0"/>
        <v>0.66517834493145644</v>
      </c>
      <c r="K7">
        <f t="shared" si="1"/>
        <v>0.99035369774919613</v>
      </c>
      <c r="L7">
        <f t="shared" si="2"/>
        <v>0.65876183356555817</v>
      </c>
      <c r="M7">
        <f t="shared" si="3"/>
        <v>0.92688994940920966</v>
      </c>
      <c r="N7">
        <f t="shared" si="4"/>
        <v>0.91794888880397607</v>
      </c>
    </row>
    <row r="8" spans="1:14" x14ac:dyDescent="0.25">
      <c r="A8" t="s">
        <v>6</v>
      </c>
      <c r="B8">
        <v>2001</v>
      </c>
      <c r="C8">
        <v>1446</v>
      </c>
      <c r="D8">
        <v>10269</v>
      </c>
      <c r="E8">
        <v>1389</v>
      </c>
      <c r="F8">
        <v>10267</v>
      </c>
      <c r="G8">
        <v>1.04</v>
      </c>
      <c r="H8">
        <v>0.97</v>
      </c>
      <c r="I8">
        <v>1.1100000000000001</v>
      </c>
      <c r="J8" s="2">
        <f t="shared" si="0"/>
        <v>-2.1668902294630567E-2</v>
      </c>
      <c r="K8">
        <f t="shared" si="1"/>
        <v>0.99996347476715164</v>
      </c>
      <c r="L8">
        <f t="shared" si="2"/>
        <v>-2.1668110832928689E-2</v>
      </c>
      <c r="M8">
        <f t="shared" si="3"/>
        <v>1.9001468994383725E-2</v>
      </c>
      <c r="N8">
        <f t="shared" si="4"/>
        <v>1.9000774961304246E-2</v>
      </c>
    </row>
    <row r="9" spans="1:14" x14ac:dyDescent="0.25">
      <c r="A9" t="s">
        <v>7</v>
      </c>
      <c r="B9">
        <v>2004</v>
      </c>
      <c r="C9">
        <v>0</v>
      </c>
      <c r="D9">
        <v>30</v>
      </c>
      <c r="E9">
        <v>2</v>
      </c>
      <c r="F9">
        <v>31</v>
      </c>
      <c r="G9">
        <v>0.21</v>
      </c>
      <c r="H9">
        <v>0.01</v>
      </c>
      <c r="I9">
        <v>4.13</v>
      </c>
      <c r="J9" s="2">
        <f t="shared" si="0"/>
        <v>0.86223632500810399</v>
      </c>
      <c r="K9">
        <f t="shared" si="1"/>
        <v>0.98723404255319147</v>
      </c>
      <c r="L9">
        <f t="shared" si="2"/>
        <v>0.85122905277395799</v>
      </c>
      <c r="M9">
        <f t="shared" si="3"/>
        <v>0.84894683630638057</v>
      </c>
      <c r="N9">
        <f t="shared" si="4"/>
        <v>0.8381092171194906</v>
      </c>
    </row>
    <row r="10" spans="1:14" x14ac:dyDescent="0.25">
      <c r="A10" t="s">
        <v>8</v>
      </c>
      <c r="B10">
        <v>1997</v>
      </c>
      <c r="C10">
        <v>5</v>
      </c>
      <c r="D10">
        <v>55</v>
      </c>
      <c r="E10">
        <v>5</v>
      </c>
      <c r="F10">
        <v>65</v>
      </c>
      <c r="G10">
        <v>1.18</v>
      </c>
      <c r="H10">
        <v>0.36</v>
      </c>
      <c r="I10">
        <v>3.87</v>
      </c>
      <c r="J10" s="2">
        <f t="shared" si="0"/>
        <v>-9.1444441147830569E-2</v>
      </c>
      <c r="K10">
        <f t="shared" si="1"/>
        <v>0.99363057324840764</v>
      </c>
      <c r="L10">
        <f t="shared" si="2"/>
        <v>-9.086199247809916E-2</v>
      </c>
      <c r="M10">
        <f t="shared" si="3"/>
        <v>0.33472005786639869</v>
      </c>
      <c r="N10">
        <f t="shared" si="4"/>
        <v>0.33258808297552989</v>
      </c>
    </row>
    <row r="11" spans="1:14" x14ac:dyDescent="0.25">
      <c r="A11" t="s">
        <v>9</v>
      </c>
      <c r="B11">
        <v>2005</v>
      </c>
      <c r="C11">
        <v>8</v>
      </c>
      <c r="D11">
        <v>456</v>
      </c>
      <c r="E11">
        <v>4</v>
      </c>
      <c r="F11">
        <v>454</v>
      </c>
      <c r="G11">
        <v>1.99</v>
      </c>
      <c r="H11">
        <v>0.6</v>
      </c>
      <c r="I11">
        <v>6.57</v>
      </c>
      <c r="J11" s="2">
        <f t="shared" si="0"/>
        <v>-0.38018488327977956</v>
      </c>
      <c r="K11">
        <f t="shared" si="1"/>
        <v>0.99917378132745804</v>
      </c>
      <c r="L11">
        <f t="shared" si="2"/>
        <v>-0.3798707674301956</v>
      </c>
      <c r="M11">
        <f t="shared" si="3"/>
        <v>0.33731811030873121</v>
      </c>
      <c r="N11">
        <f t="shared" si="4"/>
        <v>0.33703941178740759</v>
      </c>
    </row>
    <row r="12" spans="1:14" x14ac:dyDescent="0.25">
      <c r="A12" t="s">
        <v>10</v>
      </c>
      <c r="B12">
        <v>1993</v>
      </c>
      <c r="C12">
        <v>1847</v>
      </c>
      <c r="D12">
        <v>25886</v>
      </c>
      <c r="E12">
        <v>280</v>
      </c>
      <c r="F12">
        <v>3698</v>
      </c>
      <c r="G12">
        <v>0.94</v>
      </c>
      <c r="H12">
        <v>0.84</v>
      </c>
      <c r="I12">
        <v>1.06</v>
      </c>
      <c r="J12" s="2">
        <f t="shared" si="0"/>
        <v>3.418530592159532E-2</v>
      </c>
      <c r="K12">
        <f t="shared" si="1"/>
        <v>0.99997464653037771</v>
      </c>
      <c r="L12">
        <f t="shared" si="2"/>
        <v>3.4184439205480109E-2</v>
      </c>
      <c r="M12">
        <f t="shared" si="3"/>
        <v>3.278586865328019E-2</v>
      </c>
      <c r="N12">
        <f t="shared" si="4"/>
        <v>3.278503741775525E-2</v>
      </c>
    </row>
    <row r="13" spans="1:14" x14ac:dyDescent="0.25">
      <c r="A13" t="s">
        <v>11</v>
      </c>
      <c r="B13">
        <v>1993</v>
      </c>
      <c r="C13">
        <v>157</v>
      </c>
      <c r="D13">
        <v>1657</v>
      </c>
      <c r="E13">
        <v>167</v>
      </c>
      <c r="F13">
        <v>1661</v>
      </c>
      <c r="G13">
        <v>0.94</v>
      </c>
      <c r="H13">
        <v>0.77</v>
      </c>
      <c r="I13">
        <v>1.1599999999999999</v>
      </c>
      <c r="J13" s="2">
        <f t="shared" si="0"/>
        <v>3.418530592159532E-2</v>
      </c>
      <c r="K13">
        <f t="shared" si="1"/>
        <v>0.99977380683103367</v>
      </c>
      <c r="L13">
        <f t="shared" si="2"/>
        <v>3.4177573438916829E-2</v>
      </c>
      <c r="M13">
        <f t="shared" si="3"/>
        <v>5.7755210459561487E-2</v>
      </c>
      <c r="N13">
        <f t="shared" si="4"/>
        <v>5.7742146625483319E-2</v>
      </c>
    </row>
    <row r="14" spans="1:14" x14ac:dyDescent="0.25">
      <c r="A14" t="s">
        <v>12</v>
      </c>
      <c r="B14">
        <v>2012</v>
      </c>
      <c r="C14">
        <v>1345</v>
      </c>
      <c r="D14">
        <v>7317</v>
      </c>
      <c r="E14">
        <v>1412</v>
      </c>
      <c r="F14">
        <v>7324</v>
      </c>
      <c r="G14">
        <v>0.95</v>
      </c>
      <c r="H14">
        <v>0.89</v>
      </c>
      <c r="I14">
        <v>1.02</v>
      </c>
      <c r="J14" s="2">
        <f t="shared" si="0"/>
        <v>2.8338836678204738E-2</v>
      </c>
      <c r="K14">
        <f t="shared" si="1"/>
        <v>0.99994876611732564</v>
      </c>
      <c r="L14">
        <f t="shared" si="2"/>
        <v>2.833738476957124E-2</v>
      </c>
      <c r="M14">
        <f t="shared" si="3"/>
        <v>1.9215306623087614E-2</v>
      </c>
      <c r="N14">
        <f t="shared" si="4"/>
        <v>1.9214322148322534E-2</v>
      </c>
    </row>
    <row r="15" spans="1:14" x14ac:dyDescent="0.25">
      <c r="A15" t="s">
        <v>13</v>
      </c>
      <c r="B15">
        <v>1995</v>
      </c>
      <c r="C15">
        <v>1</v>
      </c>
      <c r="D15">
        <v>24</v>
      </c>
      <c r="E15">
        <v>0</v>
      </c>
      <c r="F15">
        <v>23</v>
      </c>
      <c r="G15">
        <v>2.88</v>
      </c>
      <c r="H15">
        <v>0.12</v>
      </c>
      <c r="I15">
        <v>67.03</v>
      </c>
      <c r="J15" s="2">
        <f t="shared" si="0"/>
        <v>-0.58441452715351072</v>
      </c>
      <c r="K15">
        <f t="shared" si="1"/>
        <v>0.98324022346368711</v>
      </c>
      <c r="L15">
        <f t="shared" si="2"/>
        <v>-0.57461987027384287</v>
      </c>
      <c r="M15">
        <f t="shared" si="3"/>
        <v>0.89150465336705897</v>
      </c>
      <c r="N15">
        <f t="shared" si="4"/>
        <v>0.87656323459554397</v>
      </c>
    </row>
    <row r="16" spans="1:14" x14ac:dyDescent="0.25">
      <c r="A16" t="s">
        <v>14</v>
      </c>
      <c r="B16">
        <v>2007</v>
      </c>
      <c r="C16">
        <v>16</v>
      </c>
      <c r="D16">
        <v>990</v>
      </c>
      <c r="E16">
        <v>11</v>
      </c>
      <c r="F16">
        <v>990</v>
      </c>
      <c r="G16">
        <v>1.46</v>
      </c>
      <c r="H16">
        <v>0.68</v>
      </c>
      <c r="I16">
        <v>3.12</v>
      </c>
      <c r="J16" s="2">
        <f t="shared" si="0"/>
        <v>-0.20908090371284255</v>
      </c>
      <c r="K16">
        <f t="shared" si="1"/>
        <v>0.99962078119074704</v>
      </c>
      <c r="L16">
        <f t="shared" si="2"/>
        <v>-0.20900161630149902</v>
      </c>
      <c r="M16">
        <f t="shared" si="3"/>
        <v>0.21472199270399364</v>
      </c>
      <c r="N16">
        <f t="shared" si="4"/>
        <v>0.2146405660856</v>
      </c>
    </row>
    <row r="17" spans="1:14" x14ac:dyDescent="0.25">
      <c r="A17" t="s">
        <v>15</v>
      </c>
      <c r="B17">
        <v>2009</v>
      </c>
      <c r="C17">
        <v>2</v>
      </c>
      <c r="D17">
        <v>567</v>
      </c>
      <c r="E17">
        <v>1</v>
      </c>
      <c r="F17">
        <v>589</v>
      </c>
      <c r="G17">
        <v>2.08</v>
      </c>
      <c r="H17">
        <v>0.19</v>
      </c>
      <c r="I17">
        <v>22.85</v>
      </c>
      <c r="J17" s="2">
        <f t="shared" si="0"/>
        <v>-0.40462314569791524</v>
      </c>
      <c r="K17">
        <f t="shared" si="1"/>
        <v>0.99934994582881909</v>
      </c>
      <c r="L17">
        <f t="shared" si="2"/>
        <v>-0.40436011873429795</v>
      </c>
      <c r="M17">
        <f t="shared" si="3"/>
        <v>0.67505952251689383</v>
      </c>
      <c r="N17">
        <f t="shared" si="4"/>
        <v>0.67462069725848628</v>
      </c>
    </row>
    <row r="18" spans="1:14" x14ac:dyDescent="0.25">
      <c r="A18" t="s">
        <v>16</v>
      </c>
      <c r="B18">
        <v>1994</v>
      </c>
      <c r="C18">
        <v>10</v>
      </c>
      <c r="D18">
        <v>208</v>
      </c>
      <c r="E18">
        <v>14</v>
      </c>
      <c r="F18">
        <v>214</v>
      </c>
      <c r="G18">
        <v>0.74</v>
      </c>
      <c r="H18">
        <v>0.33</v>
      </c>
      <c r="I18">
        <v>1.62</v>
      </c>
      <c r="J18" s="2">
        <f t="shared" si="0"/>
        <v>0.16635640485299535</v>
      </c>
      <c r="K18">
        <f t="shared" si="1"/>
        <v>0.99821322215604524</v>
      </c>
      <c r="L18">
        <f t="shared" si="2"/>
        <v>0.16605916291460404</v>
      </c>
      <c r="M18">
        <f t="shared" si="3"/>
        <v>0.22424861508708757</v>
      </c>
      <c r="N18">
        <f t="shared" si="4"/>
        <v>0.22384793263011243</v>
      </c>
    </row>
    <row r="19" spans="1:14" x14ac:dyDescent="0.25">
      <c r="A19" t="s">
        <v>17</v>
      </c>
      <c r="B19">
        <v>2002</v>
      </c>
      <c r="C19">
        <v>9</v>
      </c>
      <c r="D19">
        <v>149</v>
      </c>
      <c r="E19">
        <v>3</v>
      </c>
      <c r="F19">
        <v>148</v>
      </c>
      <c r="G19">
        <v>2.98</v>
      </c>
      <c r="H19">
        <v>0.82</v>
      </c>
      <c r="I19">
        <v>10.79</v>
      </c>
      <c r="J19" s="2">
        <f t="shared" si="0"/>
        <v>-0.6032725417222724</v>
      </c>
      <c r="K19">
        <f t="shared" si="1"/>
        <v>0.99745547073791352</v>
      </c>
      <c r="L19">
        <f t="shared" si="2"/>
        <v>-0.60173749708684676</v>
      </c>
      <c r="M19">
        <f t="shared" si="3"/>
        <v>0.36321325938576526</v>
      </c>
      <c r="N19">
        <f t="shared" si="4"/>
        <v>0.36228905261888039</v>
      </c>
    </row>
    <row r="20" spans="1:14" x14ac:dyDescent="0.25">
      <c r="A20" t="s">
        <v>18</v>
      </c>
      <c r="B20">
        <v>2006</v>
      </c>
      <c r="C20">
        <v>23</v>
      </c>
      <c r="D20">
        <v>560</v>
      </c>
      <c r="E20">
        <v>35</v>
      </c>
      <c r="F20">
        <v>563</v>
      </c>
      <c r="G20">
        <v>0.66</v>
      </c>
      <c r="H20">
        <v>0.4</v>
      </c>
      <c r="I20">
        <v>1.1000000000000001</v>
      </c>
      <c r="J20" s="2">
        <f t="shared" si="0"/>
        <v>0.22956654362522971</v>
      </c>
      <c r="K20">
        <f t="shared" si="1"/>
        <v>0.99933080526433193</v>
      </c>
      <c r="L20">
        <f t="shared" si="2"/>
        <v>0.2294129189027502</v>
      </c>
      <c r="M20">
        <f t="shared" si="3"/>
        <v>0.14257539064134625</v>
      </c>
      <c r="N20">
        <f t="shared" si="4"/>
        <v>0.14247997994049325</v>
      </c>
    </row>
    <row r="21" spans="1:14" x14ac:dyDescent="0.25">
      <c r="A21" t="s">
        <v>19</v>
      </c>
      <c r="B21">
        <v>2004</v>
      </c>
      <c r="C21">
        <v>76</v>
      </c>
      <c r="D21">
        <v>6481</v>
      </c>
      <c r="E21">
        <v>98</v>
      </c>
      <c r="F21">
        <v>6536</v>
      </c>
      <c r="G21">
        <v>0.78</v>
      </c>
      <c r="H21">
        <v>0.57999999999999996</v>
      </c>
      <c r="I21">
        <v>1.05</v>
      </c>
      <c r="J21" s="2">
        <f t="shared" si="0"/>
        <v>0.13727146922569039</v>
      </c>
      <c r="K21">
        <f t="shared" si="1"/>
        <v>0.99994237307670142</v>
      </c>
      <c r="L21">
        <f t="shared" si="2"/>
        <v>0.13726355869326223</v>
      </c>
      <c r="M21">
        <f t="shared" si="3"/>
        <v>8.3650543974955485E-2</v>
      </c>
      <c r="N21">
        <f t="shared" si="4"/>
        <v>8.3645723451473961E-2</v>
      </c>
    </row>
    <row r="22" spans="1:14" x14ac:dyDescent="0.25">
      <c r="A22" t="s">
        <v>20</v>
      </c>
      <c r="B22">
        <v>2007</v>
      </c>
      <c r="C22">
        <v>133</v>
      </c>
      <c r="D22">
        <v>1020</v>
      </c>
      <c r="E22">
        <v>124</v>
      </c>
      <c r="F22">
        <v>1022</v>
      </c>
      <c r="G22">
        <v>1.08</v>
      </c>
      <c r="H22">
        <v>0.86</v>
      </c>
      <c r="I22">
        <v>1.35</v>
      </c>
      <c r="J22" s="2">
        <f t="shared" si="0"/>
        <v>-4.2519912229905192E-2</v>
      </c>
      <c r="K22">
        <f t="shared" si="1"/>
        <v>0.99963230788086777</v>
      </c>
      <c r="L22">
        <f t="shared" si="2"/>
        <v>-4.2504277993272062E-2</v>
      </c>
      <c r="M22">
        <f t="shared" si="3"/>
        <v>6.35538789864869E-2</v>
      </c>
      <c r="N22">
        <f t="shared" si="4"/>
        <v>6.3530510726043279E-2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2025-12-26T21:57:19Z</dcterms:modified>
</cp:coreProperties>
</file>