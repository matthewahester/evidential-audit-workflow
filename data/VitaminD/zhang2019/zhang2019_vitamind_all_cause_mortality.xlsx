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VitaminD\zhang2019\"/>
    </mc:Choice>
  </mc:AlternateContent>
  <xr:revisionPtr revIDLastSave="0" documentId="13_ncr:1_{5A565F7E-88F8-429B-AF52-43241DAC7E4C}" xr6:coauthVersionLast="47" xr6:coauthVersionMax="47" xr10:uidLastSave="{00000000-0000-0000-0000-000000000000}"/>
  <bookViews>
    <workbookView xWindow="52800" yWindow="2940" windowWidth="14400" windowHeight="162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O3" i="1" s="1"/>
  <c r="N4" i="1"/>
  <c r="O4" i="1" s="1"/>
  <c r="N5" i="1"/>
  <c r="O5" i="1" s="1"/>
  <c r="N6" i="1"/>
  <c r="O6" i="1"/>
  <c r="N7" i="1"/>
  <c r="O7" i="1"/>
  <c r="N8" i="1"/>
  <c r="O8" i="1"/>
  <c r="N9" i="1"/>
  <c r="O9" i="1" s="1"/>
  <c r="N10" i="1"/>
  <c r="O10" i="1" s="1"/>
  <c r="N11" i="1"/>
  <c r="O11" i="1" s="1"/>
  <c r="N12" i="1"/>
  <c r="O12" i="1"/>
  <c r="N13" i="1"/>
  <c r="O13" i="1"/>
  <c r="N14" i="1"/>
  <c r="O14" i="1"/>
  <c r="N15" i="1"/>
  <c r="O15" i="1" s="1"/>
  <c r="N16" i="1"/>
  <c r="O16" i="1" s="1"/>
  <c r="N17" i="1"/>
  <c r="O17" i="1" s="1"/>
  <c r="N18" i="1"/>
  <c r="O18" i="1"/>
  <c r="N19" i="1"/>
  <c r="O19" i="1"/>
  <c r="N20" i="1"/>
  <c r="O20" i="1"/>
  <c r="N21" i="1"/>
  <c r="O21" i="1" s="1"/>
  <c r="N22" i="1"/>
  <c r="O22" i="1" s="1"/>
  <c r="N23" i="1"/>
  <c r="O23" i="1" s="1"/>
  <c r="N24" i="1"/>
  <c r="O24" i="1"/>
  <c r="N25" i="1"/>
  <c r="O25" i="1" s="1"/>
  <c r="N26" i="1"/>
  <c r="O26" i="1" s="1"/>
  <c r="N27" i="1"/>
  <c r="O27" i="1" s="1"/>
  <c r="N28" i="1"/>
  <c r="O28" i="1" s="1"/>
  <c r="N29" i="1"/>
  <c r="O29" i="1" s="1"/>
  <c r="N30" i="1"/>
  <c r="O30" i="1"/>
  <c r="N31" i="1"/>
  <c r="O31" i="1"/>
  <c r="N32" i="1"/>
  <c r="O32" i="1"/>
  <c r="N33" i="1"/>
  <c r="O33" i="1" s="1"/>
  <c r="N34" i="1"/>
  <c r="O34" i="1" s="1"/>
  <c r="N35" i="1"/>
  <c r="O35" i="1" s="1"/>
  <c r="N36" i="1"/>
  <c r="O36" i="1" s="1"/>
  <c r="N37" i="1"/>
  <c r="O37" i="1"/>
  <c r="N38" i="1"/>
  <c r="O38" i="1" s="1"/>
  <c r="N39" i="1"/>
  <c r="O39" i="1" s="1"/>
  <c r="N40" i="1"/>
  <c r="O40" i="1" s="1"/>
  <c r="N41" i="1"/>
  <c r="O41" i="1" s="1"/>
  <c r="N42" i="1"/>
  <c r="O42" i="1"/>
  <c r="N43" i="1"/>
  <c r="O43" i="1"/>
  <c r="N44" i="1"/>
  <c r="O44" i="1"/>
  <c r="N45" i="1"/>
  <c r="O45" i="1" s="1"/>
  <c r="N46" i="1"/>
  <c r="O46" i="1" s="1"/>
  <c r="N47" i="1"/>
  <c r="O47" i="1" s="1"/>
  <c r="N48" i="1"/>
  <c r="O48" i="1"/>
  <c r="N49" i="1"/>
  <c r="O49" i="1"/>
  <c r="O2" i="1"/>
  <c r="N2" i="1"/>
  <c r="K3" i="1"/>
  <c r="L3" i="1"/>
  <c r="M3" i="1" s="1"/>
  <c r="K4" i="1"/>
  <c r="L4" i="1"/>
  <c r="M4" i="1" s="1"/>
  <c r="K5" i="1"/>
  <c r="L5" i="1"/>
  <c r="M5" i="1"/>
  <c r="K6" i="1"/>
  <c r="L6" i="1"/>
  <c r="M6" i="1" s="1"/>
  <c r="K7" i="1"/>
  <c r="L7" i="1"/>
  <c r="M7" i="1" s="1"/>
  <c r="K8" i="1"/>
  <c r="L8" i="1"/>
  <c r="M8" i="1"/>
  <c r="K9" i="1"/>
  <c r="L9" i="1"/>
  <c r="M9" i="1" s="1"/>
  <c r="K10" i="1"/>
  <c r="L10" i="1"/>
  <c r="M10" i="1" s="1"/>
  <c r="K11" i="1"/>
  <c r="L11" i="1"/>
  <c r="M11" i="1"/>
  <c r="K12" i="1"/>
  <c r="L12" i="1"/>
  <c r="M12" i="1" s="1"/>
  <c r="K13" i="1"/>
  <c r="L13" i="1"/>
  <c r="M13" i="1" s="1"/>
  <c r="K14" i="1"/>
  <c r="L14" i="1"/>
  <c r="M14" i="1"/>
  <c r="K15" i="1"/>
  <c r="L15" i="1"/>
  <c r="M15" i="1" s="1"/>
  <c r="K16" i="1"/>
  <c r="L16" i="1"/>
  <c r="M16" i="1" s="1"/>
  <c r="K17" i="1"/>
  <c r="L17" i="1"/>
  <c r="M17" i="1"/>
  <c r="K18" i="1"/>
  <c r="L18" i="1"/>
  <c r="M18" i="1" s="1"/>
  <c r="K19" i="1"/>
  <c r="L19" i="1"/>
  <c r="M19" i="1" s="1"/>
  <c r="K20" i="1"/>
  <c r="L20" i="1"/>
  <c r="M20" i="1"/>
  <c r="K21" i="1"/>
  <c r="L21" i="1"/>
  <c r="M21" i="1" s="1"/>
  <c r="K22" i="1"/>
  <c r="L22" i="1"/>
  <c r="M22" i="1" s="1"/>
  <c r="K23" i="1"/>
  <c r="L23" i="1"/>
  <c r="M23" i="1"/>
  <c r="K24" i="1"/>
  <c r="L24" i="1"/>
  <c r="M24" i="1" s="1"/>
  <c r="K25" i="1"/>
  <c r="L25" i="1"/>
  <c r="M25" i="1" s="1"/>
  <c r="K26" i="1"/>
  <c r="L26" i="1"/>
  <c r="M26" i="1"/>
  <c r="K27" i="1"/>
  <c r="L27" i="1"/>
  <c r="M27" i="1" s="1"/>
  <c r="K28" i="1"/>
  <c r="L28" i="1"/>
  <c r="M28" i="1" s="1"/>
  <c r="K29" i="1"/>
  <c r="L29" i="1"/>
  <c r="M29" i="1"/>
  <c r="K30" i="1"/>
  <c r="L30" i="1"/>
  <c r="M30" i="1" s="1"/>
  <c r="K31" i="1"/>
  <c r="L31" i="1"/>
  <c r="M31" i="1" s="1"/>
  <c r="K32" i="1"/>
  <c r="L32" i="1"/>
  <c r="M32" i="1"/>
  <c r="K33" i="1"/>
  <c r="L33" i="1"/>
  <c r="M33" i="1" s="1"/>
  <c r="K34" i="1"/>
  <c r="L34" i="1"/>
  <c r="M34" i="1" s="1"/>
  <c r="K35" i="1"/>
  <c r="L35" i="1"/>
  <c r="M35" i="1"/>
  <c r="K36" i="1"/>
  <c r="L36" i="1"/>
  <c r="M36" i="1" s="1"/>
  <c r="K37" i="1"/>
  <c r="L37" i="1"/>
  <c r="M37" i="1" s="1"/>
  <c r="K38" i="1"/>
  <c r="L38" i="1"/>
  <c r="M38" i="1"/>
  <c r="K39" i="1"/>
  <c r="L39" i="1"/>
  <c r="M39" i="1" s="1"/>
  <c r="K40" i="1"/>
  <c r="L40" i="1"/>
  <c r="M40" i="1" s="1"/>
  <c r="K41" i="1"/>
  <c r="L41" i="1"/>
  <c r="M41" i="1"/>
  <c r="K42" i="1"/>
  <c r="L42" i="1"/>
  <c r="M42" i="1" s="1"/>
  <c r="K43" i="1"/>
  <c r="L43" i="1"/>
  <c r="M43" i="1" s="1"/>
  <c r="K44" i="1"/>
  <c r="L44" i="1"/>
  <c r="M44" i="1"/>
  <c r="K45" i="1"/>
  <c r="L45" i="1"/>
  <c r="M45" i="1" s="1"/>
  <c r="K46" i="1"/>
  <c r="L46" i="1"/>
  <c r="M46" i="1" s="1"/>
  <c r="K47" i="1"/>
  <c r="L47" i="1"/>
  <c r="M47" i="1"/>
  <c r="K48" i="1"/>
  <c r="L48" i="1"/>
  <c r="M48" i="1" s="1"/>
  <c r="K49" i="1"/>
  <c r="L49" i="1"/>
  <c r="M49" i="1" s="1"/>
  <c r="M2" i="1"/>
  <c r="L2" i="1"/>
  <c r="K2" i="1"/>
</calcChain>
</file>

<file path=xl/sharedStrings.xml><?xml version="1.0" encoding="utf-8"?>
<sst xmlns="http://schemas.openxmlformats.org/spreadsheetml/2006/main" count="111" uniqueCount="63">
  <si>
    <t>type</t>
  </si>
  <si>
    <t>d3</t>
  </si>
  <si>
    <t>d2</t>
  </si>
  <si>
    <t>Brohult</t>
  </si>
  <si>
    <t>Inkovaara</t>
  </si>
  <si>
    <t>Lips</t>
  </si>
  <si>
    <t>Meyer</t>
  </si>
  <si>
    <t>Trivedi</t>
  </si>
  <si>
    <t>Latham</t>
  </si>
  <si>
    <t>Bischoff</t>
  </si>
  <si>
    <t>Aloia</t>
  </si>
  <si>
    <t>Flicker</t>
  </si>
  <si>
    <t>Schleithoff</t>
  </si>
  <si>
    <t>Burleigh</t>
  </si>
  <si>
    <t>Lappe</t>
  </si>
  <si>
    <t>Chel</t>
  </si>
  <si>
    <t>Sanders</t>
  </si>
  <si>
    <t>Janssen</t>
  </si>
  <si>
    <t>Grimnes</t>
  </si>
  <si>
    <t>Cherniack</t>
  </si>
  <si>
    <t>Glendenning</t>
  </si>
  <si>
    <t>Punthakee</t>
  </si>
  <si>
    <t>Lehouck</t>
  </si>
  <si>
    <t>RECORD</t>
  </si>
  <si>
    <t>Witham</t>
  </si>
  <si>
    <t>Rizzoli</t>
  </si>
  <si>
    <t>Massart</t>
  </si>
  <si>
    <t>Uusi-Risi</t>
  </si>
  <si>
    <t>Baron</t>
  </si>
  <si>
    <t>Martineau</t>
  </si>
  <si>
    <t>Jorde</t>
  </si>
  <si>
    <t>Arden</t>
  </si>
  <si>
    <t>Witte</t>
  </si>
  <si>
    <t>Jin</t>
  </si>
  <si>
    <t>ViDA</t>
  </si>
  <si>
    <t>Levis</t>
  </si>
  <si>
    <t>Hin</t>
  </si>
  <si>
    <t>EVITA</t>
  </si>
  <si>
    <t>VITAL</t>
  </si>
  <si>
    <t>Akiba</t>
  </si>
  <si>
    <t>Owusu</t>
  </si>
  <si>
    <t>Corless</t>
  </si>
  <si>
    <t>Cooper</t>
  </si>
  <si>
    <t>Harwood</t>
  </si>
  <si>
    <t>Law</t>
  </si>
  <si>
    <t>Broe</t>
  </si>
  <si>
    <t>Smith</t>
  </si>
  <si>
    <t>Lyons</t>
  </si>
  <si>
    <t>Prince</t>
  </si>
  <si>
    <t>Author</t>
  </si>
  <si>
    <t>Year</t>
  </si>
  <si>
    <t>e_treat</t>
  </si>
  <si>
    <t>n_treat</t>
  </si>
  <si>
    <t>e_control</t>
  </si>
  <si>
    <t>n_control</t>
  </si>
  <si>
    <t>OR</t>
  </si>
  <si>
    <t>lCI_OR</t>
  </si>
  <si>
    <t>uCI_OR</t>
  </si>
  <si>
    <t>ES</t>
  </si>
  <si>
    <t>J</t>
  </si>
  <si>
    <t>g</t>
  </si>
  <si>
    <t>se_g</t>
  </si>
  <si>
    <t>se_es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</si>
</sst>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9"/>
  <sheetViews>
    <sheetView tabSelected="1" topLeftCell="G1" workbookViewId="0">
      <selection activeCell="J21" sqref="J21"/>
    </sheetView>
  </sheetViews>
  <sheetFormatPr defaultColWidth="13.7109375" defaultRowHeight="15" x14ac:dyDescent="0.25"/>
  <sheetData>
    <row r="1" spans="1:15" x14ac:dyDescent="0.25">
      <c r="A1" t="s">
        <v>49</v>
      </c>
      <c r="B1" t="s">
        <v>50</v>
      </c>
      <c r="C1" t="s">
        <v>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s="2" t="s">
        <v>58</v>
      </c>
      <c r="L1" t="s">
        <v>59</v>
      </c>
      <c r="M1" t="s">
        <v>60</v>
      </c>
      <c r="N1" t="s">
        <v>62</v>
      </c>
      <c r="O1" t="s">
        <v>61</v>
      </c>
    </row>
    <row r="2" spans="1:15" x14ac:dyDescent="0.25">
      <c r="A2" t="s">
        <v>3</v>
      </c>
      <c r="B2">
        <v>1973</v>
      </c>
      <c r="C2" t="s">
        <v>1</v>
      </c>
      <c r="D2">
        <v>1</v>
      </c>
      <c r="E2">
        <v>25</v>
      </c>
      <c r="F2">
        <v>0</v>
      </c>
      <c r="G2">
        <v>25</v>
      </c>
      <c r="H2">
        <v>3</v>
      </c>
      <c r="I2">
        <v>0.13</v>
      </c>
      <c r="J2">
        <v>70.3</v>
      </c>
      <c r="K2" s="3">
        <f>-LN(H2)/1.81</f>
        <v>-0.6069681152862485</v>
      </c>
      <c r="L2">
        <f>1-3/(4*(G2+E2-2)-1)</f>
        <v>0.98429319371727753</v>
      </c>
      <c r="M2">
        <f>L2*K2</f>
        <v>-0.59743458467965826</v>
      </c>
      <c r="N2">
        <f>(LN(J2)-LN(I2))/2/1.96/1.81</f>
        <v>0.88693660888250847</v>
      </c>
      <c r="O2">
        <f>N2*L2</f>
        <v>0.87300566738173613</v>
      </c>
    </row>
    <row r="3" spans="1:15" x14ac:dyDescent="0.25">
      <c r="A3" t="s">
        <v>4</v>
      </c>
      <c r="B3">
        <v>1983</v>
      </c>
      <c r="C3" t="s">
        <v>1</v>
      </c>
      <c r="D3">
        <v>7</v>
      </c>
      <c r="E3">
        <v>45</v>
      </c>
      <c r="F3">
        <v>5</v>
      </c>
      <c r="G3">
        <v>42</v>
      </c>
      <c r="H3">
        <v>1.31</v>
      </c>
      <c r="I3">
        <v>0.45</v>
      </c>
      <c r="J3">
        <v>3.8</v>
      </c>
      <c r="K3" s="3">
        <f t="shared" ref="K3:K49" si="0">-LN(H3)/1.81</f>
        <v>-0.14918626365362442</v>
      </c>
      <c r="L3">
        <f t="shared" ref="L3:L49" si="1">1-3/(4*(G3+E3-2)-1)</f>
        <v>0.99115044247787609</v>
      </c>
      <c r="M3">
        <f t="shared" ref="M3:M49" si="2">L3*K3</f>
        <v>-0.14786603123191092</v>
      </c>
      <c r="N3">
        <f t="shared" ref="N3:N49" si="3">(LN(J3)-LN(I3))/2/1.96/1.81</f>
        <v>0.30069748040225952</v>
      </c>
      <c r="O3">
        <f t="shared" ref="O3:O49" si="4">N3*L3</f>
        <v>0.29803644075268199</v>
      </c>
    </row>
    <row r="4" spans="1:15" x14ac:dyDescent="0.25">
      <c r="A4" t="s">
        <v>5</v>
      </c>
      <c r="B4">
        <v>1996</v>
      </c>
      <c r="C4" t="s">
        <v>1</v>
      </c>
      <c r="D4">
        <v>223</v>
      </c>
      <c r="E4">
        <v>1291</v>
      </c>
      <c r="F4">
        <v>251</v>
      </c>
      <c r="G4">
        <v>1287</v>
      </c>
      <c r="H4">
        <v>0.89</v>
      </c>
      <c r="I4">
        <v>0.75</v>
      </c>
      <c r="J4">
        <v>1.04</v>
      </c>
      <c r="K4" s="3">
        <f t="shared" si="0"/>
        <v>6.4383323898315747E-2</v>
      </c>
      <c r="L4">
        <f t="shared" si="1"/>
        <v>0.99970882267300787</v>
      </c>
      <c r="M4">
        <f t="shared" si="2"/>
        <v>6.4364576934160173E-2</v>
      </c>
      <c r="N4">
        <f t="shared" si="3"/>
        <v>4.6073794340548861E-2</v>
      </c>
      <c r="O4">
        <f t="shared" si="4"/>
        <v>4.6060378696268396E-2</v>
      </c>
    </row>
    <row r="5" spans="1:15" x14ac:dyDescent="0.25">
      <c r="A5" t="s">
        <v>6</v>
      </c>
      <c r="B5">
        <v>2002</v>
      </c>
      <c r="C5" t="s">
        <v>1</v>
      </c>
      <c r="D5">
        <v>169</v>
      </c>
      <c r="E5">
        <v>569</v>
      </c>
      <c r="F5">
        <v>163</v>
      </c>
      <c r="G5">
        <v>575</v>
      </c>
      <c r="H5">
        <v>1.05</v>
      </c>
      <c r="I5">
        <v>0.87</v>
      </c>
      <c r="J5">
        <v>1.26</v>
      </c>
      <c r="K5" s="3">
        <f t="shared" si="0"/>
        <v>-2.6955891806316048E-2</v>
      </c>
      <c r="L5">
        <f t="shared" si="1"/>
        <v>0.9993431136413401</v>
      </c>
      <c r="M5">
        <f t="shared" si="2"/>
        <v>-2.6938184848702966E-2</v>
      </c>
      <c r="N5">
        <f t="shared" si="3"/>
        <v>5.2200612850503758E-2</v>
      </c>
      <c r="O5">
        <f t="shared" si="4"/>
        <v>5.2166322980008575E-2</v>
      </c>
    </row>
    <row r="6" spans="1:15" x14ac:dyDescent="0.25">
      <c r="A6" t="s">
        <v>7</v>
      </c>
      <c r="B6">
        <v>2003</v>
      </c>
      <c r="C6" t="s">
        <v>1</v>
      </c>
      <c r="D6">
        <v>224</v>
      </c>
      <c r="E6">
        <v>1345</v>
      </c>
      <c r="F6">
        <v>247</v>
      </c>
      <c r="G6">
        <v>1341</v>
      </c>
      <c r="H6">
        <v>0.9</v>
      </c>
      <c r="I6">
        <v>0.77</v>
      </c>
      <c r="J6">
        <v>1.07</v>
      </c>
      <c r="K6" s="3">
        <f t="shared" si="0"/>
        <v>5.8210229645207889E-2</v>
      </c>
      <c r="L6">
        <f t="shared" si="1"/>
        <v>0.99972054028877499</v>
      </c>
      <c r="M6">
        <f t="shared" si="2"/>
        <v>5.8193962231240896E-2</v>
      </c>
      <c r="N6">
        <f t="shared" si="3"/>
        <v>4.6372676261165632E-2</v>
      </c>
      <c r="O6">
        <f t="shared" si="4"/>
        <v>4.6359716966448958E-2</v>
      </c>
    </row>
    <row r="7" spans="1:15" x14ac:dyDescent="0.25">
      <c r="A7" t="s">
        <v>8</v>
      </c>
      <c r="B7">
        <v>2003</v>
      </c>
      <c r="C7" t="s">
        <v>1</v>
      </c>
      <c r="D7">
        <v>11</v>
      </c>
      <c r="E7">
        <v>121</v>
      </c>
      <c r="F7">
        <v>3</v>
      </c>
      <c r="G7">
        <v>122</v>
      </c>
      <c r="H7">
        <v>3.7</v>
      </c>
      <c r="I7">
        <v>1.06</v>
      </c>
      <c r="J7">
        <v>12.92</v>
      </c>
      <c r="K7" s="3">
        <f t="shared" si="0"/>
        <v>-0.72283581196142477</v>
      </c>
      <c r="L7">
        <f t="shared" si="1"/>
        <v>0.99688473520249221</v>
      </c>
      <c r="M7">
        <f t="shared" si="2"/>
        <v>-0.7205839870020434</v>
      </c>
      <c r="N7">
        <f t="shared" si="3"/>
        <v>0.35242242505221555</v>
      </c>
      <c r="O7">
        <f t="shared" si="4"/>
        <v>0.35132453587759804</v>
      </c>
    </row>
    <row r="8" spans="1:15" x14ac:dyDescent="0.25">
      <c r="A8" t="s">
        <v>9</v>
      </c>
      <c r="B8">
        <v>2003</v>
      </c>
      <c r="C8" t="s">
        <v>1</v>
      </c>
      <c r="D8">
        <v>1</v>
      </c>
      <c r="E8">
        <v>62</v>
      </c>
      <c r="F8">
        <v>4</v>
      </c>
      <c r="G8">
        <v>60</v>
      </c>
      <c r="H8">
        <v>0.24</v>
      </c>
      <c r="I8">
        <v>0.03</v>
      </c>
      <c r="J8">
        <v>2.1</v>
      </c>
      <c r="K8" s="3">
        <f t="shared" si="0"/>
        <v>0.78846207493930709</v>
      </c>
      <c r="L8">
        <f t="shared" si="1"/>
        <v>0.99373695198329859</v>
      </c>
      <c r="M8">
        <f t="shared" si="2"/>
        <v>0.78352389910461417</v>
      </c>
      <c r="N8">
        <f t="shared" si="3"/>
        <v>0.59878442356090866</v>
      </c>
      <c r="O8">
        <f t="shared" si="4"/>
        <v>0.5950342079644938</v>
      </c>
    </row>
    <row r="9" spans="1:15" x14ac:dyDescent="0.25">
      <c r="A9" t="s">
        <v>10</v>
      </c>
      <c r="B9">
        <v>2005</v>
      </c>
      <c r="C9" t="s">
        <v>1</v>
      </c>
      <c r="D9">
        <v>1</v>
      </c>
      <c r="E9">
        <v>104</v>
      </c>
      <c r="F9">
        <v>2</v>
      </c>
      <c r="G9">
        <v>104</v>
      </c>
      <c r="H9">
        <v>0.5</v>
      </c>
      <c r="I9">
        <v>0.05</v>
      </c>
      <c r="J9">
        <v>5.43</v>
      </c>
      <c r="K9" s="3">
        <f t="shared" si="0"/>
        <v>0.38295424340328466</v>
      </c>
      <c r="L9">
        <f t="shared" si="1"/>
        <v>0.99635479951397332</v>
      </c>
      <c r="M9">
        <f t="shared" si="2"/>
        <v>0.38155829840910505</v>
      </c>
      <c r="N9">
        <f t="shared" si="3"/>
        <v>0.66068206780638095</v>
      </c>
      <c r="O9">
        <f t="shared" si="4"/>
        <v>0.65827374921170401</v>
      </c>
    </row>
    <row r="10" spans="1:15" x14ac:dyDescent="0.25">
      <c r="A10" t="s">
        <v>11</v>
      </c>
      <c r="B10">
        <v>2005</v>
      </c>
      <c r="C10" t="s">
        <v>1</v>
      </c>
      <c r="D10">
        <v>76</v>
      </c>
      <c r="E10">
        <v>313</v>
      </c>
      <c r="F10">
        <v>85</v>
      </c>
      <c r="G10">
        <v>312</v>
      </c>
      <c r="H10">
        <v>0.89</v>
      </c>
      <c r="I10">
        <v>0.68</v>
      </c>
      <c r="J10">
        <v>1.1599999999999999</v>
      </c>
      <c r="K10" s="3">
        <f t="shared" si="0"/>
        <v>6.4383323898315747E-2</v>
      </c>
      <c r="L10">
        <f t="shared" si="1"/>
        <v>0.99879566439181056</v>
      </c>
      <c r="M10">
        <f t="shared" si="2"/>
        <v>6.4305784768771412E-2</v>
      </c>
      <c r="N10">
        <f t="shared" si="3"/>
        <v>7.5273774654732478E-2</v>
      </c>
      <c r="O10">
        <f t="shared" si="4"/>
        <v>7.5183119767552958E-2</v>
      </c>
    </row>
    <row r="11" spans="1:15" x14ac:dyDescent="0.25">
      <c r="A11" t="s">
        <v>12</v>
      </c>
      <c r="B11">
        <v>2006</v>
      </c>
      <c r="C11" t="s">
        <v>1</v>
      </c>
      <c r="D11">
        <v>7</v>
      </c>
      <c r="E11">
        <v>61</v>
      </c>
      <c r="F11">
        <v>6</v>
      </c>
      <c r="G11">
        <v>62</v>
      </c>
      <c r="H11">
        <v>1.19</v>
      </c>
      <c r="I11">
        <v>0.42</v>
      </c>
      <c r="J11">
        <v>3.33</v>
      </c>
      <c r="K11" s="3">
        <f t="shared" si="0"/>
        <v>-9.6106799515711591E-2</v>
      </c>
      <c r="L11">
        <f t="shared" si="1"/>
        <v>0.99378881987577639</v>
      </c>
      <c r="M11">
        <f t="shared" si="2"/>
        <v>-9.5509862872756854E-2</v>
      </c>
      <c r="N11">
        <f t="shared" si="3"/>
        <v>0.29181317957169289</v>
      </c>
      <c r="O11">
        <f t="shared" si="4"/>
        <v>0.29000067535075069</v>
      </c>
    </row>
    <row r="12" spans="1:15" x14ac:dyDescent="0.25">
      <c r="A12" t="s">
        <v>13</v>
      </c>
      <c r="B12">
        <v>2007</v>
      </c>
      <c r="C12" t="s">
        <v>1</v>
      </c>
      <c r="D12">
        <v>16</v>
      </c>
      <c r="E12">
        <v>101</v>
      </c>
      <c r="F12">
        <v>13</v>
      </c>
      <c r="G12">
        <v>104</v>
      </c>
      <c r="H12">
        <v>1.27</v>
      </c>
      <c r="I12">
        <v>0.64</v>
      </c>
      <c r="J12">
        <v>2.5</v>
      </c>
      <c r="K12" s="3">
        <f t="shared" si="0"/>
        <v>-0.13205353617154691</v>
      </c>
      <c r="L12">
        <f t="shared" si="1"/>
        <v>0.99630086313193589</v>
      </c>
      <c r="M12">
        <f t="shared" si="2"/>
        <v>-0.13156505206733651</v>
      </c>
      <c r="N12">
        <f t="shared" si="3"/>
        <v>0.1920422024048053</v>
      </c>
      <c r="O12">
        <f t="shared" si="4"/>
        <v>0.19133181201366545</v>
      </c>
    </row>
    <row r="13" spans="1:15" x14ac:dyDescent="0.25">
      <c r="A13" t="s">
        <v>14</v>
      </c>
      <c r="B13">
        <v>2007</v>
      </c>
      <c r="C13" t="s">
        <v>1</v>
      </c>
      <c r="D13">
        <v>4</v>
      </c>
      <c r="E13">
        <v>446</v>
      </c>
      <c r="F13">
        <v>12</v>
      </c>
      <c r="G13">
        <v>445</v>
      </c>
      <c r="H13">
        <v>0.33</v>
      </c>
      <c r="I13">
        <v>0.11</v>
      </c>
      <c r="J13">
        <v>1.02</v>
      </c>
      <c r="K13" s="3">
        <f t="shared" si="0"/>
        <v>0.61252078702851442</v>
      </c>
      <c r="L13">
        <f t="shared" si="1"/>
        <v>0.99915611814345995</v>
      </c>
      <c r="M13">
        <f t="shared" si="2"/>
        <v>0.61200389184958748</v>
      </c>
      <c r="N13">
        <f t="shared" si="3"/>
        <v>0.31388509703544659</v>
      </c>
      <c r="O13">
        <f t="shared" si="4"/>
        <v>0.31362021509702004</v>
      </c>
    </row>
    <row r="14" spans="1:15" x14ac:dyDescent="0.25">
      <c r="A14" t="s">
        <v>15</v>
      </c>
      <c r="B14">
        <v>2008</v>
      </c>
      <c r="C14" t="s">
        <v>1</v>
      </c>
      <c r="D14">
        <v>25</v>
      </c>
      <c r="E14">
        <v>166</v>
      </c>
      <c r="F14">
        <v>33</v>
      </c>
      <c r="G14">
        <v>172</v>
      </c>
      <c r="H14">
        <v>0.78</v>
      </c>
      <c r="I14">
        <v>0.49</v>
      </c>
      <c r="J14">
        <v>1.26</v>
      </c>
      <c r="K14" s="3">
        <f t="shared" si="0"/>
        <v>0.13727146922569039</v>
      </c>
      <c r="L14">
        <f t="shared" si="1"/>
        <v>0.99776619508562914</v>
      </c>
      <c r="M14">
        <f t="shared" si="2"/>
        <v>0.13696483154313113</v>
      </c>
      <c r="N14">
        <f t="shared" si="3"/>
        <v>0.13311275352926646</v>
      </c>
      <c r="O14">
        <f t="shared" si="4"/>
        <v>0.13281540560626734</v>
      </c>
    </row>
    <row r="15" spans="1:15" x14ac:dyDescent="0.25">
      <c r="A15" t="s">
        <v>16</v>
      </c>
      <c r="B15">
        <v>2010</v>
      </c>
      <c r="C15" t="s">
        <v>1</v>
      </c>
      <c r="D15">
        <v>40</v>
      </c>
      <c r="E15">
        <v>1131</v>
      </c>
      <c r="F15">
        <v>47</v>
      </c>
      <c r="G15">
        <v>1127</v>
      </c>
      <c r="H15">
        <v>0.85</v>
      </c>
      <c r="I15">
        <v>0.56000000000000005</v>
      </c>
      <c r="J15">
        <v>1.28</v>
      </c>
      <c r="K15" s="3">
        <f t="shared" si="0"/>
        <v>8.9789463810925382E-2</v>
      </c>
      <c r="L15">
        <f t="shared" si="1"/>
        <v>0.99966751634711293</v>
      </c>
      <c r="M15">
        <f t="shared" si="2"/>
        <v>8.9759610282006755E-2</v>
      </c>
      <c r="N15">
        <f t="shared" si="3"/>
        <v>0.11651237078369432</v>
      </c>
      <c r="O15">
        <f t="shared" si="4"/>
        <v>0.11647363232504962</v>
      </c>
    </row>
    <row r="16" spans="1:15" x14ac:dyDescent="0.25">
      <c r="A16" t="s">
        <v>5</v>
      </c>
      <c r="B16">
        <v>2010</v>
      </c>
      <c r="C16" t="s">
        <v>1</v>
      </c>
      <c r="D16">
        <v>1</v>
      </c>
      <c r="E16">
        <v>114</v>
      </c>
      <c r="F16">
        <v>0</v>
      </c>
      <c r="G16">
        <v>112</v>
      </c>
      <c r="H16">
        <v>2.95</v>
      </c>
      <c r="I16">
        <v>0.12</v>
      </c>
      <c r="J16">
        <v>71.599999999999994</v>
      </c>
      <c r="K16" s="3">
        <f t="shared" si="0"/>
        <v>-0.59768241455896598</v>
      </c>
      <c r="L16">
        <f t="shared" si="1"/>
        <v>0.99664804469273738</v>
      </c>
      <c r="M16">
        <f t="shared" si="2"/>
        <v>-0.5956790098174275</v>
      </c>
      <c r="N16">
        <f t="shared" si="3"/>
        <v>0.90080034532736086</v>
      </c>
      <c r="O16">
        <f t="shared" si="4"/>
        <v>0.89778090282905676</v>
      </c>
    </row>
    <row r="17" spans="1:15" x14ac:dyDescent="0.25">
      <c r="A17" t="s">
        <v>17</v>
      </c>
      <c r="B17">
        <v>2010</v>
      </c>
      <c r="C17" t="s">
        <v>1</v>
      </c>
      <c r="D17">
        <v>0</v>
      </c>
      <c r="E17">
        <v>36</v>
      </c>
      <c r="F17">
        <v>1</v>
      </c>
      <c r="G17">
        <v>34</v>
      </c>
      <c r="H17">
        <v>0.32</v>
      </c>
      <c r="I17">
        <v>0.01</v>
      </c>
      <c r="J17">
        <v>7.48</v>
      </c>
      <c r="K17" s="3">
        <f t="shared" si="0"/>
        <v>0.62952170341898606</v>
      </c>
      <c r="L17">
        <f t="shared" si="1"/>
        <v>0.98892988929889303</v>
      </c>
      <c r="M17">
        <f t="shared" si="2"/>
        <v>0.62255282847338844</v>
      </c>
      <c r="N17">
        <f t="shared" si="3"/>
        <v>0.93265911855542849</v>
      </c>
      <c r="O17">
        <f t="shared" si="4"/>
        <v>0.92233447886662301</v>
      </c>
    </row>
    <row r="18" spans="1:15" x14ac:dyDescent="0.25">
      <c r="A18" t="s">
        <v>18</v>
      </c>
      <c r="B18">
        <v>2011</v>
      </c>
      <c r="C18" t="s">
        <v>1</v>
      </c>
      <c r="D18">
        <v>0</v>
      </c>
      <c r="E18">
        <v>51</v>
      </c>
      <c r="F18">
        <v>1</v>
      </c>
      <c r="G18">
        <v>53</v>
      </c>
      <c r="H18">
        <v>0.35</v>
      </c>
      <c r="I18">
        <v>0.01</v>
      </c>
      <c r="J18">
        <v>8.31</v>
      </c>
      <c r="K18" s="3">
        <f t="shared" si="0"/>
        <v>0.58001222347993253</v>
      </c>
      <c r="L18">
        <f t="shared" si="1"/>
        <v>0.99262899262899262</v>
      </c>
      <c r="M18">
        <f t="shared" si="2"/>
        <v>0.57573694910538753</v>
      </c>
      <c r="N18">
        <f t="shared" si="3"/>
        <v>0.94748982338136312</v>
      </c>
      <c r="O18">
        <f t="shared" si="4"/>
        <v>0.94050586890926458</v>
      </c>
    </row>
    <row r="19" spans="1:15" x14ac:dyDescent="0.25">
      <c r="A19" t="s">
        <v>19</v>
      </c>
      <c r="B19">
        <v>2011</v>
      </c>
      <c r="C19" t="s">
        <v>1</v>
      </c>
      <c r="D19">
        <v>1</v>
      </c>
      <c r="E19">
        <v>23</v>
      </c>
      <c r="F19">
        <v>0</v>
      </c>
      <c r="G19">
        <v>23</v>
      </c>
      <c r="H19">
        <v>3</v>
      </c>
      <c r="I19">
        <v>0.13</v>
      </c>
      <c r="J19">
        <v>70.02</v>
      </c>
      <c r="K19" s="3">
        <f t="shared" si="0"/>
        <v>-0.6069681152862485</v>
      </c>
      <c r="L19">
        <f t="shared" si="1"/>
        <v>0.98285714285714287</v>
      </c>
      <c r="M19">
        <f t="shared" si="2"/>
        <v>-0.59656294759562711</v>
      </c>
      <c r="N19">
        <f t="shared" si="3"/>
        <v>0.88637413237866081</v>
      </c>
      <c r="O19">
        <f t="shared" si="4"/>
        <v>0.87117914725216949</v>
      </c>
    </row>
    <row r="20" spans="1:15" x14ac:dyDescent="0.25">
      <c r="A20" t="s">
        <v>20</v>
      </c>
      <c r="B20">
        <v>2012</v>
      </c>
      <c r="C20" t="s">
        <v>1</v>
      </c>
      <c r="D20">
        <v>2</v>
      </c>
      <c r="E20">
        <v>353</v>
      </c>
      <c r="F20">
        <v>0</v>
      </c>
      <c r="G20">
        <v>333</v>
      </c>
      <c r="H20">
        <v>4.72</v>
      </c>
      <c r="I20">
        <v>0.23</v>
      </c>
      <c r="J20">
        <v>97.9</v>
      </c>
      <c r="K20" s="3">
        <f t="shared" si="0"/>
        <v>-0.85735292795439988</v>
      </c>
      <c r="L20">
        <f t="shared" si="1"/>
        <v>0.99890310786106029</v>
      </c>
      <c r="M20">
        <f t="shared" si="2"/>
        <v>-0.85641250426742976</v>
      </c>
      <c r="N20">
        <f t="shared" si="3"/>
        <v>0.85319970114942578</v>
      </c>
      <c r="O20">
        <f t="shared" si="4"/>
        <v>0.85226383310428921</v>
      </c>
    </row>
    <row r="21" spans="1:15" x14ac:dyDescent="0.25">
      <c r="A21" t="s">
        <v>21</v>
      </c>
      <c r="B21">
        <v>2012</v>
      </c>
      <c r="C21" t="s">
        <v>1</v>
      </c>
      <c r="D21">
        <v>0</v>
      </c>
      <c r="E21">
        <v>607</v>
      </c>
      <c r="F21">
        <v>2</v>
      </c>
      <c r="G21">
        <v>614</v>
      </c>
      <c r="H21">
        <v>0.2</v>
      </c>
      <c r="I21">
        <v>0.01</v>
      </c>
      <c r="J21">
        <v>4.21</v>
      </c>
      <c r="K21" s="3">
        <f t="shared" si="0"/>
        <v>0.88919221681442007</v>
      </c>
      <c r="L21">
        <f t="shared" si="1"/>
        <v>0.99938461538461543</v>
      </c>
      <c r="M21">
        <f t="shared" si="2"/>
        <v>0.88864502160407277</v>
      </c>
      <c r="N21">
        <f t="shared" si="3"/>
        <v>0.8516508109260319</v>
      </c>
      <c r="O21">
        <f t="shared" si="4"/>
        <v>0.85112671811930818</v>
      </c>
    </row>
    <row r="22" spans="1:15" x14ac:dyDescent="0.25">
      <c r="A22" t="s">
        <v>22</v>
      </c>
      <c r="B22">
        <v>2012</v>
      </c>
      <c r="C22" t="s">
        <v>1</v>
      </c>
      <c r="D22">
        <v>9</v>
      </c>
      <c r="E22">
        <v>91</v>
      </c>
      <c r="F22">
        <v>6</v>
      </c>
      <c r="G22">
        <v>91</v>
      </c>
      <c r="H22">
        <v>1.5</v>
      </c>
      <c r="I22">
        <v>0.56000000000000005</v>
      </c>
      <c r="J22">
        <v>4.04</v>
      </c>
      <c r="K22" s="3">
        <f t="shared" si="0"/>
        <v>-0.22401387188296373</v>
      </c>
      <c r="L22">
        <f t="shared" si="1"/>
        <v>0.99582753824756609</v>
      </c>
      <c r="M22">
        <f t="shared" si="2"/>
        <v>-0.22307918257051743</v>
      </c>
      <c r="N22">
        <f t="shared" si="3"/>
        <v>0.27850704521733016</v>
      </c>
      <c r="O22">
        <f t="shared" si="4"/>
        <v>0.27734498522337747</v>
      </c>
    </row>
    <row r="23" spans="1:15" x14ac:dyDescent="0.25">
      <c r="A23" t="s">
        <v>23</v>
      </c>
      <c r="B23">
        <v>2012</v>
      </c>
      <c r="C23" t="s">
        <v>1</v>
      </c>
      <c r="D23">
        <v>836</v>
      </c>
      <c r="E23">
        <v>2649</v>
      </c>
      <c r="F23">
        <v>881</v>
      </c>
      <c r="G23">
        <v>2643</v>
      </c>
      <c r="H23">
        <v>0.95</v>
      </c>
      <c r="I23">
        <v>0.88</v>
      </c>
      <c r="J23">
        <v>1.02</v>
      </c>
      <c r="K23" s="3">
        <f t="shared" si="0"/>
        <v>2.8338836678204738E-2</v>
      </c>
      <c r="L23">
        <f t="shared" si="1"/>
        <v>0.99985821636183181</v>
      </c>
      <c r="M23">
        <f t="shared" si="2"/>
        <v>2.8334818694839049E-2</v>
      </c>
      <c r="N23">
        <f t="shared" si="3"/>
        <v>2.0807869941096041E-2</v>
      </c>
      <c r="O23">
        <f t="shared" si="4"/>
        <v>2.0804919725593261E-2</v>
      </c>
    </row>
    <row r="24" spans="1:15" x14ac:dyDescent="0.25">
      <c r="A24" t="s">
        <v>24</v>
      </c>
      <c r="B24">
        <v>2013</v>
      </c>
      <c r="C24" t="s">
        <v>1</v>
      </c>
      <c r="D24">
        <v>0</v>
      </c>
      <c r="E24">
        <v>80</v>
      </c>
      <c r="F24">
        <v>1</v>
      </c>
      <c r="G24">
        <v>79</v>
      </c>
      <c r="H24">
        <v>0.33</v>
      </c>
      <c r="I24">
        <v>0.01</v>
      </c>
      <c r="J24">
        <v>7.96</v>
      </c>
      <c r="K24" s="3">
        <f t="shared" si="0"/>
        <v>0.61252078702851442</v>
      </c>
      <c r="L24">
        <f t="shared" si="1"/>
        <v>0.99521531100478466</v>
      </c>
      <c r="M24">
        <f t="shared" si="2"/>
        <v>0.60959006555947848</v>
      </c>
      <c r="N24">
        <f t="shared" si="3"/>
        <v>0.94142507411269349</v>
      </c>
      <c r="O24">
        <f t="shared" si="4"/>
        <v>0.93692064792076668</v>
      </c>
    </row>
    <row r="25" spans="1:15" x14ac:dyDescent="0.25">
      <c r="A25" t="s">
        <v>25</v>
      </c>
      <c r="B25">
        <v>2014</v>
      </c>
      <c r="C25" t="s">
        <v>1</v>
      </c>
      <c r="D25">
        <v>0</v>
      </c>
      <c r="E25">
        <v>413</v>
      </c>
      <c r="F25">
        <v>1</v>
      </c>
      <c r="G25">
        <v>105</v>
      </c>
      <c r="H25">
        <v>0.09</v>
      </c>
      <c r="I25" s="4">
        <v>1E-3</v>
      </c>
      <c r="J25">
        <v>2.08</v>
      </c>
      <c r="K25" s="3">
        <f t="shared" si="0"/>
        <v>1.3303566898629129</v>
      </c>
      <c r="L25">
        <f t="shared" si="1"/>
        <v>0.99854580707707219</v>
      </c>
      <c r="M25">
        <f t="shared" si="2"/>
        <v>1.3284220945795446</v>
      </c>
      <c r="N25">
        <f t="shared" si="3"/>
        <v>1.0768016648854668</v>
      </c>
      <c r="O25">
        <f t="shared" si="4"/>
        <v>1.0752357875249934</v>
      </c>
    </row>
    <row r="26" spans="1:15" x14ac:dyDescent="0.25">
      <c r="A26" t="s">
        <v>26</v>
      </c>
      <c r="B26">
        <v>2014</v>
      </c>
      <c r="C26" t="s">
        <v>1</v>
      </c>
      <c r="D26">
        <v>0</v>
      </c>
      <c r="E26">
        <v>29</v>
      </c>
      <c r="F26">
        <v>1</v>
      </c>
      <c r="G26">
        <v>32</v>
      </c>
      <c r="H26">
        <v>0.37</v>
      </c>
      <c r="I26">
        <v>0.02</v>
      </c>
      <c r="J26">
        <v>8.66</v>
      </c>
      <c r="K26" s="3">
        <f t="shared" si="0"/>
        <v>0.54931064825628007</v>
      </c>
      <c r="L26">
        <f t="shared" si="1"/>
        <v>0.98723404255319147</v>
      </c>
      <c r="M26">
        <f t="shared" si="2"/>
        <v>0.54229817189556162</v>
      </c>
      <c r="N26">
        <f t="shared" si="3"/>
        <v>0.85561192468182568</v>
      </c>
      <c r="O26">
        <f t="shared" si="4"/>
        <v>0.84468921926035556</v>
      </c>
    </row>
    <row r="27" spans="1:15" x14ac:dyDescent="0.25">
      <c r="A27" t="s">
        <v>27</v>
      </c>
      <c r="B27">
        <v>2015</v>
      </c>
      <c r="C27" t="s">
        <v>1</v>
      </c>
      <c r="D27">
        <v>2</v>
      </c>
      <c r="E27">
        <v>204</v>
      </c>
      <c r="F27">
        <v>2</v>
      </c>
      <c r="G27">
        <v>205</v>
      </c>
      <c r="H27">
        <v>1</v>
      </c>
      <c r="I27">
        <v>0.14000000000000001</v>
      </c>
      <c r="J27">
        <v>7.07</v>
      </c>
      <c r="K27" s="3">
        <f t="shared" si="0"/>
        <v>0</v>
      </c>
      <c r="L27">
        <f t="shared" si="1"/>
        <v>0.9981561155500922</v>
      </c>
      <c r="M27">
        <f t="shared" si="2"/>
        <v>0</v>
      </c>
      <c r="N27">
        <f t="shared" si="3"/>
        <v>0.55276431055943664</v>
      </c>
      <c r="O27">
        <f t="shared" si="4"/>
        <v>0.55174507704273212</v>
      </c>
    </row>
    <row r="28" spans="1:15" x14ac:dyDescent="0.25">
      <c r="A28" t="s">
        <v>28</v>
      </c>
      <c r="B28">
        <v>2015</v>
      </c>
      <c r="C28" t="s">
        <v>1</v>
      </c>
      <c r="D28">
        <v>15</v>
      </c>
      <c r="E28">
        <v>1130</v>
      </c>
      <c r="F28">
        <v>12</v>
      </c>
      <c r="G28">
        <v>1129</v>
      </c>
      <c r="H28">
        <v>1.25</v>
      </c>
      <c r="I28">
        <v>0.59</v>
      </c>
      <c r="J28">
        <v>2.66</v>
      </c>
      <c r="K28" s="3">
        <f t="shared" si="0"/>
        <v>-0.1232837300078507</v>
      </c>
      <c r="L28">
        <f t="shared" si="1"/>
        <v>0.99966766367563975</v>
      </c>
      <c r="M28">
        <f t="shared" si="2"/>
        <v>-0.12324275834616646</v>
      </c>
      <c r="N28">
        <f t="shared" si="3"/>
        <v>0.21225037558856408</v>
      </c>
      <c r="O28">
        <f t="shared" si="4"/>
        <v>0.2121798370788969</v>
      </c>
    </row>
    <row r="29" spans="1:15" x14ac:dyDescent="0.25">
      <c r="A29" t="s">
        <v>29</v>
      </c>
      <c r="B29">
        <v>2015</v>
      </c>
      <c r="C29" t="s">
        <v>1</v>
      </c>
      <c r="D29">
        <v>6</v>
      </c>
      <c r="E29">
        <v>122</v>
      </c>
      <c r="F29">
        <v>2</v>
      </c>
      <c r="G29">
        <v>118</v>
      </c>
      <c r="H29">
        <v>2.9</v>
      </c>
      <c r="I29">
        <v>0.6</v>
      </c>
      <c r="J29">
        <v>14.09</v>
      </c>
      <c r="K29" s="3">
        <f t="shared" si="0"/>
        <v>-0.58823797623891061</v>
      </c>
      <c r="L29">
        <f t="shared" si="1"/>
        <v>0.99684542586750791</v>
      </c>
      <c r="M29">
        <f t="shared" si="2"/>
        <v>-0.58638233593531786</v>
      </c>
      <c r="N29">
        <f t="shared" si="3"/>
        <v>0.44484876390751205</v>
      </c>
      <c r="O29">
        <f t="shared" si="4"/>
        <v>0.44344545550401832</v>
      </c>
    </row>
    <row r="30" spans="1:15" x14ac:dyDescent="0.25">
      <c r="A30" t="s">
        <v>30</v>
      </c>
      <c r="B30">
        <v>2016</v>
      </c>
      <c r="C30" t="s">
        <v>1</v>
      </c>
      <c r="D30">
        <v>1</v>
      </c>
      <c r="E30">
        <v>256</v>
      </c>
      <c r="F30">
        <v>2</v>
      </c>
      <c r="G30">
        <v>255</v>
      </c>
      <c r="H30">
        <v>0.5</v>
      </c>
      <c r="I30">
        <v>0.05</v>
      </c>
      <c r="J30">
        <v>5.46</v>
      </c>
      <c r="K30" s="3">
        <f t="shared" si="0"/>
        <v>0.38295424340328466</v>
      </c>
      <c r="L30">
        <f t="shared" si="1"/>
        <v>0.99852579852579848</v>
      </c>
      <c r="M30">
        <f t="shared" si="2"/>
        <v>0.38238969169310782</v>
      </c>
      <c r="N30">
        <f t="shared" si="3"/>
        <v>0.66145860064702966</v>
      </c>
      <c r="O30">
        <f t="shared" si="4"/>
        <v>0.66048347740283253</v>
      </c>
    </row>
    <row r="31" spans="1:15" x14ac:dyDescent="0.25">
      <c r="A31" t="s">
        <v>31</v>
      </c>
      <c r="B31">
        <v>2016</v>
      </c>
      <c r="C31" t="s">
        <v>1</v>
      </c>
      <c r="D31">
        <v>1</v>
      </c>
      <c r="E31">
        <v>237</v>
      </c>
      <c r="F31">
        <v>1</v>
      </c>
      <c r="G31">
        <v>237</v>
      </c>
      <c r="H31">
        <v>1</v>
      </c>
      <c r="I31">
        <v>0.06</v>
      </c>
      <c r="J31">
        <v>15.89</v>
      </c>
      <c r="K31" s="3">
        <f t="shared" si="0"/>
        <v>0</v>
      </c>
      <c r="L31">
        <f t="shared" si="1"/>
        <v>0.99841017488076311</v>
      </c>
      <c r="M31">
        <f t="shared" si="2"/>
        <v>0</v>
      </c>
      <c r="N31">
        <f t="shared" si="3"/>
        <v>0.78632042751559661</v>
      </c>
      <c r="O31">
        <f t="shared" si="4"/>
        <v>0.7850703155481632</v>
      </c>
    </row>
    <row r="32" spans="1:15" x14ac:dyDescent="0.25">
      <c r="A32" t="s">
        <v>32</v>
      </c>
      <c r="B32">
        <v>2016</v>
      </c>
      <c r="C32" t="s">
        <v>1</v>
      </c>
      <c r="D32">
        <v>1</v>
      </c>
      <c r="E32">
        <v>114</v>
      </c>
      <c r="F32">
        <v>2</v>
      </c>
      <c r="G32">
        <v>109</v>
      </c>
      <c r="H32">
        <v>0.48</v>
      </c>
      <c r="I32">
        <v>0.04</v>
      </c>
      <c r="J32">
        <v>5.2</v>
      </c>
      <c r="K32" s="3">
        <f t="shared" si="0"/>
        <v>0.40550783153602232</v>
      </c>
      <c r="L32">
        <f t="shared" si="1"/>
        <v>0.99660249150622882</v>
      </c>
      <c r="M32">
        <f t="shared" si="2"/>
        <v>0.40413011523408793</v>
      </c>
      <c r="N32">
        <f t="shared" si="3"/>
        <v>0.68603202875966607</v>
      </c>
      <c r="O32">
        <f t="shared" si="4"/>
        <v>0.68370122911495601</v>
      </c>
    </row>
    <row r="33" spans="1:15" x14ac:dyDescent="0.25">
      <c r="A33" t="s">
        <v>33</v>
      </c>
      <c r="B33">
        <v>2016</v>
      </c>
      <c r="C33" t="s">
        <v>1</v>
      </c>
      <c r="D33">
        <v>1</v>
      </c>
      <c r="E33">
        <v>209</v>
      </c>
      <c r="F33">
        <v>0</v>
      </c>
      <c r="G33">
        <v>204</v>
      </c>
      <c r="H33">
        <v>2.93</v>
      </c>
      <c r="I33">
        <v>0.12</v>
      </c>
      <c r="J33">
        <v>71.47</v>
      </c>
      <c r="K33" s="3">
        <f t="shared" si="0"/>
        <v>-0.59392399062374368</v>
      </c>
      <c r="L33">
        <f t="shared" si="1"/>
        <v>0.99817407181984175</v>
      </c>
      <c r="M33">
        <f t="shared" si="2"/>
        <v>-0.59283952807239171</v>
      </c>
      <c r="N33">
        <f t="shared" si="3"/>
        <v>0.90054421544593222</v>
      </c>
      <c r="O33">
        <f t="shared" si="4"/>
        <v>0.89889988638547103</v>
      </c>
    </row>
    <row r="34" spans="1:15" x14ac:dyDescent="0.25">
      <c r="A34" t="s">
        <v>34</v>
      </c>
      <c r="B34">
        <v>2017</v>
      </c>
      <c r="C34" t="s">
        <v>1</v>
      </c>
      <c r="D34">
        <v>65</v>
      </c>
      <c r="E34">
        <v>2558</v>
      </c>
      <c r="F34">
        <v>58</v>
      </c>
      <c r="G34">
        <v>2550</v>
      </c>
      <c r="H34">
        <v>1.1200000000000001</v>
      </c>
      <c r="I34">
        <v>0.79</v>
      </c>
      <c r="J34">
        <v>1.58</v>
      </c>
      <c r="K34" s="3">
        <f t="shared" si="0"/>
        <v>-6.2612533318786329E-2</v>
      </c>
      <c r="L34">
        <f t="shared" si="1"/>
        <v>0.99985310679136263</v>
      </c>
      <c r="M34">
        <f t="shared" si="2"/>
        <v>-6.2603335962866213E-2</v>
      </c>
      <c r="N34">
        <f t="shared" si="3"/>
        <v>9.7692409031450184E-2</v>
      </c>
      <c r="O34">
        <f t="shared" si="4"/>
        <v>9.7678058680028046E-2</v>
      </c>
    </row>
    <row r="35" spans="1:15" x14ac:dyDescent="0.25">
      <c r="A35" t="s">
        <v>35</v>
      </c>
      <c r="B35">
        <v>2017</v>
      </c>
      <c r="C35" t="s">
        <v>1</v>
      </c>
      <c r="D35">
        <v>0</v>
      </c>
      <c r="E35">
        <v>66</v>
      </c>
      <c r="F35">
        <v>1</v>
      </c>
      <c r="G35">
        <v>64</v>
      </c>
      <c r="H35">
        <v>0.32</v>
      </c>
      <c r="I35">
        <v>0.01</v>
      </c>
      <c r="J35">
        <v>7.79</v>
      </c>
      <c r="K35" s="3">
        <f t="shared" si="0"/>
        <v>0.62952170341898606</v>
      </c>
      <c r="L35">
        <f t="shared" si="1"/>
        <v>0.9941291585127201</v>
      </c>
      <c r="M35">
        <f t="shared" si="2"/>
        <v>0.62582588128541072</v>
      </c>
      <c r="N35">
        <f t="shared" si="3"/>
        <v>0.9383824340216973</v>
      </c>
      <c r="O35">
        <f t="shared" si="4"/>
        <v>0.93287333949710805</v>
      </c>
    </row>
    <row r="36" spans="1:15" x14ac:dyDescent="0.25">
      <c r="A36" t="s">
        <v>36</v>
      </c>
      <c r="B36">
        <v>2017</v>
      </c>
      <c r="C36" t="s">
        <v>1</v>
      </c>
      <c r="D36">
        <v>0</v>
      </c>
      <c r="E36">
        <v>204</v>
      </c>
      <c r="F36">
        <v>3</v>
      </c>
      <c r="G36">
        <v>101</v>
      </c>
      <c r="H36">
        <v>7.0000000000000007E-2</v>
      </c>
      <c r="I36" s="4">
        <v>1E-3</v>
      </c>
      <c r="J36">
        <v>1.36</v>
      </c>
      <c r="K36" s="3">
        <f t="shared" si="0"/>
        <v>1.4692044402943525</v>
      </c>
      <c r="L36">
        <f t="shared" si="1"/>
        <v>0.99752270850536751</v>
      </c>
      <c r="M36">
        <f t="shared" si="2"/>
        <v>1.4655647926305351</v>
      </c>
      <c r="N36">
        <f t="shared" si="3"/>
        <v>1.0169184771014343</v>
      </c>
      <c r="O36">
        <f t="shared" si="4"/>
        <v>1.0143992736073764</v>
      </c>
    </row>
    <row r="37" spans="1:15" x14ac:dyDescent="0.25">
      <c r="A37" t="s">
        <v>37</v>
      </c>
      <c r="B37">
        <v>2017</v>
      </c>
      <c r="C37" t="s">
        <v>1</v>
      </c>
      <c r="D37">
        <v>39</v>
      </c>
      <c r="E37">
        <v>199</v>
      </c>
      <c r="F37">
        <v>36</v>
      </c>
      <c r="G37">
        <v>201</v>
      </c>
      <c r="H37">
        <v>1.0900000000000001</v>
      </c>
      <c r="I37">
        <v>0.73</v>
      </c>
      <c r="J37">
        <v>1.65</v>
      </c>
      <c r="K37" s="3">
        <f t="shared" si="0"/>
        <v>-4.7611986873509621E-2</v>
      </c>
      <c r="L37">
        <f t="shared" si="1"/>
        <v>0.99811439346323072</v>
      </c>
      <c r="M37">
        <f t="shared" si="2"/>
        <v>-4.7522209399832357E-2</v>
      </c>
      <c r="N37">
        <f t="shared" si="3"/>
        <v>0.11493489017253768</v>
      </c>
      <c r="O37">
        <f t="shared" si="4"/>
        <v>0.11471816819232548</v>
      </c>
    </row>
    <row r="38" spans="1:15" x14ac:dyDescent="0.25">
      <c r="A38" t="s">
        <v>38</v>
      </c>
      <c r="B38">
        <v>2018</v>
      </c>
      <c r="C38" t="s">
        <v>1</v>
      </c>
      <c r="D38">
        <v>485</v>
      </c>
      <c r="E38" s="1">
        <v>12927</v>
      </c>
      <c r="F38">
        <v>493</v>
      </c>
      <c r="G38" s="1">
        <v>12944</v>
      </c>
      <c r="H38">
        <v>0.99</v>
      </c>
      <c r="I38">
        <v>0.87</v>
      </c>
      <c r="J38">
        <v>1.1100000000000001</v>
      </c>
      <c r="K38" s="3">
        <f t="shared" si="0"/>
        <v>5.5526717422659947E-3</v>
      </c>
      <c r="L38">
        <f t="shared" si="1"/>
        <v>0.99997100748973178</v>
      </c>
      <c r="M38">
        <f t="shared" si="2"/>
        <v>5.5525107563734908E-3</v>
      </c>
      <c r="N38">
        <f t="shared" si="3"/>
        <v>3.4336182582274007E-2</v>
      </c>
      <c r="O38">
        <f t="shared" si="4"/>
        <v>3.433518709014792E-2</v>
      </c>
    </row>
    <row r="39" spans="1:15" x14ac:dyDescent="0.25">
      <c r="A39" t="s">
        <v>39</v>
      </c>
      <c r="B39">
        <v>2018</v>
      </c>
      <c r="C39" t="s">
        <v>1</v>
      </c>
      <c r="D39">
        <v>12</v>
      </c>
      <c r="E39">
        <v>77</v>
      </c>
      <c r="F39">
        <v>12</v>
      </c>
      <c r="G39">
        <v>78</v>
      </c>
      <c r="H39">
        <v>1.01</v>
      </c>
      <c r="I39">
        <v>0.49</v>
      </c>
      <c r="J39">
        <v>2.11</v>
      </c>
      <c r="K39" s="3">
        <f t="shared" si="0"/>
        <v>-5.4974203608663492E-3</v>
      </c>
      <c r="L39">
        <f t="shared" si="1"/>
        <v>0.9950900163666121</v>
      </c>
      <c r="M39">
        <f t="shared" si="2"/>
        <v>-5.4704281168686418E-3</v>
      </c>
      <c r="N39">
        <f t="shared" si="3"/>
        <v>0.20577824943136766</v>
      </c>
      <c r="O39">
        <f t="shared" si="4"/>
        <v>0.20476788159455242</v>
      </c>
    </row>
    <row r="40" spans="1:15" x14ac:dyDescent="0.25">
      <c r="A40" t="s">
        <v>40</v>
      </c>
      <c r="B40">
        <v>2018</v>
      </c>
      <c r="C40" t="s">
        <v>1</v>
      </c>
      <c r="D40">
        <v>0</v>
      </c>
      <c r="E40">
        <v>130</v>
      </c>
      <c r="F40">
        <v>1</v>
      </c>
      <c r="G40">
        <v>130</v>
      </c>
      <c r="H40">
        <v>0.33</v>
      </c>
      <c r="I40">
        <v>0.01</v>
      </c>
      <c r="J40">
        <v>8.11</v>
      </c>
      <c r="K40" s="3">
        <f t="shared" si="0"/>
        <v>0.61252078702851442</v>
      </c>
      <c r="L40">
        <f t="shared" si="1"/>
        <v>0.99709020368574197</v>
      </c>
      <c r="M40">
        <f t="shared" si="2"/>
        <v>0.61073847630001243</v>
      </c>
      <c r="N40">
        <f t="shared" si="3"/>
        <v>0.94405627101637901</v>
      </c>
      <c r="O40">
        <f t="shared" si="4"/>
        <v>0.9413092595585234</v>
      </c>
    </row>
    <row r="41" spans="1:15" x14ac:dyDescent="0.25">
      <c r="A41" t="s">
        <v>41</v>
      </c>
      <c r="B41">
        <v>1985</v>
      </c>
      <c r="C41" t="s">
        <v>2</v>
      </c>
      <c r="D41">
        <v>8</v>
      </c>
      <c r="E41">
        <v>41</v>
      </c>
      <c r="F41">
        <v>8</v>
      </c>
      <c r="G41">
        <v>41</v>
      </c>
      <c r="H41">
        <v>1</v>
      </c>
      <c r="I41">
        <v>0.42</v>
      </c>
      <c r="J41">
        <v>2.41</v>
      </c>
      <c r="K41" s="3">
        <f t="shared" si="0"/>
        <v>0</v>
      </c>
      <c r="L41">
        <f t="shared" si="1"/>
        <v>0.99059561128526641</v>
      </c>
      <c r="M41">
        <f t="shared" si="2"/>
        <v>0</v>
      </c>
      <c r="N41">
        <f t="shared" si="3"/>
        <v>0.24624074236205981</v>
      </c>
      <c r="O41">
        <f t="shared" si="4"/>
        <v>0.24392499870348244</v>
      </c>
    </row>
    <row r="42" spans="1:15" x14ac:dyDescent="0.25">
      <c r="A42" t="s">
        <v>42</v>
      </c>
      <c r="B42">
        <v>2003</v>
      </c>
      <c r="C42" t="s">
        <v>2</v>
      </c>
      <c r="D42">
        <v>0</v>
      </c>
      <c r="E42">
        <v>93</v>
      </c>
      <c r="F42">
        <v>1</v>
      </c>
      <c r="G42">
        <v>94</v>
      </c>
      <c r="H42">
        <v>0.34</v>
      </c>
      <c r="I42">
        <v>0.01</v>
      </c>
      <c r="J42">
        <v>8.16</v>
      </c>
      <c r="K42" s="3">
        <f t="shared" si="0"/>
        <v>0.59602743722206064</v>
      </c>
      <c r="L42">
        <f t="shared" si="1"/>
        <v>0.99594046008119075</v>
      </c>
      <c r="M42">
        <f t="shared" si="2"/>
        <v>0.59360784004795208</v>
      </c>
      <c r="N42">
        <f t="shared" si="3"/>
        <v>0.94492253283404359</v>
      </c>
      <c r="O42">
        <f t="shared" si="4"/>
        <v>0.9410865820918215</v>
      </c>
    </row>
    <row r="43" spans="1:15" x14ac:dyDescent="0.25">
      <c r="A43" t="s">
        <v>43</v>
      </c>
      <c r="B43">
        <v>2004</v>
      </c>
      <c r="C43" t="s">
        <v>2</v>
      </c>
      <c r="D43">
        <v>7</v>
      </c>
      <c r="E43">
        <v>32</v>
      </c>
      <c r="F43">
        <v>5</v>
      </c>
      <c r="G43">
        <v>36</v>
      </c>
      <c r="H43">
        <v>1.57</v>
      </c>
      <c r="I43">
        <v>0.55000000000000004</v>
      </c>
      <c r="J43">
        <v>4.47</v>
      </c>
      <c r="K43" s="3">
        <f t="shared" si="0"/>
        <v>-0.24921304937028549</v>
      </c>
      <c r="L43">
        <f t="shared" si="1"/>
        <v>0.98859315589353614</v>
      </c>
      <c r="M43">
        <f t="shared" si="2"/>
        <v>-0.24637031496682216</v>
      </c>
      <c r="N43">
        <f t="shared" si="3"/>
        <v>0.29530181099632113</v>
      </c>
      <c r="O43">
        <f t="shared" si="4"/>
        <v>0.29193334927392967</v>
      </c>
    </row>
    <row r="44" spans="1:15" x14ac:dyDescent="0.25">
      <c r="A44" t="s">
        <v>44</v>
      </c>
      <c r="B44">
        <v>2006</v>
      </c>
      <c r="C44" t="s">
        <v>2</v>
      </c>
      <c r="D44">
        <v>347</v>
      </c>
      <c r="E44">
        <v>1762</v>
      </c>
      <c r="F44">
        <v>322</v>
      </c>
      <c r="G44">
        <v>1955</v>
      </c>
      <c r="H44">
        <v>1.2</v>
      </c>
      <c r="I44">
        <v>1.04</v>
      </c>
      <c r="J44">
        <v>1.37</v>
      </c>
      <c r="K44" s="3">
        <f t="shared" si="0"/>
        <v>-0.10073014187511303</v>
      </c>
      <c r="L44">
        <f t="shared" si="1"/>
        <v>0.99979810216030685</v>
      </c>
      <c r="M44">
        <f t="shared" si="2"/>
        <v>-0.10070980467707646</v>
      </c>
      <c r="N44">
        <f t="shared" si="3"/>
        <v>3.8841755931721761E-2</v>
      </c>
      <c r="O44">
        <f t="shared" si="4"/>
        <v>3.883391386510926E-2</v>
      </c>
    </row>
    <row r="45" spans="1:15" x14ac:dyDescent="0.25">
      <c r="A45" t="s">
        <v>45</v>
      </c>
      <c r="B45">
        <v>2007</v>
      </c>
      <c r="C45" t="s">
        <v>2</v>
      </c>
      <c r="D45">
        <v>5</v>
      </c>
      <c r="E45">
        <v>99</v>
      </c>
      <c r="F45">
        <v>2</v>
      </c>
      <c r="G45">
        <v>25</v>
      </c>
      <c r="H45">
        <v>0.63</v>
      </c>
      <c r="I45">
        <v>0.13</v>
      </c>
      <c r="J45">
        <v>3.07</v>
      </c>
      <c r="K45" s="3">
        <f t="shared" si="0"/>
        <v>0.2552682097218556</v>
      </c>
      <c r="L45">
        <f t="shared" si="1"/>
        <v>0.99383983572895274</v>
      </c>
      <c r="M45">
        <f t="shared" si="2"/>
        <v>0.25369571561679283</v>
      </c>
      <c r="N45">
        <f t="shared" si="3"/>
        <v>0.44563907854967588</v>
      </c>
      <c r="O45">
        <f t="shared" si="4"/>
        <v>0.44289386862021174</v>
      </c>
    </row>
    <row r="46" spans="1:15" x14ac:dyDescent="0.25">
      <c r="A46" t="s">
        <v>46</v>
      </c>
      <c r="B46">
        <v>2007</v>
      </c>
      <c r="C46" t="s">
        <v>2</v>
      </c>
      <c r="D46">
        <v>355</v>
      </c>
      <c r="E46">
        <v>4727</v>
      </c>
      <c r="F46">
        <v>354</v>
      </c>
      <c r="G46">
        <v>4713</v>
      </c>
      <c r="H46">
        <v>1</v>
      </c>
      <c r="I46">
        <v>0.87</v>
      </c>
      <c r="J46">
        <v>1.1499999999999999</v>
      </c>
      <c r="K46" s="3">
        <f t="shared" si="0"/>
        <v>0</v>
      </c>
      <c r="L46">
        <f t="shared" si="1"/>
        <v>0.99992053190643959</v>
      </c>
      <c r="M46">
        <f t="shared" si="2"/>
        <v>0</v>
      </c>
      <c r="N46">
        <f t="shared" si="3"/>
        <v>3.9325742714605122E-2</v>
      </c>
      <c r="O46">
        <f t="shared" si="4"/>
        <v>3.9322617572803746E-2</v>
      </c>
    </row>
    <row r="47" spans="1:15" x14ac:dyDescent="0.25">
      <c r="A47" t="s">
        <v>47</v>
      </c>
      <c r="B47">
        <v>2007</v>
      </c>
      <c r="C47" t="s">
        <v>2</v>
      </c>
      <c r="D47">
        <v>947</v>
      </c>
      <c r="E47">
        <v>1725</v>
      </c>
      <c r="F47">
        <v>953</v>
      </c>
      <c r="G47">
        <v>1715</v>
      </c>
      <c r="H47">
        <v>0.99</v>
      </c>
      <c r="I47">
        <v>0.93</v>
      </c>
      <c r="J47">
        <v>1.05</v>
      </c>
      <c r="K47" s="3">
        <f t="shared" si="0"/>
        <v>5.5526717422659947E-3</v>
      </c>
      <c r="L47">
        <f t="shared" si="1"/>
        <v>0.99978183404843279</v>
      </c>
      <c r="M47">
        <f t="shared" si="2"/>
        <v>5.5514603383516031E-3</v>
      </c>
      <c r="N47">
        <f t="shared" si="3"/>
        <v>1.710464215304254E-2</v>
      </c>
      <c r="O47">
        <f t="shared" si="4"/>
        <v>1.7100910502511005E-2</v>
      </c>
    </row>
    <row r="48" spans="1:15" x14ac:dyDescent="0.25">
      <c r="A48" t="s">
        <v>48</v>
      </c>
      <c r="B48">
        <v>2008</v>
      </c>
      <c r="C48" t="s">
        <v>2</v>
      </c>
      <c r="D48">
        <v>0</v>
      </c>
      <c r="E48">
        <v>151</v>
      </c>
      <c r="F48">
        <v>1</v>
      </c>
      <c r="G48">
        <v>151</v>
      </c>
      <c r="H48">
        <v>0.33</v>
      </c>
      <c r="I48">
        <v>0.01</v>
      </c>
      <c r="J48">
        <v>8.1199999999999992</v>
      </c>
      <c r="K48" s="3">
        <f t="shared" si="0"/>
        <v>0.61252078702851442</v>
      </c>
      <c r="L48">
        <f t="shared" si="1"/>
        <v>0.99749791492910755</v>
      </c>
      <c r="M48">
        <f t="shared" si="2"/>
        <v>0.61098820791167907</v>
      </c>
      <c r="N48">
        <f t="shared" si="3"/>
        <v>0.94422994984802078</v>
      </c>
      <c r="O48">
        <f t="shared" si="4"/>
        <v>0.94186740618701648</v>
      </c>
    </row>
    <row r="49" spans="1:15" x14ac:dyDescent="0.25">
      <c r="A49" t="s">
        <v>24</v>
      </c>
      <c r="B49">
        <v>2010</v>
      </c>
      <c r="C49" t="s">
        <v>2</v>
      </c>
      <c r="D49">
        <v>4</v>
      </c>
      <c r="E49">
        <v>53</v>
      </c>
      <c r="F49">
        <v>2</v>
      </c>
      <c r="G49">
        <v>52</v>
      </c>
      <c r="H49">
        <v>1.96</v>
      </c>
      <c r="I49">
        <v>0.38</v>
      </c>
      <c r="J49">
        <v>10.26</v>
      </c>
      <c r="K49" s="3">
        <f t="shared" si="0"/>
        <v>-0.37179252665327389</v>
      </c>
      <c r="L49">
        <f t="shared" si="1"/>
        <v>0.99270072992700731</v>
      </c>
      <c r="M49">
        <f t="shared" si="2"/>
        <v>-0.36907871259011132</v>
      </c>
      <c r="N49">
        <f t="shared" si="3"/>
        <v>0.46451641475988403</v>
      </c>
      <c r="O49">
        <f t="shared" si="4"/>
        <v>0.46112578399521337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2026-04-25T23:44:47Z</dcterms:modified>
</cp:coreProperties>
</file>