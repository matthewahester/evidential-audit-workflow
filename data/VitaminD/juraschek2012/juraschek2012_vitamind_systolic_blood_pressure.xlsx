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juraschek2012\"/>
    </mc:Choice>
  </mc:AlternateContent>
  <xr:revisionPtr revIDLastSave="0" documentId="13_ncr:1_{83572099-BA0F-4E23-AA63-636DE585A9E1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11" i="1"/>
  <c r="P3" i="1" l="1"/>
  <c r="P4" i="1"/>
  <c r="P5" i="1"/>
  <c r="P6" i="1"/>
  <c r="P7" i="1"/>
  <c r="P8" i="1"/>
  <c r="P9" i="1"/>
  <c r="P10" i="1"/>
  <c r="P2" i="1"/>
  <c r="L32" i="1"/>
  <c r="L31" i="1"/>
  <c r="L30" i="1"/>
  <c r="L29" i="1"/>
  <c r="L28" i="1"/>
  <c r="L27" i="1"/>
  <c r="L26" i="1"/>
  <c r="L25" i="1"/>
  <c r="M25" i="1" s="1"/>
  <c r="N25" i="1" s="1"/>
  <c r="L24" i="1"/>
  <c r="M24" i="1" s="1"/>
  <c r="N24" i="1" s="1"/>
  <c r="L23" i="1"/>
  <c r="M23" i="1" s="1"/>
  <c r="N23" i="1" s="1"/>
  <c r="L22" i="1"/>
  <c r="L21" i="1"/>
  <c r="L20" i="1"/>
  <c r="M20" i="1" s="1"/>
  <c r="N20" i="1" s="1"/>
  <c r="O20" i="1" s="1"/>
  <c r="Q20" i="1" s="1"/>
  <c r="L19" i="1"/>
  <c r="L18" i="1"/>
  <c r="L17" i="1"/>
  <c r="L16" i="1"/>
  <c r="L15" i="1"/>
  <c r="L14" i="1"/>
  <c r="L13" i="1"/>
  <c r="M13" i="1" s="1"/>
  <c r="N13" i="1" s="1"/>
  <c r="L12" i="1"/>
  <c r="M12" i="1" s="1"/>
  <c r="N12" i="1" s="1"/>
  <c r="L11" i="1"/>
  <c r="M11" i="1" s="1"/>
  <c r="N11" i="1" s="1"/>
  <c r="L10" i="1"/>
  <c r="L9" i="1"/>
  <c r="M9" i="1" s="1"/>
  <c r="N9" i="1" s="1"/>
  <c r="O9" i="1" s="1"/>
  <c r="L8" i="1"/>
  <c r="L7" i="1"/>
  <c r="M7" i="1" s="1"/>
  <c r="N7" i="1" s="1"/>
  <c r="O7" i="1" s="1"/>
  <c r="L6" i="1"/>
  <c r="L5" i="1"/>
  <c r="L4" i="1"/>
  <c r="L3" i="1"/>
  <c r="L2" i="1"/>
  <c r="K3" i="1"/>
  <c r="K4" i="1"/>
  <c r="K5" i="1"/>
  <c r="K6" i="1"/>
  <c r="K7" i="1"/>
  <c r="K8" i="1"/>
  <c r="M8" i="1" s="1"/>
  <c r="N8" i="1" s="1"/>
  <c r="K9" i="1"/>
  <c r="K10" i="1"/>
  <c r="K11" i="1"/>
  <c r="K12" i="1"/>
  <c r="K13" i="1"/>
  <c r="K14" i="1"/>
  <c r="K15" i="1"/>
  <c r="K16" i="1"/>
  <c r="M16" i="1" s="1"/>
  <c r="N16" i="1" s="1"/>
  <c r="O16" i="1" s="1"/>
  <c r="Q16" i="1" s="1"/>
  <c r="K17" i="1"/>
  <c r="K18" i="1"/>
  <c r="K19" i="1"/>
  <c r="K20" i="1"/>
  <c r="K21" i="1"/>
  <c r="K22" i="1"/>
  <c r="K23" i="1"/>
  <c r="K24" i="1"/>
  <c r="K25" i="1"/>
  <c r="K26" i="1"/>
  <c r="K27" i="1"/>
  <c r="K28" i="1"/>
  <c r="M28" i="1" s="1"/>
  <c r="N28" i="1" s="1"/>
  <c r="O28" i="1" s="1"/>
  <c r="Q28" i="1" s="1"/>
  <c r="K29" i="1"/>
  <c r="K30" i="1"/>
  <c r="K31" i="1"/>
  <c r="K32" i="1"/>
  <c r="K2" i="1"/>
  <c r="M2" i="1" s="1"/>
  <c r="N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M21" i="1" l="1"/>
  <c r="N21" i="1" s="1"/>
  <c r="O24" i="1"/>
  <c r="Q24" i="1" s="1"/>
  <c r="O25" i="1"/>
  <c r="Q25" i="1" s="1"/>
  <c r="O12" i="1"/>
  <c r="Q12" i="1" s="1"/>
  <c r="M3" i="1"/>
  <c r="N3" i="1" s="1"/>
  <c r="O3" i="1" s="1"/>
  <c r="M32" i="1"/>
  <c r="N32" i="1" s="1"/>
  <c r="O32" i="1" s="1"/>
  <c r="Q32" i="1" s="1"/>
  <c r="O13" i="1"/>
  <c r="Q13" i="1" s="1"/>
  <c r="M22" i="1"/>
  <c r="N22" i="1" s="1"/>
  <c r="M6" i="1"/>
  <c r="N6" i="1" s="1"/>
  <c r="O6" i="1" s="1"/>
  <c r="M18" i="1"/>
  <c r="N18" i="1" s="1"/>
  <c r="O18" i="1" s="1"/>
  <c r="Q18" i="1" s="1"/>
  <c r="M30" i="1"/>
  <c r="N30" i="1" s="1"/>
  <c r="O30" i="1" s="1"/>
  <c r="Q30" i="1" s="1"/>
  <c r="O2" i="1"/>
  <c r="Q2" i="1" s="1"/>
  <c r="M14" i="1"/>
  <c r="N14" i="1" s="1"/>
  <c r="M26" i="1"/>
  <c r="N26" i="1" s="1"/>
  <c r="M15" i="1"/>
  <c r="N15" i="1" s="1"/>
  <c r="O15" i="1" s="1"/>
  <c r="Q15" i="1" s="1"/>
  <c r="M27" i="1"/>
  <c r="N27" i="1" s="1"/>
  <c r="O27" i="1" s="1"/>
  <c r="Q27" i="1" s="1"/>
  <c r="M4" i="1"/>
  <c r="N4" i="1" s="1"/>
  <c r="O4" i="1" s="1"/>
  <c r="Q4" i="1" s="1"/>
  <c r="M5" i="1"/>
  <c r="N5" i="1" s="1"/>
  <c r="O5" i="1" s="1"/>
  <c r="M17" i="1"/>
  <c r="N17" i="1" s="1"/>
  <c r="M29" i="1"/>
  <c r="N29" i="1" s="1"/>
  <c r="O29" i="1" s="1"/>
  <c r="Q29" i="1" s="1"/>
  <c r="O22" i="1"/>
  <c r="Q22" i="1" s="1"/>
  <c r="M19" i="1"/>
  <c r="N19" i="1" s="1"/>
  <c r="O19" i="1" s="1"/>
  <c r="Q19" i="1" s="1"/>
  <c r="M31" i="1"/>
  <c r="N31" i="1" s="1"/>
  <c r="O31" i="1" s="1"/>
  <c r="Q31" i="1" s="1"/>
  <c r="O8" i="1"/>
  <c r="M10" i="1"/>
  <c r="N10" i="1" s="1"/>
  <c r="O10" i="1" s="1"/>
  <c r="Q10" i="1" s="1"/>
  <c r="O14" i="1"/>
  <c r="Q14" i="1" s="1"/>
  <c r="Q7" i="1"/>
  <c r="O26" i="1"/>
  <c r="Q26" i="1" s="1"/>
  <c r="O11" i="1"/>
  <c r="Q11" i="1" s="1"/>
  <c r="O23" i="1"/>
  <c r="Q23" i="1" s="1"/>
  <c r="O21" i="1"/>
  <c r="Q21" i="1" s="1"/>
  <c r="O17" i="1"/>
  <c r="Q17" i="1" s="1"/>
  <c r="Q5" i="1"/>
  <c r="Q8" i="1"/>
  <c r="Q6" i="1"/>
  <c r="Q9" i="1"/>
  <c r="Q3" i="1"/>
</calcChain>
</file>

<file path=xl/sharedStrings.xml><?xml version="1.0" encoding="utf-8"?>
<sst xmlns="http://schemas.openxmlformats.org/spreadsheetml/2006/main" count="80" uniqueCount="47">
  <si>
    <t>author</t>
  </si>
  <si>
    <t>year</t>
  </si>
  <si>
    <t>n_t</t>
  </si>
  <si>
    <t>n_c</t>
  </si>
  <si>
    <t>n</t>
  </si>
  <si>
    <t>lCI</t>
  </si>
  <si>
    <t>uCI</t>
  </si>
  <si>
    <t>trial_type</t>
  </si>
  <si>
    <t>Hypertensive</t>
  </si>
  <si>
    <t>Non-hypertensive</t>
  </si>
  <si>
    <t>md_neg</t>
  </si>
  <si>
    <t>lCI_neg</t>
  </si>
  <si>
    <t>uCI_neg</t>
  </si>
  <si>
    <t>md</t>
  </si>
  <si>
    <t>pooled_sd</t>
  </si>
  <si>
    <t>d</t>
  </si>
  <si>
    <t>J</t>
  </si>
  <si>
    <t>g</t>
  </si>
  <si>
    <t>se_g</t>
  </si>
  <si>
    <t>se_md</t>
  </si>
  <si>
    <t>Hutchen</t>
  </si>
  <si>
    <t>Keith</t>
  </si>
  <si>
    <t>Galley</t>
  </si>
  <si>
    <t>Osilesi</t>
  </si>
  <si>
    <t>Gaede</t>
  </si>
  <si>
    <t>Plantinga</t>
  </si>
  <si>
    <t>Fotherby</t>
  </si>
  <si>
    <t>Shargorodsky</t>
  </si>
  <si>
    <t>Farah</t>
  </si>
  <si>
    <t>Rodrigo</t>
  </si>
  <si>
    <t>Mahajan</t>
  </si>
  <si>
    <t>Ward</t>
  </si>
  <si>
    <t>Magen</t>
  </si>
  <si>
    <t>Mullan</t>
  </si>
  <si>
    <t>Duffy</t>
  </si>
  <si>
    <t>Ghosh</t>
  </si>
  <si>
    <t>Salonen</t>
  </si>
  <si>
    <t>Farvid</t>
  </si>
  <si>
    <t>Wang</t>
  </si>
  <si>
    <t>Nightingale</t>
  </si>
  <si>
    <t>Schutte</t>
  </si>
  <si>
    <t>Block</t>
  </si>
  <si>
    <t>Brody</t>
  </si>
  <si>
    <t>Darko</t>
  </si>
  <si>
    <t>Singh</t>
  </si>
  <si>
    <t>Title</t>
  </si>
  <si>
    <t>Gokce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</si>
</sst>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M12" sqref="M12"/>
    </sheetView>
  </sheetViews>
  <sheetFormatPr defaultRowHeight="15" x14ac:dyDescent="0.25"/>
  <cols>
    <col min="1" max="1" width="17.42578125" bestFit="1" customWidth="1"/>
    <col min="2" max="2" width="5" bestFit="1" customWidth="1"/>
    <col min="3" max="3" width="3.85546875" bestFit="1" customWidth="1"/>
    <col min="4" max="4" width="4" bestFit="1" customWidth="1"/>
    <col min="5" max="5" width="3" bestFit="1" customWidth="1"/>
    <col min="6" max="7" width="6.7109375" bestFit="1" customWidth="1"/>
    <col min="8" max="8" width="6" bestFit="1" customWidth="1"/>
    <col min="9" max="9" width="1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7</v>
      </c>
      <c r="J1" t="s">
        <v>13</v>
      </c>
      <c r="K1" t="s">
        <v>5</v>
      </c>
      <c r="L1" t="s">
        <v>6</v>
      </c>
      <c r="M1" t="s">
        <v>19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</v>
      </c>
      <c r="B2">
        <v>2005</v>
      </c>
      <c r="E2">
        <v>8</v>
      </c>
      <c r="F2">
        <v>0</v>
      </c>
      <c r="G2">
        <v>-15.72</v>
      </c>
      <c r="H2">
        <v>15.72</v>
      </c>
      <c r="I2" t="s">
        <v>9</v>
      </c>
      <c r="J2">
        <f>-F2</f>
        <v>0</v>
      </c>
      <c r="K2">
        <f>-H2</f>
        <v>-15.72</v>
      </c>
      <c r="L2">
        <f>-G2</f>
        <v>15.72</v>
      </c>
      <c r="M2">
        <f>(L2-K2)/2/1.96</f>
        <v>8.0204081632653068</v>
      </c>
      <c r="N2">
        <f>M2*SQRT(E2)</f>
        <v>22.685140000515364</v>
      </c>
      <c r="O2">
        <f>J2/N2</f>
        <v>0</v>
      </c>
      <c r="P2">
        <f>1-3/(4*(E2-1)-1)</f>
        <v>0.88888888888888884</v>
      </c>
      <c r="Q2">
        <f>P2*O2</f>
        <v>0</v>
      </c>
      <c r="R2">
        <f>P2*M2/N2</f>
        <v>0.31426968052735443</v>
      </c>
    </row>
    <row r="3" spans="1:18" x14ac:dyDescent="0.25">
      <c r="A3" t="s">
        <v>21</v>
      </c>
      <c r="B3">
        <v>1982</v>
      </c>
      <c r="E3">
        <v>10</v>
      </c>
      <c r="F3">
        <v>-5</v>
      </c>
      <c r="G3">
        <v>-8.94</v>
      </c>
      <c r="H3">
        <v>-1.06</v>
      </c>
      <c r="I3" t="s">
        <v>9</v>
      </c>
      <c r="J3">
        <f t="shared" ref="J3:J32" si="0">-F3</f>
        <v>5</v>
      </c>
      <c r="K3">
        <f t="shared" ref="K3:K32" si="1">-H3</f>
        <v>1.06</v>
      </c>
      <c r="L3">
        <f t="shared" ref="L3:L32" si="2">-G3</f>
        <v>8.94</v>
      </c>
      <c r="M3">
        <f t="shared" ref="M3:M32" si="3">(L3-K3)/2/1.96</f>
        <v>2.010204081632653</v>
      </c>
      <c r="N3">
        <f t="shared" ref="N3:N10" si="4">M3*SQRT(E3)</f>
        <v>6.3568234597262316</v>
      </c>
      <c r="O3">
        <f t="shared" ref="O3:O10" si="5">J3/N3</f>
        <v>0.78655637232614517</v>
      </c>
      <c r="P3">
        <f t="shared" ref="P3:P10" si="6">1-3/(4*(E3-1)-1)</f>
        <v>0.91428571428571426</v>
      </c>
      <c r="Q3">
        <f t="shared" ref="Q3:Q11" si="7">P3*O3</f>
        <v>0.7191372546981899</v>
      </c>
      <c r="R3">
        <f>P3*M3/N3</f>
        <v>0.28912252892968038</v>
      </c>
    </row>
    <row r="4" spans="1:18" x14ac:dyDescent="0.25">
      <c r="A4" t="s">
        <v>21</v>
      </c>
      <c r="B4">
        <v>1982</v>
      </c>
      <c r="E4">
        <v>12</v>
      </c>
      <c r="F4">
        <v>-2</v>
      </c>
      <c r="G4">
        <v>-4.3899999999999997</v>
      </c>
      <c r="H4">
        <v>0.39</v>
      </c>
      <c r="I4" t="s">
        <v>9</v>
      </c>
      <c r="J4">
        <f t="shared" si="0"/>
        <v>2</v>
      </c>
      <c r="K4">
        <f t="shared" si="1"/>
        <v>-0.39</v>
      </c>
      <c r="L4">
        <f t="shared" si="2"/>
        <v>4.3899999999999997</v>
      </c>
      <c r="M4">
        <f t="shared" si="3"/>
        <v>1.2193877551020407</v>
      </c>
      <c r="N4">
        <f t="shared" si="4"/>
        <v>4.22408309192818</v>
      </c>
      <c r="O4">
        <f t="shared" si="5"/>
        <v>0.47347553456555086</v>
      </c>
      <c r="P4">
        <f t="shared" si="6"/>
        <v>0.93023255813953487</v>
      </c>
      <c r="Q4">
        <f t="shared" si="7"/>
        <v>0.44044235773539614</v>
      </c>
      <c r="R4">
        <f>P4*M4/N4</f>
        <v>0.26853500892540733</v>
      </c>
    </row>
    <row r="5" spans="1:18" x14ac:dyDescent="0.25">
      <c r="A5" t="s">
        <v>22</v>
      </c>
      <c r="B5">
        <v>1997</v>
      </c>
      <c r="E5">
        <v>17</v>
      </c>
      <c r="F5">
        <v>-3.17</v>
      </c>
      <c r="G5">
        <v>-6.44</v>
      </c>
      <c r="H5">
        <v>0.1</v>
      </c>
      <c r="I5" t="s">
        <v>9</v>
      </c>
      <c r="J5">
        <f t="shared" si="0"/>
        <v>3.17</v>
      </c>
      <c r="K5">
        <f t="shared" si="1"/>
        <v>-0.1</v>
      </c>
      <c r="L5">
        <f t="shared" si="2"/>
        <v>6.44</v>
      </c>
      <c r="M5">
        <f t="shared" si="3"/>
        <v>1.6683673469387756</v>
      </c>
      <c r="N5">
        <f t="shared" si="4"/>
        <v>6.8788547937600768</v>
      </c>
      <c r="O5">
        <f t="shared" si="5"/>
        <v>0.46083252155221527</v>
      </c>
      <c r="P5">
        <f t="shared" si="6"/>
        <v>0.95238095238095233</v>
      </c>
      <c r="Q5">
        <f t="shared" si="7"/>
        <v>0.43888811576401454</v>
      </c>
      <c r="R5">
        <f>P5*M5/N5</f>
        <v>0.23098630955841237</v>
      </c>
    </row>
    <row r="6" spans="1:18" x14ac:dyDescent="0.25">
      <c r="A6" t="s">
        <v>23</v>
      </c>
      <c r="B6">
        <v>1991</v>
      </c>
      <c r="E6">
        <v>20</v>
      </c>
      <c r="F6">
        <v>-6.3</v>
      </c>
      <c r="G6">
        <v>-10.220000000000001</v>
      </c>
      <c r="H6">
        <v>-2.38</v>
      </c>
      <c r="I6" t="s">
        <v>9</v>
      </c>
      <c r="J6">
        <f t="shared" si="0"/>
        <v>6.3</v>
      </c>
      <c r="K6">
        <f t="shared" si="1"/>
        <v>2.38</v>
      </c>
      <c r="L6">
        <f t="shared" si="2"/>
        <v>10.220000000000001</v>
      </c>
      <c r="M6">
        <f t="shared" si="3"/>
        <v>2.0000000000000004</v>
      </c>
      <c r="N6">
        <f t="shared" si="4"/>
        <v>8.944271909999161</v>
      </c>
      <c r="O6">
        <f t="shared" si="5"/>
        <v>0.70436141291243359</v>
      </c>
      <c r="P6">
        <f t="shared" si="6"/>
        <v>0.96</v>
      </c>
      <c r="Q6">
        <f t="shared" si="7"/>
        <v>0.67618695639593618</v>
      </c>
      <c r="R6">
        <f>P6*M6/N6</f>
        <v>0.2146625258399798</v>
      </c>
    </row>
    <row r="7" spans="1:18" x14ac:dyDescent="0.25">
      <c r="A7" t="s">
        <v>22</v>
      </c>
      <c r="B7">
        <v>1997</v>
      </c>
      <c r="E7">
        <v>21</v>
      </c>
      <c r="F7">
        <v>-9</v>
      </c>
      <c r="G7">
        <v>-15.53</v>
      </c>
      <c r="H7">
        <v>-2.4700000000000002</v>
      </c>
      <c r="I7" t="s">
        <v>8</v>
      </c>
      <c r="J7">
        <f t="shared" si="0"/>
        <v>9</v>
      </c>
      <c r="K7">
        <f t="shared" si="1"/>
        <v>2.4700000000000002</v>
      </c>
      <c r="L7">
        <f t="shared" si="2"/>
        <v>15.53</v>
      </c>
      <c r="M7">
        <f t="shared" si="3"/>
        <v>3.3316326530612241</v>
      </c>
      <c r="N7">
        <f t="shared" si="4"/>
        <v>15.267458820439607</v>
      </c>
      <c r="O7">
        <f t="shared" si="5"/>
        <v>0.58948906336338536</v>
      </c>
      <c r="P7">
        <f t="shared" si="6"/>
        <v>0.96202531645569622</v>
      </c>
      <c r="Q7">
        <f t="shared" si="7"/>
        <v>0.5671034027293328</v>
      </c>
      <c r="R7">
        <f>P7*M7/N7</f>
        <v>0.20993113491057497</v>
      </c>
    </row>
    <row r="8" spans="1:18" x14ac:dyDescent="0.25">
      <c r="A8" t="s">
        <v>24</v>
      </c>
      <c r="B8">
        <v>2001</v>
      </c>
      <c r="E8">
        <v>29</v>
      </c>
      <c r="F8">
        <v>-1.4</v>
      </c>
      <c r="G8">
        <v>-5.71</v>
      </c>
      <c r="H8">
        <v>2.91</v>
      </c>
      <c r="I8" t="s">
        <v>8</v>
      </c>
      <c r="J8">
        <f t="shared" si="0"/>
        <v>1.4</v>
      </c>
      <c r="K8">
        <f t="shared" si="1"/>
        <v>-2.91</v>
      </c>
      <c r="L8">
        <f t="shared" si="2"/>
        <v>5.71</v>
      </c>
      <c r="M8">
        <f t="shared" si="3"/>
        <v>2.1989795918367352</v>
      </c>
      <c r="N8">
        <f t="shared" si="4"/>
        <v>11.841867509566182</v>
      </c>
      <c r="O8">
        <f t="shared" si="5"/>
        <v>0.11822459581388171</v>
      </c>
      <c r="P8">
        <f t="shared" si="6"/>
        <v>0.97297297297297303</v>
      </c>
      <c r="Q8">
        <f t="shared" si="7"/>
        <v>0.1150293364675606</v>
      </c>
      <c r="R8">
        <f>P8*M8/N8</f>
        <v>0.18067654525334778</v>
      </c>
    </row>
    <row r="9" spans="1:18" x14ac:dyDescent="0.25">
      <c r="A9" t="s">
        <v>25</v>
      </c>
      <c r="B9">
        <v>2007</v>
      </c>
      <c r="E9">
        <v>30</v>
      </c>
      <c r="F9">
        <v>0</v>
      </c>
      <c r="G9">
        <v>-5.0599999999999996</v>
      </c>
      <c r="H9">
        <v>5.0599999999999996</v>
      </c>
      <c r="I9" t="s">
        <v>8</v>
      </c>
      <c r="J9">
        <f t="shared" si="0"/>
        <v>0</v>
      </c>
      <c r="K9">
        <f t="shared" si="1"/>
        <v>-5.0599999999999996</v>
      </c>
      <c r="L9">
        <f t="shared" si="2"/>
        <v>5.0599999999999996</v>
      </c>
      <c r="M9">
        <f t="shared" si="3"/>
        <v>2.5816326530612241</v>
      </c>
      <c r="N9">
        <f t="shared" si="4"/>
        <v>14.140184392735408</v>
      </c>
      <c r="O9">
        <f t="shared" si="5"/>
        <v>0</v>
      </c>
      <c r="P9">
        <f t="shared" si="6"/>
        <v>0.97391304347826091</v>
      </c>
      <c r="Q9">
        <f t="shared" si="7"/>
        <v>0</v>
      </c>
      <c r="R9">
        <f>P9*M9/N9</f>
        <v>0.17781138098718438</v>
      </c>
    </row>
    <row r="10" spans="1:18" x14ac:dyDescent="0.25">
      <c r="A10" t="s">
        <v>26</v>
      </c>
      <c r="B10">
        <v>2000</v>
      </c>
      <c r="E10">
        <v>40</v>
      </c>
      <c r="F10">
        <v>-2</v>
      </c>
      <c r="G10">
        <v>-3.61</v>
      </c>
      <c r="H10">
        <v>-0.39</v>
      </c>
      <c r="I10" t="s">
        <v>9</v>
      </c>
      <c r="J10">
        <f t="shared" si="0"/>
        <v>2</v>
      </c>
      <c r="K10">
        <f t="shared" si="1"/>
        <v>0.39</v>
      </c>
      <c r="L10">
        <f t="shared" si="2"/>
        <v>3.61</v>
      </c>
      <c r="M10">
        <f t="shared" si="3"/>
        <v>0.8214285714285714</v>
      </c>
      <c r="N10">
        <f t="shared" si="4"/>
        <v>5.1951704417051952</v>
      </c>
      <c r="O10">
        <f t="shared" si="5"/>
        <v>0.38497293254223747</v>
      </c>
      <c r="P10">
        <f t="shared" si="6"/>
        <v>0.98064516129032253</v>
      </c>
      <c r="Q10">
        <f t="shared" si="7"/>
        <v>0.37752184352529089</v>
      </c>
      <c r="R10">
        <f>P10*M10/N10</f>
        <v>0.15505361430503017</v>
      </c>
    </row>
    <row r="11" spans="1:18" x14ac:dyDescent="0.25">
      <c r="A11" t="s">
        <v>27</v>
      </c>
      <c r="B11">
        <v>2010</v>
      </c>
      <c r="C11">
        <v>36</v>
      </c>
      <c r="D11">
        <v>34</v>
      </c>
      <c r="F11">
        <v>-6.1</v>
      </c>
      <c r="G11">
        <v>-14.33</v>
      </c>
      <c r="H11">
        <v>2.13</v>
      </c>
      <c r="I11" t="s">
        <v>8</v>
      </c>
      <c r="J11">
        <f t="shared" si="0"/>
        <v>6.1</v>
      </c>
      <c r="K11">
        <f t="shared" si="1"/>
        <v>-2.13</v>
      </c>
      <c r="L11">
        <f t="shared" si="2"/>
        <v>14.33</v>
      </c>
      <c r="M11">
        <f t="shared" si="3"/>
        <v>4.1989795918367347</v>
      </c>
      <c r="N11">
        <f>M11/SQRT(1/C11+1/D11)</f>
        <v>17.558420790483385</v>
      </c>
      <c r="O11">
        <f>J11/N11</f>
        <v>0.34741165351875963</v>
      </c>
      <c r="P11">
        <f>1-3/(4*(D11+C11-2)-1)</f>
        <v>0.98892988929889303</v>
      </c>
      <c r="Q11">
        <f t="shared" si="7"/>
        <v>0.34356576805545236</v>
      </c>
      <c r="R11">
        <f>P11*M11/N11</f>
        <v>0.23649600795386191</v>
      </c>
    </row>
    <row r="12" spans="1:18" x14ac:dyDescent="0.25">
      <c r="A12" t="s">
        <v>28</v>
      </c>
      <c r="B12">
        <v>2008</v>
      </c>
      <c r="C12">
        <v>8</v>
      </c>
      <c r="D12">
        <v>8</v>
      </c>
      <c r="F12">
        <v>-19.2</v>
      </c>
      <c r="G12">
        <v>-51.81</v>
      </c>
      <c r="H12">
        <v>13.41</v>
      </c>
      <c r="I12" t="s">
        <v>8</v>
      </c>
      <c r="J12">
        <f t="shared" si="0"/>
        <v>19.2</v>
      </c>
      <c r="K12">
        <f t="shared" si="1"/>
        <v>-13.41</v>
      </c>
      <c r="L12">
        <f t="shared" si="2"/>
        <v>51.81</v>
      </c>
      <c r="M12">
        <f t="shared" si="3"/>
        <v>16.637755102040817</v>
      </c>
      <c r="N12">
        <f t="shared" ref="N12:N32" si="8">M12/SQRT(1/C12+1/D12)</f>
        <v>33.275510204081634</v>
      </c>
      <c r="O12">
        <f t="shared" ref="O12:O32" si="9">J12/N12</f>
        <v>0.57700091996320146</v>
      </c>
      <c r="P12">
        <f t="shared" ref="P12:P32" si="10">1-3/(4*(D12+C12-2)-1)</f>
        <v>0.94545454545454544</v>
      </c>
      <c r="Q12">
        <f t="shared" ref="Q12:Q32" si="11">P12*O12</f>
        <v>0.54552814251066317</v>
      </c>
      <c r="R12">
        <f>P12*M12/N12</f>
        <v>0.47272727272727272</v>
      </c>
    </row>
    <row r="13" spans="1:18" x14ac:dyDescent="0.25">
      <c r="A13" t="s">
        <v>29</v>
      </c>
      <c r="B13">
        <v>2008</v>
      </c>
      <c r="C13">
        <v>55</v>
      </c>
      <c r="D13">
        <v>55</v>
      </c>
      <c r="F13">
        <v>-9.1</v>
      </c>
      <c r="G13">
        <v>-10.73</v>
      </c>
      <c r="H13">
        <v>-7.47</v>
      </c>
      <c r="I13" t="s">
        <v>8</v>
      </c>
      <c r="J13">
        <f t="shared" si="0"/>
        <v>9.1</v>
      </c>
      <c r="K13">
        <f t="shared" si="1"/>
        <v>7.47</v>
      </c>
      <c r="L13">
        <f t="shared" si="2"/>
        <v>10.73</v>
      </c>
      <c r="M13">
        <f t="shared" si="3"/>
        <v>0.83163265306122469</v>
      </c>
      <c r="N13">
        <f t="shared" si="8"/>
        <v>4.3611184247891517</v>
      </c>
      <c r="O13">
        <f t="shared" si="9"/>
        <v>2.0866207045134209</v>
      </c>
      <c r="P13">
        <f t="shared" si="10"/>
        <v>0.99303944315545245</v>
      </c>
      <c r="Q13">
        <f t="shared" si="11"/>
        <v>2.0720966624866453</v>
      </c>
      <c r="R13">
        <f>P13*M13/N13</f>
        <v>0.18936519173879976</v>
      </c>
    </row>
    <row r="14" spans="1:18" x14ac:dyDescent="0.25">
      <c r="A14" t="s">
        <v>30</v>
      </c>
      <c r="B14">
        <v>2007</v>
      </c>
      <c r="C14">
        <v>20</v>
      </c>
      <c r="D14">
        <v>20</v>
      </c>
      <c r="F14">
        <v>-6.3</v>
      </c>
      <c r="G14">
        <v>-10.18</v>
      </c>
      <c r="H14">
        <v>-2.42</v>
      </c>
      <c r="I14" t="s">
        <v>8</v>
      </c>
      <c r="J14">
        <f t="shared" si="0"/>
        <v>6.3</v>
      </c>
      <c r="K14">
        <f t="shared" si="1"/>
        <v>2.42</v>
      </c>
      <c r="L14">
        <f t="shared" si="2"/>
        <v>10.18</v>
      </c>
      <c r="M14">
        <f t="shared" si="3"/>
        <v>1.9795918367346939</v>
      </c>
      <c r="N14">
        <f t="shared" si="8"/>
        <v>6.2600190415578121</v>
      </c>
      <c r="O14">
        <f t="shared" si="9"/>
        <v>1.0063867151484316</v>
      </c>
      <c r="P14">
        <f t="shared" si="10"/>
        <v>0.98013245033112584</v>
      </c>
      <c r="Q14">
        <f t="shared" si="11"/>
        <v>0.98639227709912503</v>
      </c>
      <c r="R14">
        <f>P14*M14/N14</f>
        <v>0.30994509516882129</v>
      </c>
    </row>
    <row r="15" spans="1:18" x14ac:dyDescent="0.25">
      <c r="A15" t="s">
        <v>31</v>
      </c>
      <c r="B15">
        <v>2005</v>
      </c>
      <c r="C15">
        <v>19</v>
      </c>
      <c r="D15">
        <v>18</v>
      </c>
      <c r="F15">
        <v>-1.8</v>
      </c>
      <c r="G15">
        <v>-3.37</v>
      </c>
      <c r="H15">
        <v>-0.23</v>
      </c>
      <c r="I15" t="s">
        <v>8</v>
      </c>
      <c r="J15">
        <f t="shared" si="0"/>
        <v>1.8</v>
      </c>
      <c r="K15">
        <f t="shared" si="1"/>
        <v>0.23</v>
      </c>
      <c r="L15">
        <f t="shared" si="2"/>
        <v>3.37</v>
      </c>
      <c r="M15">
        <f t="shared" si="3"/>
        <v>0.80102040816326536</v>
      </c>
      <c r="N15">
        <f t="shared" si="8"/>
        <v>2.4353185231958108</v>
      </c>
      <c r="O15">
        <f t="shared" si="9"/>
        <v>0.73912302758569037</v>
      </c>
      <c r="P15">
        <f t="shared" si="10"/>
        <v>0.97841726618705038</v>
      </c>
      <c r="Q15">
        <f t="shared" si="11"/>
        <v>0.72317073202628701</v>
      </c>
      <c r="R15">
        <f>P15*M15/N15</f>
        <v>0.3218191749663466</v>
      </c>
    </row>
    <row r="16" spans="1:18" x14ac:dyDescent="0.25">
      <c r="A16" t="s">
        <v>32</v>
      </c>
      <c r="B16">
        <v>2004</v>
      </c>
      <c r="C16">
        <v>17</v>
      </c>
      <c r="D16">
        <v>16</v>
      </c>
      <c r="F16">
        <v>0.2</v>
      </c>
      <c r="G16">
        <v>-3.15</v>
      </c>
      <c r="H16">
        <v>3.55</v>
      </c>
      <c r="I16" t="s">
        <v>8</v>
      </c>
      <c r="J16">
        <f t="shared" si="0"/>
        <v>-0.2</v>
      </c>
      <c r="K16">
        <f t="shared" si="1"/>
        <v>-3.55</v>
      </c>
      <c r="L16">
        <f t="shared" si="2"/>
        <v>3.15</v>
      </c>
      <c r="M16">
        <f t="shared" si="3"/>
        <v>1.7091836734693877</v>
      </c>
      <c r="N16">
        <f t="shared" si="8"/>
        <v>4.9070018052931959</v>
      </c>
      <c r="O16">
        <f t="shared" si="9"/>
        <v>-4.0758085677543361E-2</v>
      </c>
      <c r="P16">
        <f t="shared" si="10"/>
        <v>0.97560975609756095</v>
      </c>
      <c r="Q16">
        <f t="shared" si="11"/>
        <v>-3.9763986026871569E-2</v>
      </c>
      <c r="R16">
        <f>P16*M16/N16</f>
        <v>0.33981977854596873</v>
      </c>
    </row>
    <row r="17" spans="1:18" x14ac:dyDescent="0.25">
      <c r="A17" t="s">
        <v>33</v>
      </c>
      <c r="B17">
        <v>2002</v>
      </c>
      <c r="C17">
        <v>15</v>
      </c>
      <c r="D17">
        <v>15</v>
      </c>
      <c r="F17">
        <v>-8.6999999999999993</v>
      </c>
      <c r="G17">
        <v>-15.76</v>
      </c>
      <c r="H17">
        <v>-1.64</v>
      </c>
      <c r="I17" t="s">
        <v>8</v>
      </c>
      <c r="J17">
        <f t="shared" si="0"/>
        <v>8.6999999999999993</v>
      </c>
      <c r="K17">
        <f t="shared" si="1"/>
        <v>1.64</v>
      </c>
      <c r="L17">
        <f t="shared" si="2"/>
        <v>15.76</v>
      </c>
      <c r="M17">
        <f t="shared" si="3"/>
        <v>3.6020408163265305</v>
      </c>
      <c r="N17">
        <f t="shared" si="8"/>
        <v>9.8645950407818184</v>
      </c>
      <c r="O17">
        <f t="shared" si="9"/>
        <v>0.88194193112163288</v>
      </c>
      <c r="P17">
        <f t="shared" si="10"/>
        <v>0.97297297297297303</v>
      </c>
      <c r="Q17">
        <f t="shared" si="11"/>
        <v>0.8581056627129402</v>
      </c>
      <c r="R17">
        <f>P17*M17/N17</f>
        <v>0.35527949676010773</v>
      </c>
    </row>
    <row r="18" spans="1:18" x14ac:dyDescent="0.25">
      <c r="A18" t="s">
        <v>34</v>
      </c>
      <c r="B18">
        <v>2001</v>
      </c>
      <c r="C18">
        <v>19</v>
      </c>
      <c r="D18">
        <v>20</v>
      </c>
      <c r="F18">
        <v>-10</v>
      </c>
      <c r="G18">
        <v>-19.84</v>
      </c>
      <c r="H18">
        <v>-0.16</v>
      </c>
      <c r="I18" t="s">
        <v>8</v>
      </c>
      <c r="J18">
        <f t="shared" si="0"/>
        <v>10</v>
      </c>
      <c r="K18">
        <f t="shared" si="1"/>
        <v>0.16</v>
      </c>
      <c r="L18">
        <f t="shared" si="2"/>
        <v>19.84</v>
      </c>
      <c r="M18">
        <f t="shared" si="3"/>
        <v>5.0204081632653059</v>
      </c>
      <c r="N18">
        <f t="shared" si="8"/>
        <v>15.671065357233564</v>
      </c>
      <c r="O18">
        <f t="shared" si="9"/>
        <v>0.63811870935654846</v>
      </c>
      <c r="P18">
        <f t="shared" si="10"/>
        <v>0.97959183673469385</v>
      </c>
      <c r="Q18">
        <f t="shared" si="11"/>
        <v>0.62509587855335358</v>
      </c>
      <c r="R18">
        <f>P18*M18/N18</f>
        <v>0.31382364515127548</v>
      </c>
    </row>
    <row r="19" spans="1:18" x14ac:dyDescent="0.25">
      <c r="A19" t="s">
        <v>35</v>
      </c>
      <c r="B19">
        <v>1994</v>
      </c>
      <c r="C19">
        <v>22</v>
      </c>
      <c r="D19">
        <v>26</v>
      </c>
      <c r="F19">
        <v>-2.6</v>
      </c>
      <c r="G19">
        <v>-9.24</v>
      </c>
      <c r="H19">
        <v>4.04</v>
      </c>
      <c r="I19" t="s">
        <v>8</v>
      </c>
      <c r="J19">
        <f t="shared" si="0"/>
        <v>2.6</v>
      </c>
      <c r="K19">
        <f t="shared" si="1"/>
        <v>-4.04</v>
      </c>
      <c r="L19">
        <f t="shared" si="2"/>
        <v>9.24</v>
      </c>
      <c r="M19">
        <f t="shared" si="3"/>
        <v>3.3877551020408165</v>
      </c>
      <c r="N19">
        <f t="shared" si="8"/>
        <v>11.694708569443961</v>
      </c>
      <c r="O19">
        <f t="shared" si="9"/>
        <v>0.22232276970058951</v>
      </c>
      <c r="P19">
        <f t="shared" si="10"/>
        <v>0.98360655737704916</v>
      </c>
      <c r="Q19">
        <f t="shared" si="11"/>
        <v>0.21867813413172738</v>
      </c>
      <c r="R19">
        <f>P19*M19/N19</f>
        <v>0.28493383254212512</v>
      </c>
    </row>
    <row r="20" spans="1:18" x14ac:dyDescent="0.25">
      <c r="A20" t="s">
        <v>36</v>
      </c>
      <c r="B20">
        <v>1994</v>
      </c>
      <c r="C20">
        <v>20</v>
      </c>
      <c r="D20">
        <v>20</v>
      </c>
      <c r="F20">
        <v>-7.3</v>
      </c>
      <c r="G20">
        <v>-13.45</v>
      </c>
      <c r="H20">
        <v>-1.1499999999999999</v>
      </c>
      <c r="I20" t="s">
        <v>8</v>
      </c>
      <c r="J20">
        <f t="shared" si="0"/>
        <v>7.3</v>
      </c>
      <c r="K20">
        <f t="shared" si="1"/>
        <v>1.1499999999999999</v>
      </c>
      <c r="L20">
        <f t="shared" si="2"/>
        <v>13.45</v>
      </c>
      <c r="M20">
        <f t="shared" si="3"/>
        <v>3.1377551020408161</v>
      </c>
      <c r="N20">
        <f t="shared" si="8"/>
        <v>9.9224528622630253</v>
      </c>
      <c r="O20">
        <f t="shared" si="9"/>
        <v>0.73570518311689725</v>
      </c>
      <c r="P20">
        <f t="shared" si="10"/>
        <v>0.98013245033112584</v>
      </c>
      <c r="Q20">
        <f t="shared" si="11"/>
        <v>0.72108852384967415</v>
      </c>
      <c r="R20">
        <f>P20*M20/N20</f>
        <v>0.30994509516882135</v>
      </c>
    </row>
    <row r="21" spans="1:18" x14ac:dyDescent="0.25">
      <c r="A21" t="s">
        <v>37</v>
      </c>
      <c r="B21">
        <v>2010</v>
      </c>
      <c r="C21">
        <v>45</v>
      </c>
      <c r="D21">
        <v>22</v>
      </c>
      <c r="F21">
        <v>-10.42</v>
      </c>
      <c r="G21">
        <v>-17.420000000000002</v>
      </c>
      <c r="H21">
        <v>-3.42</v>
      </c>
      <c r="I21" t="s">
        <v>9</v>
      </c>
      <c r="J21">
        <f t="shared" si="0"/>
        <v>10.42</v>
      </c>
      <c r="K21">
        <f t="shared" si="1"/>
        <v>3.42</v>
      </c>
      <c r="L21">
        <f t="shared" si="2"/>
        <v>17.420000000000002</v>
      </c>
      <c r="M21">
        <f t="shared" si="3"/>
        <v>3.5714285714285721</v>
      </c>
      <c r="N21">
        <f t="shared" si="8"/>
        <v>13.728470808956136</v>
      </c>
      <c r="O21">
        <f t="shared" si="9"/>
        <v>0.75900660350330018</v>
      </c>
      <c r="P21">
        <f t="shared" si="10"/>
        <v>0.98841698841698844</v>
      </c>
      <c r="Q21">
        <f t="shared" si="11"/>
        <v>0.75021502122333916</v>
      </c>
      <c r="R21">
        <f>P21*M21/N21</f>
        <v>0.25713429573051111</v>
      </c>
    </row>
    <row r="22" spans="1:18" x14ac:dyDescent="0.25">
      <c r="A22" t="s">
        <v>38</v>
      </c>
      <c r="B22">
        <v>2009</v>
      </c>
      <c r="C22">
        <v>30</v>
      </c>
      <c r="D22">
        <v>29</v>
      </c>
      <c r="F22">
        <v>-6</v>
      </c>
      <c r="G22">
        <v>-14.53</v>
      </c>
      <c r="H22">
        <v>2.5299999999999998</v>
      </c>
      <c r="I22" t="s">
        <v>9</v>
      </c>
      <c r="J22">
        <f t="shared" si="0"/>
        <v>6</v>
      </c>
      <c r="K22">
        <f t="shared" si="1"/>
        <v>-2.5299999999999998</v>
      </c>
      <c r="L22">
        <f t="shared" si="2"/>
        <v>14.53</v>
      </c>
      <c r="M22">
        <f t="shared" si="3"/>
        <v>4.3520408163265305</v>
      </c>
      <c r="N22">
        <f t="shared" si="8"/>
        <v>16.711928938694101</v>
      </c>
      <c r="O22">
        <f t="shared" si="9"/>
        <v>0.35902498281379425</v>
      </c>
      <c r="P22">
        <f t="shared" si="10"/>
        <v>0.986784140969163</v>
      </c>
      <c r="Q22">
        <f t="shared" si="11"/>
        <v>0.35428015925237849</v>
      </c>
      <c r="R22">
        <f>P22*M22/N22</f>
        <v>0.25697361891350234</v>
      </c>
    </row>
    <row r="23" spans="1:18" x14ac:dyDescent="0.25">
      <c r="A23" t="s">
        <v>39</v>
      </c>
      <c r="B23">
        <v>2007</v>
      </c>
      <c r="C23">
        <v>19</v>
      </c>
      <c r="D23">
        <v>18</v>
      </c>
      <c r="F23">
        <v>2</v>
      </c>
      <c r="G23">
        <v>-15.82</v>
      </c>
      <c r="H23">
        <v>19.82</v>
      </c>
      <c r="I23" t="s">
        <v>9</v>
      </c>
      <c r="J23">
        <f t="shared" si="0"/>
        <v>-2</v>
      </c>
      <c r="K23">
        <f t="shared" si="1"/>
        <v>-19.82</v>
      </c>
      <c r="L23">
        <f t="shared" si="2"/>
        <v>15.82</v>
      </c>
      <c r="M23">
        <f t="shared" si="3"/>
        <v>9.091836734693878</v>
      </c>
      <c r="N23">
        <f t="shared" si="8"/>
        <v>27.641640817419969</v>
      </c>
      <c r="O23">
        <f t="shared" si="9"/>
        <v>-7.2354604895219721E-2</v>
      </c>
      <c r="P23">
        <f t="shared" si="10"/>
        <v>0.97841726618705038</v>
      </c>
      <c r="Q23">
        <f t="shared" si="11"/>
        <v>-7.0792994717625055E-2</v>
      </c>
      <c r="R23">
        <f>P23*M23/N23</f>
        <v>0.32181917496634649</v>
      </c>
    </row>
    <row r="24" spans="1:18" x14ac:dyDescent="0.25">
      <c r="A24" t="s">
        <v>37</v>
      </c>
      <c r="B24">
        <v>2005</v>
      </c>
      <c r="C24">
        <v>35</v>
      </c>
      <c r="D24">
        <v>34</v>
      </c>
      <c r="F24">
        <v>-4.55</v>
      </c>
      <c r="G24">
        <v>-10.41</v>
      </c>
      <c r="H24">
        <v>1.31</v>
      </c>
      <c r="I24" t="s">
        <v>9</v>
      </c>
      <c r="J24">
        <f t="shared" si="0"/>
        <v>4.55</v>
      </c>
      <c r="K24">
        <f t="shared" si="1"/>
        <v>-1.31</v>
      </c>
      <c r="L24">
        <f t="shared" si="2"/>
        <v>10.41</v>
      </c>
      <c r="M24">
        <f t="shared" si="3"/>
        <v>2.989795918367347</v>
      </c>
      <c r="N24">
        <f t="shared" si="8"/>
        <v>12.416250900839007</v>
      </c>
      <c r="O24">
        <f t="shared" si="9"/>
        <v>0.36645522358867133</v>
      </c>
      <c r="P24">
        <f t="shared" si="10"/>
        <v>0.9887640449438202</v>
      </c>
      <c r="Q24">
        <f t="shared" si="11"/>
        <v>0.36233774916632672</v>
      </c>
      <c r="R24">
        <f>P24*M24/N24</f>
        <v>0.23809141176437254</v>
      </c>
    </row>
    <row r="25" spans="1:18" x14ac:dyDescent="0.25">
      <c r="A25" t="s">
        <v>40</v>
      </c>
      <c r="B25">
        <v>2004</v>
      </c>
      <c r="C25">
        <v>17</v>
      </c>
      <c r="D25">
        <v>14</v>
      </c>
      <c r="F25">
        <v>-6.04</v>
      </c>
      <c r="G25">
        <v>-11.86</v>
      </c>
      <c r="H25">
        <v>-0.22</v>
      </c>
      <c r="I25" t="s">
        <v>9</v>
      </c>
      <c r="J25">
        <f t="shared" si="0"/>
        <v>6.04</v>
      </c>
      <c r="K25">
        <f t="shared" si="1"/>
        <v>0.22</v>
      </c>
      <c r="L25">
        <f t="shared" si="2"/>
        <v>11.86</v>
      </c>
      <c r="M25">
        <f t="shared" si="3"/>
        <v>2.9693877551020407</v>
      </c>
      <c r="N25">
        <f t="shared" si="8"/>
        <v>8.2276260566218458</v>
      </c>
      <c r="O25">
        <f t="shared" si="9"/>
        <v>0.73411211914994878</v>
      </c>
      <c r="P25">
        <f t="shared" si="10"/>
        <v>0.97391304347826091</v>
      </c>
      <c r="Q25">
        <f t="shared" si="11"/>
        <v>0.7149613682156023</v>
      </c>
      <c r="R25">
        <f>P25*M25/N25</f>
        <v>0.35148965764079648</v>
      </c>
    </row>
    <row r="26" spans="1:18" x14ac:dyDescent="0.25">
      <c r="A26" t="s">
        <v>39</v>
      </c>
      <c r="B26">
        <v>2003</v>
      </c>
      <c r="C26">
        <v>23</v>
      </c>
      <c r="D26">
        <v>15</v>
      </c>
      <c r="F26">
        <v>-6</v>
      </c>
      <c r="G26">
        <v>-18.760000000000002</v>
      </c>
      <c r="H26">
        <v>6.76</v>
      </c>
      <c r="I26" t="s">
        <v>9</v>
      </c>
      <c r="J26">
        <f t="shared" si="0"/>
        <v>6</v>
      </c>
      <c r="K26">
        <f t="shared" si="1"/>
        <v>-6.76</v>
      </c>
      <c r="L26">
        <f t="shared" si="2"/>
        <v>18.760000000000002</v>
      </c>
      <c r="M26">
        <f t="shared" si="3"/>
        <v>6.5102040816326543</v>
      </c>
      <c r="N26">
        <f t="shared" si="8"/>
        <v>19.616085792193701</v>
      </c>
      <c r="O26">
        <f t="shared" si="9"/>
        <v>0.30587141917923932</v>
      </c>
      <c r="P26">
        <f t="shared" si="10"/>
        <v>0.97902097902097907</v>
      </c>
      <c r="Q26">
        <f t="shared" si="11"/>
        <v>0.29945453625939517</v>
      </c>
      <c r="R26">
        <f>P26*M26/N26</f>
        <v>0.324918357369888</v>
      </c>
    </row>
    <row r="27" spans="1:18" x14ac:dyDescent="0.25">
      <c r="A27" t="s">
        <v>41</v>
      </c>
      <c r="B27">
        <v>2002</v>
      </c>
      <c r="C27">
        <v>51</v>
      </c>
      <c r="D27">
        <v>53</v>
      </c>
      <c r="F27">
        <v>-3.35</v>
      </c>
      <c r="G27">
        <v>-6.17</v>
      </c>
      <c r="H27">
        <v>-0.53</v>
      </c>
      <c r="I27" t="s">
        <v>9</v>
      </c>
      <c r="J27">
        <f t="shared" si="0"/>
        <v>3.35</v>
      </c>
      <c r="K27">
        <f t="shared" si="1"/>
        <v>0.53</v>
      </c>
      <c r="L27">
        <f t="shared" si="2"/>
        <v>6.17</v>
      </c>
      <c r="M27">
        <f t="shared" si="3"/>
        <v>1.4387755102040816</v>
      </c>
      <c r="N27">
        <f t="shared" si="8"/>
        <v>7.3349877042044911</v>
      </c>
      <c r="O27">
        <f t="shared" si="9"/>
        <v>0.45671514869476132</v>
      </c>
      <c r="P27">
        <f t="shared" si="10"/>
        <v>0.99262899262899262</v>
      </c>
      <c r="Q27">
        <f t="shared" si="11"/>
        <v>0.4533486979672815</v>
      </c>
      <c r="R27">
        <f>P27*M27/N27</f>
        <v>0.19470656842335268</v>
      </c>
    </row>
    <row r="28" spans="1:18" x14ac:dyDescent="0.25">
      <c r="A28" t="s">
        <v>42</v>
      </c>
      <c r="B28">
        <v>2002</v>
      </c>
      <c r="C28">
        <v>54</v>
      </c>
      <c r="D28">
        <v>54</v>
      </c>
      <c r="F28">
        <v>-1.1100000000000001</v>
      </c>
      <c r="G28">
        <v>-5.38</v>
      </c>
      <c r="H28">
        <v>3.16</v>
      </c>
      <c r="I28" t="s">
        <v>9</v>
      </c>
      <c r="J28">
        <f t="shared" si="0"/>
        <v>1.1100000000000001</v>
      </c>
      <c r="K28">
        <f t="shared" si="1"/>
        <v>-3.16</v>
      </c>
      <c r="L28">
        <f t="shared" si="2"/>
        <v>5.38</v>
      </c>
      <c r="M28">
        <f t="shared" si="3"/>
        <v>2.1785714285714284</v>
      </c>
      <c r="N28">
        <f t="shared" si="8"/>
        <v>11.320189206610875</v>
      </c>
      <c r="O28">
        <f t="shared" si="9"/>
        <v>9.8054898177123345E-2</v>
      </c>
      <c r="P28">
        <f t="shared" si="10"/>
        <v>0.99290780141843971</v>
      </c>
      <c r="Q28">
        <f t="shared" si="11"/>
        <v>9.7359473367356508E-2</v>
      </c>
      <c r="R28">
        <f>P28*M28/N28</f>
        <v>0.1910851954764719</v>
      </c>
    </row>
    <row r="29" spans="1:18" x14ac:dyDescent="0.25">
      <c r="A29" t="s">
        <v>43</v>
      </c>
      <c r="B29">
        <v>2002</v>
      </c>
      <c r="C29">
        <v>18</v>
      </c>
      <c r="D29">
        <v>17</v>
      </c>
      <c r="F29">
        <v>2</v>
      </c>
      <c r="G29">
        <v>-7.72</v>
      </c>
      <c r="H29">
        <v>11.72</v>
      </c>
      <c r="I29" t="s">
        <v>9</v>
      </c>
      <c r="J29">
        <f t="shared" si="0"/>
        <v>-2</v>
      </c>
      <c r="K29">
        <f t="shared" si="1"/>
        <v>-11.72</v>
      </c>
      <c r="L29">
        <f t="shared" si="2"/>
        <v>7.72</v>
      </c>
      <c r="M29">
        <f t="shared" si="3"/>
        <v>4.9591836734693882</v>
      </c>
      <c r="N29">
        <f t="shared" si="8"/>
        <v>14.663474377226111</v>
      </c>
      <c r="O29">
        <f t="shared" si="9"/>
        <v>-0.13639332320218778</v>
      </c>
      <c r="P29">
        <f t="shared" si="10"/>
        <v>0.97709923664122134</v>
      </c>
      <c r="Q29">
        <f t="shared" si="11"/>
        <v>-0.13326981198381707</v>
      </c>
      <c r="R29">
        <f>P29*M29/N29</f>
        <v>0.33045473787824026</v>
      </c>
    </row>
    <row r="30" spans="1:18" x14ac:dyDescent="0.25">
      <c r="A30" t="s">
        <v>44</v>
      </c>
      <c r="B30">
        <v>2002</v>
      </c>
      <c r="C30">
        <v>18</v>
      </c>
      <c r="D30">
        <v>18</v>
      </c>
      <c r="F30">
        <v>7</v>
      </c>
      <c r="G30">
        <v>-2.31</v>
      </c>
      <c r="H30">
        <v>16.309999999999999</v>
      </c>
      <c r="I30" t="s">
        <v>9</v>
      </c>
      <c r="J30">
        <f t="shared" si="0"/>
        <v>-7</v>
      </c>
      <c r="K30">
        <f t="shared" si="1"/>
        <v>-16.309999999999999</v>
      </c>
      <c r="L30">
        <f t="shared" si="2"/>
        <v>2.31</v>
      </c>
      <c r="M30">
        <f t="shared" si="3"/>
        <v>4.7499999999999991</v>
      </c>
      <c r="N30">
        <f t="shared" si="8"/>
        <v>14.249999999999998</v>
      </c>
      <c r="O30">
        <f t="shared" si="9"/>
        <v>-0.49122807017543868</v>
      </c>
      <c r="P30">
        <f t="shared" si="10"/>
        <v>0.97777777777777775</v>
      </c>
      <c r="Q30">
        <f t="shared" si="11"/>
        <v>-0.48031189083820669</v>
      </c>
      <c r="R30">
        <f>P30*M30/N30</f>
        <v>0.32592592592592584</v>
      </c>
    </row>
    <row r="31" spans="1:18" x14ac:dyDescent="0.25">
      <c r="A31" t="s">
        <v>45</v>
      </c>
      <c r="B31">
        <v>2000</v>
      </c>
      <c r="C31">
        <v>25</v>
      </c>
      <c r="D31">
        <v>25</v>
      </c>
      <c r="F31">
        <v>6</v>
      </c>
      <c r="G31">
        <v>-1.68</v>
      </c>
      <c r="H31">
        <v>13.68</v>
      </c>
      <c r="I31" t="s">
        <v>9</v>
      </c>
      <c r="J31">
        <f t="shared" si="0"/>
        <v>-6</v>
      </c>
      <c r="K31">
        <f t="shared" si="1"/>
        <v>-13.68</v>
      </c>
      <c r="L31">
        <f t="shared" si="2"/>
        <v>1.68</v>
      </c>
      <c r="M31">
        <f t="shared" si="3"/>
        <v>3.9183673469387754</v>
      </c>
      <c r="N31">
        <f t="shared" si="8"/>
        <v>13.853520611001747</v>
      </c>
      <c r="O31">
        <f t="shared" si="9"/>
        <v>-0.43310290347676039</v>
      </c>
      <c r="P31">
        <f t="shared" si="10"/>
        <v>0.98429319371727753</v>
      </c>
      <c r="Q31">
        <f t="shared" si="11"/>
        <v>-0.42630024007136624</v>
      </c>
      <c r="R31">
        <f>P31*M31/N31</f>
        <v>0.27840015678130042</v>
      </c>
    </row>
    <row r="32" spans="1:18" x14ac:dyDescent="0.25">
      <c r="A32" t="s">
        <v>46</v>
      </c>
      <c r="B32">
        <v>1999</v>
      </c>
      <c r="C32">
        <v>21</v>
      </c>
      <c r="D32">
        <v>25</v>
      </c>
      <c r="F32">
        <v>-10</v>
      </c>
      <c r="G32">
        <v>-20.64</v>
      </c>
      <c r="H32">
        <v>0.64</v>
      </c>
      <c r="I32" t="s">
        <v>9</v>
      </c>
      <c r="J32">
        <f t="shared" si="0"/>
        <v>10</v>
      </c>
      <c r="K32">
        <f t="shared" si="1"/>
        <v>-0.64</v>
      </c>
      <c r="L32">
        <f t="shared" si="2"/>
        <v>20.64</v>
      </c>
      <c r="M32">
        <f t="shared" si="3"/>
        <v>5.4285714285714288</v>
      </c>
      <c r="N32">
        <f t="shared" si="8"/>
        <v>18.339449384501926</v>
      </c>
      <c r="O32">
        <f t="shared" si="9"/>
        <v>0.545272640979651</v>
      </c>
      <c r="P32">
        <f t="shared" si="10"/>
        <v>0.98285714285714287</v>
      </c>
      <c r="Q32">
        <f t="shared" si="11"/>
        <v>0.53592510999142839</v>
      </c>
      <c r="R32">
        <f>P32*M32/N32</f>
        <v>0.29093077399534684</v>
      </c>
    </row>
  </sheetData>
  <sortState xmlns:xlrd2="http://schemas.microsoft.com/office/spreadsheetml/2017/richdata2" ref="A2:I32">
    <sortCondition ref="E2:E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2025-12-30T22:44:32Z</dcterms:modified>
</cp:coreProperties>
</file>