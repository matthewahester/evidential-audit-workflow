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juraschek2012\"/>
    </mc:Choice>
  </mc:AlternateContent>
  <xr:revisionPtr revIDLastSave="0" documentId="13_ncr:1_{DD387655-5595-4593-BCF6-C984CF71493B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2" i="1"/>
  <c r="J10" i="1"/>
  <c r="K10" i="1"/>
  <c r="L10" i="1"/>
  <c r="M10" i="1" s="1"/>
  <c r="N10" i="1" s="1"/>
  <c r="P10" i="1"/>
  <c r="J11" i="1"/>
  <c r="K11" i="1"/>
  <c r="L11" i="1"/>
  <c r="M11" i="1" s="1"/>
  <c r="N11" i="1" s="1"/>
  <c r="P11" i="1"/>
  <c r="J12" i="1"/>
  <c r="K12" i="1"/>
  <c r="L12" i="1"/>
  <c r="M12" i="1"/>
  <c r="N12" i="1"/>
  <c r="O12" i="1"/>
  <c r="P12" i="1"/>
  <c r="Q12" i="1" s="1"/>
  <c r="J13" i="1"/>
  <c r="K13" i="1"/>
  <c r="L13" i="1"/>
  <c r="M13" i="1"/>
  <c r="N13" i="1"/>
  <c r="O13" i="1" s="1"/>
  <c r="Q13" i="1" s="1"/>
  <c r="P13" i="1"/>
  <c r="J14" i="1"/>
  <c r="K14" i="1"/>
  <c r="L14" i="1"/>
  <c r="M14" i="1" s="1"/>
  <c r="N14" i="1" s="1"/>
  <c r="P14" i="1"/>
  <c r="J15" i="1"/>
  <c r="K15" i="1"/>
  <c r="L15" i="1"/>
  <c r="M15" i="1" s="1"/>
  <c r="N15" i="1" s="1"/>
  <c r="P15" i="1"/>
  <c r="J16" i="1"/>
  <c r="K16" i="1"/>
  <c r="L16" i="1"/>
  <c r="M16" i="1"/>
  <c r="N16" i="1"/>
  <c r="O16" i="1"/>
  <c r="P16" i="1"/>
  <c r="Q16" i="1" s="1"/>
  <c r="J17" i="1"/>
  <c r="O17" i="1" s="1"/>
  <c r="Q17" i="1" s="1"/>
  <c r="K17" i="1"/>
  <c r="L17" i="1"/>
  <c r="M17" i="1"/>
  <c r="N17" i="1"/>
  <c r="P17" i="1"/>
  <c r="J18" i="1"/>
  <c r="K18" i="1"/>
  <c r="L18" i="1"/>
  <c r="M18" i="1" s="1"/>
  <c r="N18" i="1" s="1"/>
  <c r="P18" i="1"/>
  <c r="J19" i="1"/>
  <c r="O19" i="1" s="1"/>
  <c r="K19" i="1"/>
  <c r="L19" i="1"/>
  <c r="M19" i="1" s="1"/>
  <c r="N19" i="1" s="1"/>
  <c r="P19" i="1"/>
  <c r="J20" i="1"/>
  <c r="K20" i="1"/>
  <c r="L20" i="1"/>
  <c r="M20" i="1"/>
  <c r="N20" i="1"/>
  <c r="O20" i="1"/>
  <c r="P20" i="1"/>
  <c r="Q20" i="1" s="1"/>
  <c r="J21" i="1"/>
  <c r="O21" i="1" s="1"/>
  <c r="Q21" i="1" s="1"/>
  <c r="K21" i="1"/>
  <c r="L21" i="1"/>
  <c r="M21" i="1"/>
  <c r="N21" i="1"/>
  <c r="P21" i="1"/>
  <c r="J22" i="1"/>
  <c r="K22" i="1"/>
  <c r="L22" i="1"/>
  <c r="M22" i="1" s="1"/>
  <c r="N22" i="1" s="1"/>
  <c r="P22" i="1"/>
  <c r="J23" i="1"/>
  <c r="K23" i="1"/>
  <c r="L23" i="1"/>
  <c r="M23" i="1" s="1"/>
  <c r="N23" i="1" s="1"/>
  <c r="P23" i="1"/>
  <c r="J24" i="1"/>
  <c r="K24" i="1"/>
  <c r="L24" i="1"/>
  <c r="M24" i="1"/>
  <c r="N24" i="1"/>
  <c r="O24" i="1"/>
  <c r="P24" i="1"/>
  <c r="Q24" i="1" s="1"/>
  <c r="J25" i="1"/>
  <c r="O25" i="1" s="1"/>
  <c r="Q25" i="1" s="1"/>
  <c r="K25" i="1"/>
  <c r="L25" i="1"/>
  <c r="M25" i="1"/>
  <c r="N25" i="1"/>
  <c r="P25" i="1"/>
  <c r="J26" i="1"/>
  <c r="K26" i="1"/>
  <c r="L26" i="1"/>
  <c r="M26" i="1" s="1"/>
  <c r="N26" i="1" s="1"/>
  <c r="P26" i="1"/>
  <c r="J27" i="1"/>
  <c r="K27" i="1"/>
  <c r="L27" i="1"/>
  <c r="M27" i="1" s="1"/>
  <c r="N27" i="1" s="1"/>
  <c r="P27" i="1"/>
  <c r="J28" i="1"/>
  <c r="K28" i="1"/>
  <c r="L28" i="1"/>
  <c r="M28" i="1"/>
  <c r="N28" i="1"/>
  <c r="O28" i="1"/>
  <c r="P28" i="1"/>
  <c r="Q28" i="1" s="1"/>
  <c r="J29" i="1"/>
  <c r="K29" i="1"/>
  <c r="L29" i="1"/>
  <c r="M29" i="1"/>
  <c r="N29" i="1"/>
  <c r="O29" i="1" s="1"/>
  <c r="Q29" i="1" s="1"/>
  <c r="P29" i="1"/>
  <c r="J30" i="1"/>
  <c r="O30" i="1" s="1"/>
  <c r="Q30" i="1" s="1"/>
  <c r="K30" i="1"/>
  <c r="L30" i="1"/>
  <c r="M30" i="1"/>
  <c r="N30" i="1" s="1"/>
  <c r="P30" i="1"/>
  <c r="P9" i="1"/>
  <c r="L9" i="1"/>
  <c r="M9" i="1" s="1"/>
  <c r="N9" i="1" s="1"/>
  <c r="K9" i="1"/>
  <c r="J9" i="1"/>
  <c r="J3" i="1"/>
  <c r="K3" i="1"/>
  <c r="L3" i="1"/>
  <c r="M3" i="1" s="1"/>
  <c r="N3" i="1" s="1"/>
  <c r="P3" i="1"/>
  <c r="J4" i="1"/>
  <c r="K4" i="1"/>
  <c r="L4" i="1"/>
  <c r="M4" i="1" s="1"/>
  <c r="N4" i="1" s="1"/>
  <c r="P4" i="1"/>
  <c r="J5" i="1"/>
  <c r="K5" i="1"/>
  <c r="L5" i="1"/>
  <c r="M5" i="1"/>
  <c r="N5" i="1"/>
  <c r="O5" i="1" s="1"/>
  <c r="Q5" i="1" s="1"/>
  <c r="P5" i="1"/>
  <c r="J6" i="1"/>
  <c r="K6" i="1"/>
  <c r="L6" i="1"/>
  <c r="M6" i="1" s="1"/>
  <c r="N6" i="1" s="1"/>
  <c r="O6" i="1" s="1"/>
  <c r="P6" i="1"/>
  <c r="J7" i="1"/>
  <c r="K7" i="1"/>
  <c r="L7" i="1"/>
  <c r="M7" i="1" s="1"/>
  <c r="N7" i="1" s="1"/>
  <c r="O7" i="1" s="1"/>
  <c r="Q7" i="1" s="1"/>
  <c r="P7" i="1"/>
  <c r="J8" i="1"/>
  <c r="O8" i="1" s="1"/>
  <c r="K8" i="1"/>
  <c r="L8" i="1"/>
  <c r="M8" i="1" s="1"/>
  <c r="N8" i="1" s="1"/>
  <c r="P8" i="1"/>
  <c r="P2" i="1"/>
  <c r="L2" i="1"/>
  <c r="M2" i="1" s="1"/>
  <c r="N2" i="1" s="1"/>
  <c r="K2" i="1"/>
  <c r="J2" i="1"/>
  <c r="O14" i="1" l="1"/>
  <c r="Q14" i="1" s="1"/>
  <c r="O18" i="1"/>
  <c r="Q18" i="1" s="1"/>
  <c r="O11" i="1"/>
  <c r="O27" i="1"/>
  <c r="Q27" i="1" s="1"/>
  <c r="O22" i="1"/>
  <c r="Q22" i="1" s="1"/>
  <c r="Q10" i="1"/>
  <c r="Q11" i="1"/>
  <c r="Q19" i="1"/>
  <c r="O15" i="1"/>
  <c r="Q15" i="1" s="1"/>
  <c r="O23" i="1"/>
  <c r="Q23" i="1" s="1"/>
  <c r="O26" i="1"/>
  <c r="Q26" i="1" s="1"/>
  <c r="O10" i="1"/>
  <c r="O9" i="1"/>
  <c r="Q9" i="1" s="1"/>
  <c r="O4" i="1"/>
  <c r="Q8" i="1"/>
  <c r="Q4" i="1"/>
  <c r="Q6" i="1"/>
  <c r="O3" i="1"/>
  <c r="Q3" i="1" s="1"/>
  <c r="O2" i="1"/>
  <c r="Q2" i="1" s="1"/>
</calcChain>
</file>

<file path=xl/sharedStrings.xml><?xml version="1.0" encoding="utf-8"?>
<sst xmlns="http://schemas.openxmlformats.org/spreadsheetml/2006/main" count="76" uniqueCount="46">
  <si>
    <t>author</t>
  </si>
  <si>
    <t>year</t>
  </si>
  <si>
    <t>n_t</t>
  </si>
  <si>
    <t>n_c</t>
  </si>
  <si>
    <t>n</t>
  </si>
  <si>
    <t>lCI</t>
  </si>
  <si>
    <t>uCI</t>
  </si>
  <si>
    <t>trial_type</t>
  </si>
  <si>
    <t>Hypertensive</t>
  </si>
  <si>
    <t>Non-hypertensive</t>
  </si>
  <si>
    <t>Shargorodsky</t>
  </si>
  <si>
    <t>Farah</t>
  </si>
  <si>
    <t>Rodrigo</t>
  </si>
  <si>
    <t>Mahajan</t>
  </si>
  <si>
    <t>Plantinga</t>
  </si>
  <si>
    <t>Ward</t>
  </si>
  <si>
    <t>Magen</t>
  </si>
  <si>
    <t>Mullan</t>
  </si>
  <si>
    <t>Duffy</t>
  </si>
  <si>
    <t>Gaede</t>
  </si>
  <si>
    <t>Ghosh</t>
  </si>
  <si>
    <t>Salonen</t>
  </si>
  <si>
    <t>Farvid</t>
  </si>
  <si>
    <t>Wang</t>
  </si>
  <si>
    <t>Nightingale</t>
  </si>
  <si>
    <t>Hutchins</t>
  </si>
  <si>
    <t>Schutte</t>
  </si>
  <si>
    <t>Block</t>
  </si>
  <si>
    <t>Brody</t>
  </si>
  <si>
    <t>Darko</t>
  </si>
  <si>
    <t>Singh</t>
  </si>
  <si>
    <t>Fotherby</t>
  </si>
  <si>
    <t>Title</t>
  </si>
  <si>
    <t>Gokce</t>
  </si>
  <si>
    <t>Osilesi</t>
  </si>
  <si>
    <t>Keith</t>
  </si>
  <si>
    <t>md_neg</t>
  </si>
  <si>
    <t>lCI_neg</t>
  </si>
  <si>
    <t>uCI_neg</t>
  </si>
  <si>
    <t>md</t>
  </si>
  <si>
    <t>se_md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</si>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</sst>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L9" sqref="L9"/>
    </sheetView>
  </sheetViews>
  <sheetFormatPr defaultRowHeight="15" x14ac:dyDescent="0.25"/>
  <cols>
    <col min="1" max="1" width="12.85546875" bestFit="1" customWidth="1"/>
    <col min="2" max="2" width="5" bestFit="1" customWidth="1"/>
    <col min="3" max="3" width="3.85546875" bestFit="1" customWidth="1"/>
    <col min="4" max="4" width="4" bestFit="1" customWidth="1"/>
    <col min="5" max="5" width="3" bestFit="1" customWidth="1"/>
    <col min="6" max="6" width="6.28515625" bestFit="1" customWidth="1"/>
    <col min="7" max="7" width="6.7109375" bestFit="1" customWidth="1"/>
    <col min="8" max="8" width="6" bestFit="1" customWidth="1"/>
    <col min="9" max="9" width="17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  <c r="G1" t="s">
        <v>37</v>
      </c>
      <c r="H1" t="s">
        <v>38</v>
      </c>
      <c r="I1" t="s">
        <v>7</v>
      </c>
      <c r="J1" t="s">
        <v>39</v>
      </c>
      <c r="K1" t="s">
        <v>5</v>
      </c>
      <c r="L1" t="s">
        <v>6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 x14ac:dyDescent="0.25">
      <c r="A2" t="s">
        <v>25</v>
      </c>
      <c r="B2">
        <v>2005</v>
      </c>
      <c r="E2">
        <v>8</v>
      </c>
      <c r="F2">
        <v>0</v>
      </c>
      <c r="G2">
        <v>-7.37</v>
      </c>
      <c r="H2">
        <v>7.37</v>
      </c>
      <c r="I2" t="s">
        <v>9</v>
      </c>
      <c r="J2">
        <f>-F2</f>
        <v>0</v>
      </c>
      <c r="K2">
        <f>-H2</f>
        <v>-7.37</v>
      </c>
      <c r="L2">
        <f>-G2</f>
        <v>7.37</v>
      </c>
      <c r="M2">
        <f>(L2-K2)/2/1.96</f>
        <v>3.7602040816326534</v>
      </c>
      <c r="N2">
        <f>M2*SQRT(E2)</f>
        <v>10.635463219071134</v>
      </c>
      <c r="O2">
        <f>J2/N2</f>
        <v>0</v>
      </c>
      <c r="P2">
        <f>1-3/(4*(E2-1)-1)</f>
        <v>0.88888888888888884</v>
      </c>
      <c r="Q2">
        <f>P2*O2</f>
        <v>0</v>
      </c>
      <c r="R2">
        <f>P2*M2/N2</f>
        <v>0.31426968052735443</v>
      </c>
    </row>
    <row r="3" spans="1:18" x14ac:dyDescent="0.25">
      <c r="A3" t="s">
        <v>35</v>
      </c>
      <c r="B3">
        <v>1982</v>
      </c>
      <c r="E3">
        <v>10</v>
      </c>
      <c r="F3">
        <v>-1</v>
      </c>
      <c r="G3">
        <v>-3.63</v>
      </c>
      <c r="H3">
        <v>1.63</v>
      </c>
      <c r="I3" t="s">
        <v>9</v>
      </c>
      <c r="J3">
        <f t="shared" ref="J3:J9" si="0">-F3</f>
        <v>1</v>
      </c>
      <c r="K3">
        <f t="shared" ref="K3:K9" si="1">-H3</f>
        <v>-1.63</v>
      </c>
      <c r="L3">
        <f t="shared" ref="L3:L9" si="2">-G3</f>
        <v>3.63</v>
      </c>
      <c r="M3">
        <f t="shared" ref="M3:M9" si="3">(L3-K3)/2/1.96</f>
        <v>1.3418367346938775</v>
      </c>
      <c r="N3">
        <f t="shared" ref="N3:N8" si="4">M3*SQRT(E3)</f>
        <v>4.2432603297157341</v>
      </c>
      <c r="O3">
        <f t="shared" ref="O3:O9" si="5">J3/N3</f>
        <v>0.23566784083384115</v>
      </c>
      <c r="P3">
        <f t="shared" ref="P3:P8" si="6">1-3/(4*(E3-1)-1)</f>
        <v>0.91428571428571426</v>
      </c>
      <c r="Q3">
        <f t="shared" ref="Q3:Q9" si="7">P3*O3</f>
        <v>0.21546774019094048</v>
      </c>
      <c r="R3">
        <f>P3*M3/N3</f>
        <v>0.28912252892968032</v>
      </c>
    </row>
    <row r="4" spans="1:18" x14ac:dyDescent="0.25">
      <c r="A4" t="s">
        <v>35</v>
      </c>
      <c r="B4">
        <v>1982</v>
      </c>
      <c r="E4">
        <v>12</v>
      </c>
      <c r="F4">
        <v>5</v>
      </c>
      <c r="G4">
        <v>1.39</v>
      </c>
      <c r="H4">
        <v>8.61</v>
      </c>
      <c r="I4" t="s">
        <v>9</v>
      </c>
      <c r="J4">
        <f t="shared" si="0"/>
        <v>-5</v>
      </c>
      <c r="K4">
        <f t="shared" si="1"/>
        <v>-8.61</v>
      </c>
      <c r="L4">
        <f t="shared" si="2"/>
        <v>-1.39</v>
      </c>
      <c r="M4">
        <f t="shared" si="3"/>
        <v>1.8418367346938775</v>
      </c>
      <c r="N4">
        <f t="shared" si="4"/>
        <v>6.3803096074731087</v>
      </c>
      <c r="O4">
        <f t="shared" si="5"/>
        <v>-0.78366103020198519</v>
      </c>
      <c r="P4">
        <f t="shared" si="6"/>
        <v>0.93023255813953487</v>
      </c>
      <c r="Q4">
        <f t="shared" si="7"/>
        <v>-0.72898700483905599</v>
      </c>
      <c r="R4">
        <f>P4*M4/N4</f>
        <v>0.26853500892540733</v>
      </c>
    </row>
    <row r="5" spans="1:18" x14ac:dyDescent="0.25">
      <c r="A5" t="s">
        <v>34</v>
      </c>
      <c r="B5">
        <v>1991</v>
      </c>
      <c r="E5">
        <v>20</v>
      </c>
      <c r="F5">
        <v>0.6</v>
      </c>
      <c r="G5">
        <v>-2.73</v>
      </c>
      <c r="H5">
        <v>3.93</v>
      </c>
      <c r="I5" t="s">
        <v>9</v>
      </c>
      <c r="J5">
        <f t="shared" si="0"/>
        <v>-0.6</v>
      </c>
      <c r="K5">
        <f t="shared" si="1"/>
        <v>-3.93</v>
      </c>
      <c r="L5">
        <f t="shared" si="2"/>
        <v>2.73</v>
      </c>
      <c r="M5">
        <f t="shared" si="3"/>
        <v>1.6989795918367347</v>
      </c>
      <c r="N5">
        <f t="shared" si="4"/>
        <v>7.5980677194635717</v>
      </c>
      <c r="O5">
        <f t="shared" si="5"/>
        <v>-7.896744569188445E-2</v>
      </c>
      <c r="P5">
        <f t="shared" si="6"/>
        <v>0.96</v>
      </c>
      <c r="Q5">
        <f t="shared" si="7"/>
        <v>-7.5808747864209075E-2</v>
      </c>
      <c r="R5">
        <f>P5*M5/N5</f>
        <v>0.2146625258399798</v>
      </c>
    </row>
    <row r="6" spans="1:18" x14ac:dyDescent="0.25">
      <c r="A6" t="s">
        <v>19</v>
      </c>
      <c r="B6">
        <v>2001</v>
      </c>
      <c r="E6">
        <v>29</v>
      </c>
      <c r="F6">
        <v>-1.3</v>
      </c>
      <c r="G6">
        <v>-4.4400000000000004</v>
      </c>
      <c r="H6">
        <v>1.84</v>
      </c>
      <c r="I6" t="s">
        <v>8</v>
      </c>
      <c r="J6">
        <f t="shared" si="0"/>
        <v>1.3</v>
      </c>
      <c r="K6">
        <f t="shared" si="1"/>
        <v>-1.84</v>
      </c>
      <c r="L6">
        <f t="shared" si="2"/>
        <v>4.4400000000000004</v>
      </c>
      <c r="M6">
        <f t="shared" si="3"/>
        <v>1.6020408163265307</v>
      </c>
      <c r="N6">
        <f t="shared" si="4"/>
        <v>8.6272538236746641</v>
      </c>
      <c r="O6">
        <f t="shared" si="5"/>
        <v>0.15068526167997714</v>
      </c>
      <c r="P6">
        <f t="shared" si="6"/>
        <v>0.97297297297297303</v>
      </c>
      <c r="Q6">
        <f t="shared" si="7"/>
        <v>0.14661268703997776</v>
      </c>
      <c r="R6">
        <f>P6*M6/N6</f>
        <v>0.18067654525334778</v>
      </c>
    </row>
    <row r="7" spans="1:18" x14ac:dyDescent="0.25">
      <c r="A7" t="s">
        <v>14</v>
      </c>
      <c r="B7">
        <v>2007</v>
      </c>
      <c r="E7">
        <v>30</v>
      </c>
      <c r="F7">
        <v>-1</v>
      </c>
      <c r="G7">
        <v>-4.29</v>
      </c>
      <c r="H7">
        <v>2.29</v>
      </c>
      <c r="I7" t="s">
        <v>8</v>
      </c>
      <c r="J7">
        <f t="shared" si="0"/>
        <v>1</v>
      </c>
      <c r="K7">
        <f t="shared" si="1"/>
        <v>-2.29</v>
      </c>
      <c r="L7">
        <f t="shared" si="2"/>
        <v>4.29</v>
      </c>
      <c r="M7">
        <f t="shared" si="3"/>
        <v>1.6785714285714286</v>
      </c>
      <c r="N7">
        <f t="shared" si="4"/>
        <v>9.1939143581224307</v>
      </c>
      <c r="O7">
        <f t="shared" si="5"/>
        <v>0.10876760007194788</v>
      </c>
      <c r="P7">
        <f t="shared" si="6"/>
        <v>0.97391304347826091</v>
      </c>
      <c r="Q7">
        <f t="shared" si="7"/>
        <v>0.10593018441789707</v>
      </c>
      <c r="R7">
        <f>P7*M7/N7</f>
        <v>0.17781138098718438</v>
      </c>
    </row>
    <row r="8" spans="1:18" x14ac:dyDescent="0.25">
      <c r="A8" t="s">
        <v>31</v>
      </c>
      <c r="B8">
        <v>2000</v>
      </c>
      <c r="E8">
        <v>40</v>
      </c>
      <c r="F8">
        <v>-1</v>
      </c>
      <c r="G8">
        <v>-2.4500000000000002</v>
      </c>
      <c r="H8">
        <v>0.45</v>
      </c>
      <c r="I8" t="s">
        <v>9</v>
      </c>
      <c r="J8">
        <f t="shared" si="0"/>
        <v>1</v>
      </c>
      <c r="K8">
        <f t="shared" si="1"/>
        <v>-0.45</v>
      </c>
      <c r="L8">
        <f t="shared" si="2"/>
        <v>2.4500000000000002</v>
      </c>
      <c r="M8">
        <f t="shared" si="3"/>
        <v>0.73979591836734704</v>
      </c>
      <c r="N8">
        <f t="shared" si="4"/>
        <v>4.678880211473623</v>
      </c>
      <c r="O8">
        <f t="shared" si="5"/>
        <v>0.21372635220448355</v>
      </c>
      <c r="P8">
        <f t="shared" si="6"/>
        <v>0.98064516129032253</v>
      </c>
      <c r="Q8">
        <f t="shared" si="7"/>
        <v>0.20958971312955804</v>
      </c>
      <c r="R8">
        <f>P8*M8/N8</f>
        <v>0.1550536143050302</v>
      </c>
    </row>
    <row r="9" spans="1:18" x14ac:dyDescent="0.25">
      <c r="A9" t="s">
        <v>10</v>
      </c>
      <c r="B9">
        <v>2010</v>
      </c>
      <c r="C9">
        <v>36</v>
      </c>
      <c r="D9">
        <v>34</v>
      </c>
      <c r="F9">
        <v>-2.5</v>
      </c>
      <c r="G9">
        <v>-6.42</v>
      </c>
      <c r="H9">
        <v>1.42</v>
      </c>
      <c r="I9" t="s">
        <v>8</v>
      </c>
      <c r="J9">
        <f t="shared" si="0"/>
        <v>2.5</v>
      </c>
      <c r="K9">
        <f t="shared" si="1"/>
        <v>-1.42</v>
      </c>
      <c r="L9">
        <f t="shared" si="2"/>
        <v>6.42</v>
      </c>
      <c r="M9">
        <f t="shared" si="3"/>
        <v>2</v>
      </c>
      <c r="N9">
        <f t="shared" ref="N9" si="8">M9/SQRT(1/C9+1/D9)</f>
        <v>8.3631846292460352</v>
      </c>
      <c r="O9">
        <f t="shared" si="5"/>
        <v>0.29892918915809968</v>
      </c>
      <c r="P9">
        <f t="shared" ref="P9" si="9">1-3/(4*(D9+C9-2)-1)</f>
        <v>0.98892988929889303</v>
      </c>
      <c r="Q9">
        <f t="shared" si="7"/>
        <v>0.2956200099423274</v>
      </c>
      <c r="R9">
        <f>P9*M9/N9</f>
        <v>0.23649600795386191</v>
      </c>
    </row>
    <row r="10" spans="1:18" x14ac:dyDescent="0.25">
      <c r="A10" t="s">
        <v>11</v>
      </c>
      <c r="B10">
        <v>2008</v>
      </c>
      <c r="C10">
        <v>8</v>
      </c>
      <c r="D10">
        <v>8</v>
      </c>
      <c r="F10">
        <v>-10.8</v>
      </c>
      <c r="G10">
        <v>-34.340000000000003</v>
      </c>
      <c r="H10">
        <v>12.74</v>
      </c>
      <c r="I10" t="s">
        <v>8</v>
      </c>
      <c r="J10">
        <f t="shared" ref="J10:J30" si="10">-F10</f>
        <v>10.8</v>
      </c>
      <c r="K10">
        <f t="shared" ref="K10:K30" si="11">-H10</f>
        <v>-12.74</v>
      </c>
      <c r="L10">
        <f t="shared" ref="L10:L30" si="12">-G10</f>
        <v>34.340000000000003</v>
      </c>
      <c r="M10">
        <f t="shared" ref="M10:M30" si="13">(L10-K10)/2/1.96</f>
        <v>12.010204081632654</v>
      </c>
      <c r="N10">
        <f t="shared" ref="N10:N30" si="14">M10/SQRT(1/C10+1/D10)</f>
        <v>24.020408163265309</v>
      </c>
      <c r="O10">
        <f t="shared" ref="O10:O30" si="15">J10/N10</f>
        <v>0.44961767204757858</v>
      </c>
      <c r="P10">
        <f t="shared" ref="P10:P30" si="16">1-3/(4*(D10+C10-2)-1)</f>
        <v>0.94545454545454544</v>
      </c>
      <c r="Q10">
        <f t="shared" ref="Q10:Q30" si="17">P10*O10</f>
        <v>0.42509307175407429</v>
      </c>
      <c r="R10">
        <f>P10*M10/N10</f>
        <v>0.47272727272727266</v>
      </c>
    </row>
    <row r="11" spans="1:18" x14ac:dyDescent="0.25">
      <c r="A11" t="s">
        <v>12</v>
      </c>
      <c r="B11">
        <v>2008</v>
      </c>
      <c r="C11">
        <v>55</v>
      </c>
      <c r="D11">
        <v>55</v>
      </c>
      <c r="F11">
        <v>-7.4</v>
      </c>
      <c r="G11">
        <v>-9.24</v>
      </c>
      <c r="H11">
        <v>-5.56</v>
      </c>
      <c r="I11" t="s">
        <v>8</v>
      </c>
      <c r="J11">
        <f t="shared" si="10"/>
        <v>7.4</v>
      </c>
      <c r="K11">
        <f t="shared" si="11"/>
        <v>5.56</v>
      </c>
      <c r="L11">
        <f t="shared" si="12"/>
        <v>9.24</v>
      </c>
      <c r="M11">
        <f t="shared" si="13"/>
        <v>0.93877551020408179</v>
      </c>
      <c r="N11">
        <f t="shared" si="14"/>
        <v>4.922980307737447</v>
      </c>
      <c r="O11">
        <f t="shared" si="15"/>
        <v>1.5031544993932684</v>
      </c>
      <c r="P11">
        <f t="shared" si="16"/>
        <v>0.99303944315545245</v>
      </c>
      <c r="Q11">
        <f t="shared" si="17"/>
        <v>1.4926917070541041</v>
      </c>
      <c r="R11">
        <f>P11*M11/N11</f>
        <v>0.18936519173879976</v>
      </c>
    </row>
    <row r="12" spans="1:18" x14ac:dyDescent="0.25">
      <c r="A12" t="s">
        <v>13</v>
      </c>
      <c r="B12">
        <v>2007</v>
      </c>
      <c r="C12">
        <v>20</v>
      </c>
      <c r="D12">
        <v>20</v>
      </c>
      <c r="F12">
        <v>0.5</v>
      </c>
      <c r="G12">
        <v>-1.7</v>
      </c>
      <c r="H12">
        <v>2.7</v>
      </c>
      <c r="I12" t="s">
        <v>8</v>
      </c>
      <c r="J12">
        <f t="shared" si="10"/>
        <v>-0.5</v>
      </c>
      <c r="K12">
        <f t="shared" si="11"/>
        <v>-2.7</v>
      </c>
      <c r="L12">
        <f t="shared" si="12"/>
        <v>1.7</v>
      </c>
      <c r="M12">
        <f t="shared" si="13"/>
        <v>1.1224489795918369</v>
      </c>
      <c r="N12">
        <f t="shared" si="14"/>
        <v>3.5494953328420586</v>
      </c>
      <c r="O12">
        <f t="shared" si="15"/>
        <v>-0.1408650957711369</v>
      </c>
      <c r="P12">
        <f t="shared" si="16"/>
        <v>0.98013245033112584</v>
      </c>
      <c r="Q12">
        <f t="shared" si="17"/>
        <v>-0.13806645148429311</v>
      </c>
      <c r="R12">
        <f>P12*M12/N12</f>
        <v>0.30994509516882129</v>
      </c>
    </row>
    <row r="13" spans="1:18" x14ac:dyDescent="0.25">
      <c r="A13" t="s">
        <v>15</v>
      </c>
      <c r="B13">
        <v>2005</v>
      </c>
      <c r="C13">
        <v>19</v>
      </c>
      <c r="D13">
        <v>18</v>
      </c>
      <c r="F13">
        <v>1.2</v>
      </c>
      <c r="G13">
        <v>0.02</v>
      </c>
      <c r="H13">
        <v>2.38</v>
      </c>
      <c r="I13" t="s">
        <v>8</v>
      </c>
      <c r="J13">
        <f t="shared" si="10"/>
        <v>-1.2</v>
      </c>
      <c r="K13">
        <f t="shared" si="11"/>
        <v>-2.38</v>
      </c>
      <c r="L13">
        <f t="shared" si="12"/>
        <v>-0.02</v>
      </c>
      <c r="M13">
        <f t="shared" si="13"/>
        <v>0.60204081632653061</v>
      </c>
      <c r="N13">
        <f t="shared" si="14"/>
        <v>1.830366788134431</v>
      </c>
      <c r="O13">
        <f t="shared" si="15"/>
        <v>-0.65560630130482145</v>
      </c>
      <c r="P13">
        <f t="shared" si="16"/>
        <v>0.97841726618705038</v>
      </c>
      <c r="Q13">
        <f t="shared" si="17"/>
        <v>-0.64145652501766703</v>
      </c>
      <c r="R13">
        <f>P13*M13/N13</f>
        <v>0.3218191749663466</v>
      </c>
    </row>
    <row r="14" spans="1:18" x14ac:dyDescent="0.25">
      <c r="A14" t="s">
        <v>16</v>
      </c>
      <c r="B14">
        <v>2004</v>
      </c>
      <c r="C14">
        <v>17</v>
      </c>
      <c r="D14">
        <v>16</v>
      </c>
      <c r="F14">
        <v>4.8</v>
      </c>
      <c r="G14">
        <v>1.96</v>
      </c>
      <c r="H14">
        <v>7.64</v>
      </c>
      <c r="I14" t="s">
        <v>8</v>
      </c>
      <c r="J14">
        <f t="shared" si="10"/>
        <v>-4.8</v>
      </c>
      <c r="K14">
        <f t="shared" si="11"/>
        <v>-7.64</v>
      </c>
      <c r="L14">
        <f t="shared" si="12"/>
        <v>-1.96</v>
      </c>
      <c r="M14">
        <f t="shared" si="13"/>
        <v>1.4489795918367347</v>
      </c>
      <c r="N14">
        <f t="shared" si="14"/>
        <v>4.1599657095619929</v>
      </c>
      <c r="O14">
        <f t="shared" si="15"/>
        <v>-1.1538556649558049</v>
      </c>
      <c r="P14">
        <f t="shared" si="16"/>
        <v>0.97560975609756095</v>
      </c>
      <c r="Q14">
        <f t="shared" si="17"/>
        <v>-1.1257128438593218</v>
      </c>
      <c r="R14">
        <f>P14*M14/N14</f>
        <v>0.33981977854596879</v>
      </c>
    </row>
    <row r="15" spans="1:18" x14ac:dyDescent="0.25">
      <c r="A15" t="s">
        <v>17</v>
      </c>
      <c r="B15">
        <v>2002</v>
      </c>
      <c r="C15">
        <v>15</v>
      </c>
      <c r="D15">
        <v>15</v>
      </c>
      <c r="F15">
        <v>-4.5</v>
      </c>
      <c r="G15">
        <v>-7.58</v>
      </c>
      <c r="H15">
        <v>-1.42</v>
      </c>
      <c r="I15" t="s">
        <v>8</v>
      </c>
      <c r="J15">
        <f t="shared" si="10"/>
        <v>4.5</v>
      </c>
      <c r="K15">
        <f t="shared" si="11"/>
        <v>1.42</v>
      </c>
      <c r="L15">
        <f t="shared" si="12"/>
        <v>7.58</v>
      </c>
      <c r="M15">
        <f t="shared" si="13"/>
        <v>1.5714285714285714</v>
      </c>
      <c r="N15">
        <f t="shared" si="14"/>
        <v>4.3035343803977337</v>
      </c>
      <c r="O15">
        <f t="shared" si="15"/>
        <v>1.0456521552371354</v>
      </c>
      <c r="P15">
        <f t="shared" si="16"/>
        <v>0.97297297297297303</v>
      </c>
      <c r="Q15">
        <f t="shared" si="17"/>
        <v>1.0173912861766723</v>
      </c>
      <c r="R15">
        <f>P15*M15/N15</f>
        <v>0.35527949676010778</v>
      </c>
    </row>
    <row r="16" spans="1:18" x14ac:dyDescent="0.25">
      <c r="A16" t="s">
        <v>18</v>
      </c>
      <c r="B16">
        <v>2001</v>
      </c>
      <c r="C16">
        <v>19</v>
      </c>
      <c r="D16">
        <v>20</v>
      </c>
      <c r="F16">
        <v>-4</v>
      </c>
      <c r="G16">
        <v>-9.61</v>
      </c>
      <c r="H16">
        <v>1.61</v>
      </c>
      <c r="I16" t="s">
        <v>8</v>
      </c>
      <c r="J16">
        <f t="shared" si="10"/>
        <v>4</v>
      </c>
      <c r="K16">
        <f t="shared" si="11"/>
        <v>-1.61</v>
      </c>
      <c r="L16">
        <f t="shared" si="12"/>
        <v>9.61</v>
      </c>
      <c r="M16">
        <f t="shared" si="13"/>
        <v>2.8622448979591835</v>
      </c>
      <c r="N16">
        <f t="shared" si="14"/>
        <v>8.9344183591545008</v>
      </c>
      <c r="O16">
        <f t="shared" si="15"/>
        <v>0.44770681640416665</v>
      </c>
      <c r="P16">
        <f t="shared" si="16"/>
        <v>0.97959183673469385</v>
      </c>
      <c r="Q16">
        <f t="shared" si="17"/>
        <v>0.43856994259999998</v>
      </c>
      <c r="R16">
        <f>P16*M16/N16</f>
        <v>0.31382364515127548</v>
      </c>
    </row>
    <row r="17" spans="1:18" x14ac:dyDescent="0.25">
      <c r="A17" t="s">
        <v>20</v>
      </c>
      <c r="B17">
        <v>1994</v>
      </c>
      <c r="C17">
        <v>22</v>
      </c>
      <c r="D17">
        <v>26</v>
      </c>
      <c r="F17">
        <v>-1.2</v>
      </c>
      <c r="G17">
        <v>-6.35</v>
      </c>
      <c r="H17">
        <v>3.95</v>
      </c>
      <c r="I17" t="s">
        <v>8</v>
      </c>
      <c r="J17">
        <f t="shared" si="10"/>
        <v>1.2</v>
      </c>
      <c r="K17">
        <f t="shared" si="11"/>
        <v>-3.95</v>
      </c>
      <c r="L17">
        <f t="shared" si="12"/>
        <v>6.35</v>
      </c>
      <c r="M17">
        <f t="shared" si="13"/>
        <v>2.6275510204081636</v>
      </c>
      <c r="N17">
        <f t="shared" si="14"/>
        <v>9.0704441464813872</v>
      </c>
      <c r="O17">
        <f t="shared" si="15"/>
        <v>0.13229782143198629</v>
      </c>
      <c r="P17">
        <f t="shared" si="16"/>
        <v>0.98360655737704916</v>
      </c>
      <c r="Q17">
        <f t="shared" si="17"/>
        <v>0.13012900468719962</v>
      </c>
      <c r="R17">
        <f>P17*M17/N17</f>
        <v>0.28493383254212512</v>
      </c>
    </row>
    <row r="18" spans="1:18" x14ac:dyDescent="0.25">
      <c r="A18" t="s">
        <v>21</v>
      </c>
      <c r="B18">
        <v>1994</v>
      </c>
      <c r="C18">
        <v>20</v>
      </c>
      <c r="D18">
        <v>20</v>
      </c>
      <c r="F18">
        <v>-2.9</v>
      </c>
      <c r="G18">
        <v>-7.31</v>
      </c>
      <c r="H18">
        <v>1.51</v>
      </c>
      <c r="I18" t="s">
        <v>8</v>
      </c>
      <c r="J18">
        <f t="shared" si="10"/>
        <v>2.9</v>
      </c>
      <c r="K18">
        <f t="shared" si="11"/>
        <v>-1.51</v>
      </c>
      <c r="L18">
        <f t="shared" si="12"/>
        <v>7.31</v>
      </c>
      <c r="M18">
        <f t="shared" si="13"/>
        <v>2.25</v>
      </c>
      <c r="N18">
        <f t="shared" si="14"/>
        <v>7.1151247353788536</v>
      </c>
      <c r="O18">
        <f t="shared" si="15"/>
        <v>0.40758245397725779</v>
      </c>
      <c r="P18">
        <f t="shared" si="16"/>
        <v>0.98013245033112584</v>
      </c>
      <c r="Q18">
        <f t="shared" si="17"/>
        <v>0.39948478932870302</v>
      </c>
      <c r="R18">
        <f>P18*M18/N18</f>
        <v>0.30994509516882129</v>
      </c>
    </row>
    <row r="19" spans="1:18" x14ac:dyDescent="0.25">
      <c r="A19" t="s">
        <v>22</v>
      </c>
      <c r="B19">
        <v>2010</v>
      </c>
      <c r="C19">
        <v>45</v>
      </c>
      <c r="D19">
        <v>22</v>
      </c>
      <c r="F19">
        <v>-8.59</v>
      </c>
      <c r="G19">
        <v>-12.78</v>
      </c>
      <c r="H19">
        <v>-4.4000000000000004</v>
      </c>
      <c r="I19" t="s">
        <v>9</v>
      </c>
      <c r="J19">
        <f t="shared" si="10"/>
        <v>8.59</v>
      </c>
      <c r="K19">
        <f t="shared" si="11"/>
        <v>4.4000000000000004</v>
      </c>
      <c r="L19">
        <f t="shared" si="12"/>
        <v>12.78</v>
      </c>
      <c r="M19">
        <f t="shared" si="13"/>
        <v>2.1377551020408161</v>
      </c>
      <c r="N19">
        <f t="shared" si="14"/>
        <v>8.2174703842180268</v>
      </c>
      <c r="O19">
        <f t="shared" si="15"/>
        <v>1.045333855598364</v>
      </c>
      <c r="P19">
        <f t="shared" si="16"/>
        <v>0.98841698841698844</v>
      </c>
      <c r="Q19">
        <f t="shared" si="17"/>
        <v>1.0332257414408541</v>
      </c>
      <c r="R19">
        <f>P19*M19/N19</f>
        <v>0.25713429573051116</v>
      </c>
    </row>
    <row r="20" spans="1:18" x14ac:dyDescent="0.25">
      <c r="A20" t="s">
        <v>23</v>
      </c>
      <c r="B20">
        <v>2009</v>
      </c>
      <c r="C20">
        <v>30</v>
      </c>
      <c r="D20">
        <v>29</v>
      </c>
      <c r="F20">
        <v>-6.2</v>
      </c>
      <c r="G20">
        <v>-11.43</v>
      </c>
      <c r="H20">
        <v>-0.97</v>
      </c>
      <c r="I20" t="s">
        <v>9</v>
      </c>
      <c r="J20">
        <f t="shared" si="10"/>
        <v>6.2</v>
      </c>
      <c r="K20">
        <f t="shared" si="11"/>
        <v>0.97</v>
      </c>
      <c r="L20">
        <f t="shared" si="12"/>
        <v>11.43</v>
      </c>
      <c r="M20">
        <f t="shared" si="13"/>
        <v>2.6683673469387754</v>
      </c>
      <c r="N20">
        <f t="shared" si="14"/>
        <v>10.246587145295445</v>
      </c>
      <c r="O20">
        <f t="shared" si="15"/>
        <v>0.60507951692448447</v>
      </c>
      <c r="P20">
        <f t="shared" si="16"/>
        <v>0.986784140969163</v>
      </c>
      <c r="Q20">
        <f t="shared" si="17"/>
        <v>0.59708287132636351</v>
      </c>
      <c r="R20">
        <f>P20*M20/N20</f>
        <v>0.2569736189135024</v>
      </c>
    </row>
    <row r="21" spans="1:18" x14ac:dyDescent="0.25">
      <c r="A21" t="s">
        <v>24</v>
      </c>
      <c r="B21">
        <v>2007</v>
      </c>
      <c r="C21">
        <v>19</v>
      </c>
      <c r="D21">
        <v>18</v>
      </c>
      <c r="F21">
        <v>2</v>
      </c>
      <c r="G21">
        <v>-5.59</v>
      </c>
      <c r="H21">
        <v>9.59</v>
      </c>
      <c r="I21" t="s">
        <v>9</v>
      </c>
      <c r="J21">
        <f t="shared" si="10"/>
        <v>-2</v>
      </c>
      <c r="K21">
        <f t="shared" si="11"/>
        <v>-9.59</v>
      </c>
      <c r="L21">
        <f t="shared" si="12"/>
        <v>5.59</v>
      </c>
      <c r="M21">
        <f t="shared" si="13"/>
        <v>3.8724489795918369</v>
      </c>
      <c r="N21">
        <f t="shared" si="14"/>
        <v>11.773291459271467</v>
      </c>
      <c r="O21">
        <f t="shared" si="15"/>
        <v>-0.1698760288844289</v>
      </c>
      <c r="P21">
        <f t="shared" si="16"/>
        <v>0.97841726618705038</v>
      </c>
      <c r="Q21">
        <f t="shared" si="17"/>
        <v>-0.16620963977181533</v>
      </c>
      <c r="R21">
        <f>P21*M21/N21</f>
        <v>0.32181917496634654</v>
      </c>
    </row>
    <row r="22" spans="1:18" x14ac:dyDescent="0.25">
      <c r="A22" t="s">
        <v>22</v>
      </c>
      <c r="B22">
        <v>2005</v>
      </c>
      <c r="C22">
        <v>35</v>
      </c>
      <c r="D22">
        <v>34</v>
      </c>
      <c r="F22">
        <v>-5</v>
      </c>
      <c r="G22">
        <v>-8.82</v>
      </c>
      <c r="H22">
        <v>-1.18</v>
      </c>
      <c r="I22" t="s">
        <v>9</v>
      </c>
      <c r="J22">
        <f t="shared" si="10"/>
        <v>5</v>
      </c>
      <c r="K22">
        <f t="shared" si="11"/>
        <v>1.18</v>
      </c>
      <c r="L22">
        <f t="shared" si="12"/>
        <v>8.82</v>
      </c>
      <c r="M22">
        <f t="shared" si="13"/>
        <v>1.948979591836735</v>
      </c>
      <c r="N22">
        <f t="shared" si="14"/>
        <v>8.0938700411612654</v>
      </c>
      <c r="O22">
        <f t="shared" si="15"/>
        <v>0.61775145567850342</v>
      </c>
      <c r="P22">
        <f t="shared" si="16"/>
        <v>0.9887640449438202</v>
      </c>
      <c r="Q22">
        <f t="shared" si="17"/>
        <v>0.61081042808661012</v>
      </c>
      <c r="R22">
        <f>P22*M22/N22</f>
        <v>0.23809141176437254</v>
      </c>
    </row>
    <row r="23" spans="1:18" x14ac:dyDescent="0.25">
      <c r="A23" t="s">
        <v>26</v>
      </c>
      <c r="B23">
        <v>2004</v>
      </c>
      <c r="C23">
        <v>17</v>
      </c>
      <c r="D23">
        <v>14</v>
      </c>
      <c r="F23">
        <v>-1.68</v>
      </c>
      <c r="G23">
        <v>-5.7</v>
      </c>
      <c r="H23">
        <v>2.34</v>
      </c>
      <c r="I23" t="s">
        <v>9</v>
      </c>
      <c r="J23">
        <f t="shared" si="10"/>
        <v>1.68</v>
      </c>
      <c r="K23">
        <f t="shared" si="11"/>
        <v>-2.34</v>
      </c>
      <c r="L23">
        <f t="shared" si="12"/>
        <v>5.7</v>
      </c>
      <c r="M23">
        <f t="shared" si="13"/>
        <v>2.0510204081632653</v>
      </c>
      <c r="N23">
        <f t="shared" si="14"/>
        <v>5.6829994411717903</v>
      </c>
      <c r="O23">
        <f t="shared" si="15"/>
        <v>0.29561854041878932</v>
      </c>
      <c r="P23">
        <f t="shared" si="16"/>
        <v>0.97391304347826091</v>
      </c>
      <c r="Q23">
        <f t="shared" si="17"/>
        <v>0.2879067524078644</v>
      </c>
      <c r="R23">
        <f>P23*M23/N23</f>
        <v>0.35148965764079654</v>
      </c>
    </row>
    <row r="24" spans="1:18" x14ac:dyDescent="0.25">
      <c r="A24" t="s">
        <v>24</v>
      </c>
      <c r="B24">
        <v>2003</v>
      </c>
      <c r="C24">
        <v>23</v>
      </c>
      <c r="D24">
        <v>15</v>
      </c>
      <c r="F24">
        <v>-9</v>
      </c>
      <c r="G24">
        <v>-14.55</v>
      </c>
      <c r="H24">
        <v>-3.45</v>
      </c>
      <c r="I24" t="s">
        <v>9</v>
      </c>
      <c r="J24">
        <f t="shared" si="10"/>
        <v>9</v>
      </c>
      <c r="K24">
        <f t="shared" si="11"/>
        <v>3.45</v>
      </c>
      <c r="L24">
        <f t="shared" si="12"/>
        <v>14.55</v>
      </c>
      <c r="M24">
        <f t="shared" si="13"/>
        <v>2.831632653061225</v>
      </c>
      <c r="N24">
        <f t="shared" si="14"/>
        <v>8.5320749331250028</v>
      </c>
      <c r="O24">
        <f t="shared" si="15"/>
        <v>1.054843056412728</v>
      </c>
      <c r="P24">
        <f t="shared" si="16"/>
        <v>0.97902097902097907</v>
      </c>
      <c r="Q24">
        <f t="shared" si="17"/>
        <v>1.0327134818026709</v>
      </c>
      <c r="R24">
        <f>P24*M24/N24</f>
        <v>0.324918357369888</v>
      </c>
    </row>
    <row r="25" spans="1:18" x14ac:dyDescent="0.25">
      <c r="A25" t="s">
        <v>27</v>
      </c>
      <c r="B25">
        <v>2002</v>
      </c>
      <c r="C25">
        <v>51</v>
      </c>
      <c r="D25">
        <v>53</v>
      </c>
      <c r="F25">
        <v>-4.46</v>
      </c>
      <c r="G25">
        <v>-7.07</v>
      </c>
      <c r="H25">
        <v>-1.85</v>
      </c>
      <c r="I25" t="s">
        <v>9</v>
      </c>
      <c r="J25">
        <f t="shared" si="10"/>
        <v>4.46</v>
      </c>
      <c r="K25">
        <f t="shared" si="11"/>
        <v>1.85</v>
      </c>
      <c r="L25">
        <f t="shared" si="12"/>
        <v>7.07</v>
      </c>
      <c r="M25">
        <f t="shared" si="13"/>
        <v>1.3316326530612246</v>
      </c>
      <c r="N25">
        <f t="shared" si="14"/>
        <v>6.7887652155935188</v>
      </c>
      <c r="O25">
        <f t="shared" si="15"/>
        <v>0.65696777813961815</v>
      </c>
      <c r="P25">
        <f t="shared" si="16"/>
        <v>0.99262899262899262</v>
      </c>
      <c r="Q25">
        <f t="shared" si="17"/>
        <v>0.65212526380443669</v>
      </c>
      <c r="R25">
        <f>P25*M25/N25</f>
        <v>0.19470656842335268</v>
      </c>
    </row>
    <row r="26" spans="1:18" x14ac:dyDescent="0.25">
      <c r="A26" t="s">
        <v>28</v>
      </c>
      <c r="B26">
        <v>2002</v>
      </c>
      <c r="C26">
        <v>54</v>
      </c>
      <c r="D26">
        <v>54</v>
      </c>
      <c r="F26">
        <v>-2</v>
      </c>
      <c r="G26">
        <v>-4.96</v>
      </c>
      <c r="H26">
        <v>0.96</v>
      </c>
      <c r="I26" t="s">
        <v>9</v>
      </c>
      <c r="J26">
        <f t="shared" si="10"/>
        <v>2</v>
      </c>
      <c r="K26">
        <f t="shared" si="11"/>
        <v>-0.96</v>
      </c>
      <c r="L26">
        <f t="shared" si="12"/>
        <v>4.96</v>
      </c>
      <c r="M26">
        <f t="shared" si="13"/>
        <v>1.510204081632653</v>
      </c>
      <c r="N26">
        <f t="shared" si="14"/>
        <v>7.8472505975569531</v>
      </c>
      <c r="O26">
        <f t="shared" si="15"/>
        <v>0.2548663350476727</v>
      </c>
      <c r="P26">
        <f t="shared" si="16"/>
        <v>0.99290780141843971</v>
      </c>
      <c r="Q26">
        <f t="shared" si="17"/>
        <v>0.25305877238776014</v>
      </c>
      <c r="R26">
        <f>P26*M26/N26</f>
        <v>0.1910851954764719</v>
      </c>
    </row>
    <row r="27" spans="1:18" x14ac:dyDescent="0.25">
      <c r="A27" t="s">
        <v>29</v>
      </c>
      <c r="B27">
        <v>2002</v>
      </c>
      <c r="C27">
        <v>18</v>
      </c>
      <c r="D27">
        <v>17</v>
      </c>
      <c r="F27">
        <v>0</v>
      </c>
      <c r="G27">
        <v>-6.19</v>
      </c>
      <c r="H27">
        <v>6.19</v>
      </c>
      <c r="I27" t="s">
        <v>9</v>
      </c>
      <c r="J27">
        <f t="shared" si="10"/>
        <v>0</v>
      </c>
      <c r="K27">
        <f t="shared" si="11"/>
        <v>-6.19</v>
      </c>
      <c r="L27">
        <f t="shared" si="12"/>
        <v>6.19</v>
      </c>
      <c r="M27">
        <f t="shared" si="13"/>
        <v>3.1581632653061229</v>
      </c>
      <c r="N27">
        <f t="shared" si="14"/>
        <v>9.3381590941388506</v>
      </c>
      <c r="O27">
        <f t="shared" si="15"/>
        <v>0</v>
      </c>
      <c r="P27">
        <f t="shared" si="16"/>
        <v>0.97709923664122134</v>
      </c>
      <c r="Q27">
        <f t="shared" si="17"/>
        <v>0</v>
      </c>
      <c r="R27">
        <f>P27*M27/N27</f>
        <v>0.33045473787824031</v>
      </c>
    </row>
    <row r="28" spans="1:18" x14ac:dyDescent="0.25">
      <c r="A28" t="s">
        <v>30</v>
      </c>
      <c r="B28">
        <v>2002</v>
      </c>
      <c r="C28">
        <v>18</v>
      </c>
      <c r="D28">
        <v>18</v>
      </c>
      <c r="F28">
        <v>3</v>
      </c>
      <c r="G28">
        <v>-2.19</v>
      </c>
      <c r="H28">
        <v>8.19</v>
      </c>
      <c r="I28" t="s">
        <v>9</v>
      </c>
      <c r="J28">
        <f t="shared" si="10"/>
        <v>-3</v>
      </c>
      <c r="K28">
        <f t="shared" si="11"/>
        <v>-8.19</v>
      </c>
      <c r="L28">
        <f t="shared" si="12"/>
        <v>2.19</v>
      </c>
      <c r="M28">
        <f t="shared" si="13"/>
        <v>2.6479591836734691</v>
      </c>
      <c r="N28">
        <f t="shared" si="14"/>
        <v>7.9438775510204076</v>
      </c>
      <c r="O28">
        <f t="shared" si="15"/>
        <v>-0.37764932562620429</v>
      </c>
      <c r="P28">
        <f t="shared" si="16"/>
        <v>0.97777777777777775</v>
      </c>
      <c r="Q28">
        <f t="shared" si="17"/>
        <v>-0.36925711839006642</v>
      </c>
      <c r="R28">
        <f>P28*M28/N28</f>
        <v>0.3259259259259259</v>
      </c>
    </row>
    <row r="29" spans="1:18" x14ac:dyDescent="0.25">
      <c r="A29" t="s">
        <v>32</v>
      </c>
      <c r="B29">
        <v>2000</v>
      </c>
      <c r="C29">
        <v>25</v>
      </c>
      <c r="D29">
        <v>25</v>
      </c>
      <c r="F29">
        <v>5</v>
      </c>
      <c r="G29">
        <v>0.73</v>
      </c>
      <c r="H29">
        <v>9.27</v>
      </c>
      <c r="I29" t="s">
        <v>9</v>
      </c>
      <c r="J29">
        <f t="shared" si="10"/>
        <v>-5</v>
      </c>
      <c r="K29">
        <f t="shared" si="11"/>
        <v>-9.27</v>
      </c>
      <c r="L29">
        <f t="shared" si="12"/>
        <v>-0.73</v>
      </c>
      <c r="M29">
        <f t="shared" si="13"/>
        <v>2.1785714285714284</v>
      </c>
      <c r="N29">
        <f t="shared" si="14"/>
        <v>7.7024131522106067</v>
      </c>
      <c r="O29">
        <f t="shared" si="15"/>
        <v>-0.64914720895814204</v>
      </c>
      <c r="P29">
        <f t="shared" si="16"/>
        <v>0.98429319371727753</v>
      </c>
      <c r="Q29">
        <f t="shared" si="17"/>
        <v>-0.63895117949806657</v>
      </c>
      <c r="R29">
        <f>P29*M29/N29</f>
        <v>0.27840015678130042</v>
      </c>
    </row>
    <row r="30" spans="1:18" x14ac:dyDescent="0.25">
      <c r="A30" t="s">
        <v>33</v>
      </c>
      <c r="B30">
        <v>1999</v>
      </c>
      <c r="C30">
        <v>21</v>
      </c>
      <c r="D30">
        <v>25</v>
      </c>
      <c r="F30">
        <v>1</v>
      </c>
      <c r="G30">
        <v>-3.45</v>
      </c>
      <c r="H30">
        <v>5.45</v>
      </c>
      <c r="I30" t="s">
        <v>9</v>
      </c>
      <c r="J30">
        <f t="shared" si="10"/>
        <v>-1</v>
      </c>
      <c r="K30">
        <f t="shared" si="11"/>
        <v>-5.45</v>
      </c>
      <c r="L30">
        <f t="shared" si="12"/>
        <v>3.45</v>
      </c>
      <c r="M30">
        <f t="shared" si="13"/>
        <v>2.2704081632653064</v>
      </c>
      <c r="N30">
        <f t="shared" si="14"/>
        <v>7.6701644512249603</v>
      </c>
      <c r="O30">
        <f t="shared" si="15"/>
        <v>-0.13037530112412329</v>
      </c>
      <c r="P30">
        <f t="shared" si="16"/>
        <v>0.98285714285714287</v>
      </c>
      <c r="Q30">
        <f t="shared" si="17"/>
        <v>-0.12814029596199547</v>
      </c>
      <c r="R30">
        <f>P30*M30/N30</f>
        <v>0.29093077399534684</v>
      </c>
    </row>
  </sheetData>
  <sortState xmlns:xlrd2="http://schemas.microsoft.com/office/spreadsheetml/2017/richdata2" ref="A2:I30">
    <sortCondition ref="E2:E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2025-12-30T22:45:01Z</dcterms:modified>
</cp:coreProperties>
</file>