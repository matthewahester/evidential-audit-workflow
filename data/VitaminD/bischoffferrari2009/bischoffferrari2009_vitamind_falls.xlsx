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bischoffferrari2009\"/>
    </mc:Choice>
  </mc:AlternateContent>
  <xr:revisionPtr revIDLastSave="0" documentId="13_ncr:1_{90EDCD50-D21D-4472-98B3-441DBDF71C05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P3" i="2" s="1"/>
  <c r="O4" i="2"/>
  <c r="P4" i="2" s="1"/>
  <c r="O5" i="2"/>
  <c r="P5" i="2" s="1"/>
  <c r="O6" i="2"/>
  <c r="P6" i="2" s="1"/>
  <c r="O7" i="2"/>
  <c r="P7" i="2" s="1"/>
  <c r="O8" i="2"/>
  <c r="P8" i="2" s="1"/>
  <c r="O2" i="2"/>
  <c r="P2" i="2" s="1"/>
  <c r="M2" i="2"/>
  <c r="N2" i="2"/>
  <c r="M3" i="2"/>
  <c r="M4" i="2"/>
  <c r="M5" i="2"/>
  <c r="M6" i="2"/>
  <c r="M7" i="2"/>
  <c r="M8" i="2"/>
  <c r="L3" i="2"/>
  <c r="N3" i="2" s="1"/>
  <c r="L4" i="2"/>
  <c r="L5" i="2"/>
  <c r="L6" i="2"/>
  <c r="N6" i="2" s="1"/>
  <c r="L7" i="2"/>
  <c r="L8" i="2"/>
  <c r="N8" i="2" s="1"/>
  <c r="L2" i="2"/>
  <c r="N5" i="2" l="1"/>
  <c r="N4" i="2"/>
  <c r="N7" i="2"/>
</calcChain>
</file>

<file path=xl/sharedStrings.xml><?xml version="1.0" encoding="utf-8"?>
<sst xmlns="http://schemas.openxmlformats.org/spreadsheetml/2006/main" count="23" uniqueCount="22">
  <si>
    <t>n</t>
  </si>
  <si>
    <t>Broe</t>
  </si>
  <si>
    <t>Prince</t>
  </si>
  <si>
    <t>Flicker</t>
  </si>
  <si>
    <t>Pfeifer</t>
  </si>
  <si>
    <t>Bischoff</t>
  </si>
  <si>
    <t>vitamind</t>
  </si>
  <si>
    <t>BischoffFerrari</t>
  </si>
  <si>
    <t>Author</t>
  </si>
  <si>
    <t>Year</t>
  </si>
  <si>
    <t>OR</t>
  </si>
  <si>
    <t>CI_lower_OR</t>
  </si>
  <si>
    <t>CI_upper_OR</t>
  </si>
  <si>
    <t>ES</t>
  </si>
  <si>
    <t>falls_treat</t>
  </si>
  <si>
    <t>n_treat</t>
  </si>
  <si>
    <t>falls_ctrl</t>
  </si>
  <si>
    <t>n_ctrl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</si>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</sst>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CEE3-E7A3-4BD9-A9FB-64447FAE09EF}">
  <dimension ref="A1:P8"/>
  <sheetViews>
    <sheetView tabSelected="1" topLeftCell="F1" workbookViewId="0">
      <selection activeCell="P5" sqref="P5"/>
    </sheetView>
  </sheetViews>
  <sheetFormatPr defaultColWidth="11.85546875" defaultRowHeight="15" x14ac:dyDescent="0.25"/>
  <cols>
    <col min="1" max="1" width="14.140625" bestFit="1" customWidth="1"/>
    <col min="2" max="2" width="5" bestFit="1" customWidth="1"/>
    <col min="3" max="3" width="8.85546875" bestFit="1" customWidth="1"/>
    <col min="4" max="4" width="4" bestFit="1" customWidth="1"/>
    <col min="5" max="5" width="10" bestFit="1" customWidth="1"/>
    <col min="6" max="6" width="7.42578125" bestFit="1" customWidth="1"/>
    <col min="7" max="7" width="8.5703125" bestFit="1" customWidth="1"/>
    <col min="8" max="8" width="6" bestFit="1" customWidth="1"/>
    <col min="9" max="9" width="5" bestFit="1" customWidth="1"/>
    <col min="10" max="10" width="12.42578125" bestFit="1" customWidth="1"/>
    <col min="11" max="11" width="12.5703125" bestFit="1" customWidth="1"/>
    <col min="12" max="12" width="11.5703125" bestFit="1" customWidth="1"/>
  </cols>
  <sheetData>
    <row r="1" spans="1:16" x14ac:dyDescent="0.25">
      <c r="A1" t="s">
        <v>8</v>
      </c>
      <c r="B1" t="s">
        <v>9</v>
      </c>
      <c r="C1" t="s">
        <v>6</v>
      </c>
      <c r="D1" t="s">
        <v>0</v>
      </c>
      <c r="E1" t="s">
        <v>14</v>
      </c>
      <c r="F1" t="s">
        <v>15</v>
      </c>
      <c r="G1" t="s">
        <v>16</v>
      </c>
      <c r="H1" t="s">
        <v>17</v>
      </c>
      <c r="I1" s="1" t="s">
        <v>10</v>
      </c>
      <c r="J1" s="1" t="s">
        <v>11</v>
      </c>
      <c r="K1" s="1" t="s">
        <v>12</v>
      </c>
      <c r="L1" s="1" t="s">
        <v>13</v>
      </c>
      <c r="M1" t="s">
        <v>18</v>
      </c>
      <c r="N1" t="s">
        <v>19</v>
      </c>
      <c r="O1" t="s">
        <v>21</v>
      </c>
      <c r="P1" t="s">
        <v>20</v>
      </c>
    </row>
    <row r="2" spans="1:16" x14ac:dyDescent="0.25">
      <c r="A2" t="s">
        <v>1</v>
      </c>
      <c r="B2">
        <v>2007</v>
      </c>
      <c r="C2">
        <v>800</v>
      </c>
      <c r="D2">
        <v>48</v>
      </c>
      <c r="E2">
        <v>5</v>
      </c>
      <c r="F2">
        <v>23</v>
      </c>
      <c r="G2">
        <v>11</v>
      </c>
      <c r="H2">
        <v>25</v>
      </c>
      <c r="I2">
        <v>0.49</v>
      </c>
      <c r="J2">
        <v>0.21</v>
      </c>
      <c r="K2">
        <v>1.1599999999999999</v>
      </c>
      <c r="L2" s="2">
        <f>-LN(I2)/1.81</f>
        <v>0.39411596015329547</v>
      </c>
      <c r="M2">
        <f t="shared" ref="M2:M8" si="0">1-3/(4*(H2+F2-2)-1)</f>
        <v>0.98360655737704916</v>
      </c>
      <c r="N2">
        <f t="shared" ref="N2:N8" si="1">M2*L2</f>
        <v>0.38765504277373325</v>
      </c>
      <c r="O2">
        <f>(LN(K2)-LN(J2))/2/1.96/1.81</f>
        <v>0.24087661424384677</v>
      </c>
      <c r="P2">
        <f>O2*M2</f>
        <v>0.23692781728902959</v>
      </c>
    </row>
    <row r="3" spans="1:16" x14ac:dyDescent="0.25">
      <c r="A3" t="s">
        <v>7</v>
      </c>
      <c r="B3">
        <v>2006</v>
      </c>
      <c r="C3">
        <v>700</v>
      </c>
      <c r="D3">
        <v>445</v>
      </c>
      <c r="E3">
        <v>107</v>
      </c>
      <c r="F3">
        <v>219</v>
      </c>
      <c r="G3">
        <v>124</v>
      </c>
      <c r="H3">
        <v>226</v>
      </c>
      <c r="I3">
        <v>0.89</v>
      </c>
      <c r="J3">
        <v>0.74</v>
      </c>
      <c r="K3">
        <v>1.07</v>
      </c>
      <c r="L3" s="2">
        <f t="shared" ref="L3:L8" si="2">-LN(I3)/1.81</f>
        <v>6.4383323898315747E-2</v>
      </c>
      <c r="M3">
        <f t="shared" si="0"/>
        <v>0.9983060417843026</v>
      </c>
      <c r="N3">
        <f t="shared" si="1"/>
        <v>6.4274261237844285E-2</v>
      </c>
      <c r="O3">
        <f t="shared" ref="O3:O8" si="3">(LN(K3)-LN(J3))/2/1.96/1.81</f>
        <v>5.1973692250780308E-2</v>
      </c>
      <c r="P3">
        <f t="shared" ref="P3:P8" si="4">O3*M3</f>
        <v>5.1885650987791972E-2</v>
      </c>
    </row>
    <row r="4" spans="1:16" x14ac:dyDescent="0.25">
      <c r="A4" t="s">
        <v>2</v>
      </c>
      <c r="B4">
        <v>2008</v>
      </c>
      <c r="C4">
        <v>1000</v>
      </c>
      <c r="D4">
        <v>302</v>
      </c>
      <c r="E4">
        <v>80</v>
      </c>
      <c r="F4">
        <v>151</v>
      </c>
      <c r="G4">
        <v>95</v>
      </c>
      <c r="H4">
        <v>151</v>
      </c>
      <c r="I4">
        <v>0.84</v>
      </c>
      <c r="J4">
        <v>0.69</v>
      </c>
      <c r="K4">
        <v>1.02</v>
      </c>
      <c r="L4" s="2">
        <f t="shared" si="2"/>
        <v>9.6327838201534691E-2</v>
      </c>
      <c r="M4">
        <f t="shared" si="0"/>
        <v>0.99749791492910755</v>
      </c>
      <c r="N4">
        <f t="shared" si="1"/>
        <v>9.608681775565929E-2</v>
      </c>
      <c r="O4">
        <f t="shared" si="3"/>
        <v>5.508883592950329E-2</v>
      </c>
      <c r="P4">
        <f t="shared" si="4"/>
        <v>5.4950998975551238E-2</v>
      </c>
    </row>
    <row r="5" spans="1:16" x14ac:dyDescent="0.25">
      <c r="A5" t="s">
        <v>3</v>
      </c>
      <c r="B5">
        <v>2005</v>
      </c>
      <c r="C5">
        <v>1000</v>
      </c>
      <c r="D5">
        <v>625</v>
      </c>
      <c r="E5">
        <v>170</v>
      </c>
      <c r="F5">
        <v>313</v>
      </c>
      <c r="G5">
        <v>185</v>
      </c>
      <c r="H5">
        <v>312</v>
      </c>
      <c r="I5">
        <v>0.92</v>
      </c>
      <c r="J5">
        <v>0.8</v>
      </c>
      <c r="K5">
        <v>1.05</v>
      </c>
      <c r="L5" s="2">
        <f t="shared" si="2"/>
        <v>4.6067187259144202E-2</v>
      </c>
      <c r="M5">
        <f t="shared" si="0"/>
        <v>0.99879566439181056</v>
      </c>
      <c r="N5">
        <f t="shared" si="1"/>
        <v>4.6011706905158885E-2</v>
      </c>
      <c r="O5">
        <f t="shared" si="3"/>
        <v>3.8326434136267018E-2</v>
      </c>
      <c r="P5">
        <f t="shared" si="4"/>
        <v>3.8280276246901786E-2</v>
      </c>
    </row>
    <row r="6" spans="1:16" x14ac:dyDescent="0.25">
      <c r="A6" t="s">
        <v>4</v>
      </c>
      <c r="B6">
        <v>2008</v>
      </c>
      <c r="C6">
        <v>800</v>
      </c>
      <c r="D6">
        <v>242</v>
      </c>
      <c r="E6">
        <v>48</v>
      </c>
      <c r="F6">
        <v>121</v>
      </c>
      <c r="G6">
        <v>76</v>
      </c>
      <c r="H6">
        <v>121</v>
      </c>
      <c r="I6">
        <v>0.63</v>
      </c>
      <c r="J6">
        <v>0.49</v>
      </c>
      <c r="K6">
        <v>0.81</v>
      </c>
      <c r="L6" s="2">
        <f t="shared" si="2"/>
        <v>0.2552682097218556</v>
      </c>
      <c r="M6">
        <f t="shared" si="0"/>
        <v>0.99687174139728885</v>
      </c>
      <c r="N6">
        <f t="shared" si="1"/>
        <v>0.25446966474879451</v>
      </c>
      <c r="O6">
        <f t="shared" si="3"/>
        <v>7.0840688995632575E-2</v>
      </c>
      <c r="P6">
        <f t="shared" si="4"/>
        <v>7.0619081000860007E-2</v>
      </c>
    </row>
    <row r="7" spans="1:16" x14ac:dyDescent="0.25">
      <c r="A7" t="s">
        <v>5</v>
      </c>
      <c r="B7">
        <v>2003</v>
      </c>
      <c r="C7">
        <v>800</v>
      </c>
      <c r="D7">
        <v>122</v>
      </c>
      <c r="E7">
        <v>14</v>
      </c>
      <c r="F7">
        <v>62</v>
      </c>
      <c r="G7">
        <v>18</v>
      </c>
      <c r="H7">
        <v>60</v>
      </c>
      <c r="I7">
        <v>0.75</v>
      </c>
      <c r="J7">
        <v>0.41</v>
      </c>
      <c r="K7">
        <v>1.37</v>
      </c>
      <c r="L7" s="2">
        <f t="shared" si="2"/>
        <v>0.15894037152032092</v>
      </c>
      <c r="M7">
        <f t="shared" si="0"/>
        <v>0.99373695198329859</v>
      </c>
      <c r="N7">
        <f t="shared" si="1"/>
        <v>0.1579449203416968</v>
      </c>
      <c r="O7">
        <f t="shared" si="3"/>
        <v>0.1700316917245204</v>
      </c>
      <c r="P7">
        <f t="shared" si="4"/>
        <v>0.16896677507488875</v>
      </c>
    </row>
    <row r="8" spans="1:16" x14ac:dyDescent="0.25">
      <c r="A8" t="s">
        <v>4</v>
      </c>
      <c r="B8">
        <v>2000</v>
      </c>
      <c r="C8">
        <v>800</v>
      </c>
      <c r="D8">
        <v>137</v>
      </c>
      <c r="E8">
        <v>11</v>
      </c>
      <c r="F8">
        <v>70</v>
      </c>
      <c r="G8">
        <v>19</v>
      </c>
      <c r="H8">
        <v>67</v>
      </c>
      <c r="I8">
        <v>0.55000000000000004</v>
      </c>
      <c r="J8">
        <v>0.28999999999999998</v>
      </c>
      <c r="K8">
        <v>1.06</v>
      </c>
      <c r="L8" s="2">
        <f t="shared" si="2"/>
        <v>0.33029668550034275</v>
      </c>
      <c r="M8">
        <f t="shared" si="0"/>
        <v>0.99443413729128016</v>
      </c>
      <c r="N8">
        <f t="shared" si="1"/>
        <v>0.3284582994957026</v>
      </c>
      <c r="O8">
        <f t="shared" si="3"/>
        <v>0.18267889053523412</v>
      </c>
      <c r="P8">
        <f t="shared" si="4"/>
        <v>0.18166212491073375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2025-12-26T21:51:08Z</dcterms:modified>
</cp:coreProperties>
</file>