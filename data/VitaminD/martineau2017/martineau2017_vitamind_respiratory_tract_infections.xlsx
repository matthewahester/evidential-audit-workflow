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martineau2017\"/>
    </mc:Choice>
  </mc:AlternateContent>
  <xr:revisionPtr revIDLastSave="0" documentId="13_ncr:1_{BBBDCF76-9038-44B7-947B-BD93A81E230B}" xr6:coauthVersionLast="47" xr6:coauthVersionMax="47" xr10:uidLastSave="{00000000-0000-0000-0000-000000000000}"/>
  <bookViews>
    <workbookView xWindow="38400" yWindow="2940" windowWidth="14400" windowHeight="16200" xr2:uid="{E74C0B75-19D4-4CF2-AED9-F3D08DDFACBC}"/>
  </bookViews>
  <sheets>
    <sheet name="martineau_vitamind_r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/>
  <c r="N7" i="1"/>
  <c r="O7" i="1"/>
  <c r="N8" i="1"/>
  <c r="O8" i="1" s="1"/>
  <c r="N9" i="1"/>
  <c r="O9" i="1" s="1"/>
  <c r="N10" i="1"/>
  <c r="O10" i="1" s="1"/>
  <c r="N11" i="1"/>
  <c r="O11" i="1" s="1"/>
  <c r="N12" i="1"/>
  <c r="O12" i="1"/>
  <c r="N13" i="1"/>
  <c r="O13" i="1"/>
  <c r="N14" i="1"/>
  <c r="O14" i="1"/>
  <c r="N15" i="1"/>
  <c r="O15" i="1"/>
  <c r="N16" i="1"/>
  <c r="O16" i="1" s="1"/>
  <c r="N17" i="1"/>
  <c r="O17" i="1" s="1"/>
  <c r="N18" i="1"/>
  <c r="O18" i="1"/>
  <c r="N19" i="1"/>
  <c r="O19" i="1" s="1"/>
  <c r="N20" i="1"/>
  <c r="O20" i="1" s="1"/>
  <c r="N21" i="1"/>
  <c r="O21" i="1"/>
  <c r="N22" i="1"/>
  <c r="O22" i="1" s="1"/>
  <c r="N23" i="1"/>
  <c r="O23" i="1" s="1"/>
  <c r="N24" i="1"/>
  <c r="O24" i="1" s="1"/>
  <c r="N25" i="1"/>
  <c r="O25" i="1" s="1"/>
  <c r="N2" i="1"/>
  <c r="O2" i="1" s="1"/>
  <c r="M2" i="1"/>
  <c r="L3" i="1"/>
  <c r="L4" i="1"/>
  <c r="L5" i="1"/>
  <c r="M5" i="1" s="1"/>
  <c r="L6" i="1"/>
  <c r="L7" i="1"/>
  <c r="L8" i="1"/>
  <c r="L9" i="1"/>
  <c r="L10" i="1"/>
  <c r="M10" i="1" s="1"/>
  <c r="L11" i="1"/>
  <c r="L12" i="1"/>
  <c r="M12" i="1" s="1"/>
  <c r="L13" i="1"/>
  <c r="M13" i="1" s="1"/>
  <c r="L14" i="1"/>
  <c r="M14" i="1" s="1"/>
  <c r="L15" i="1"/>
  <c r="L16" i="1"/>
  <c r="L17" i="1"/>
  <c r="L18" i="1"/>
  <c r="M18" i="1" s="1"/>
  <c r="L19" i="1"/>
  <c r="L20" i="1"/>
  <c r="M20" i="1" s="1"/>
  <c r="L21" i="1"/>
  <c r="L22" i="1"/>
  <c r="M22" i="1" s="1"/>
  <c r="L23" i="1"/>
  <c r="L24" i="1"/>
  <c r="M24" i="1" s="1"/>
  <c r="L25" i="1"/>
  <c r="M25" i="1" s="1"/>
  <c r="L2" i="1"/>
  <c r="M3" i="1"/>
  <c r="M4" i="1"/>
  <c r="M6" i="1"/>
  <c r="M7" i="1"/>
  <c r="M8" i="1"/>
  <c r="M9" i="1"/>
  <c r="M15" i="1"/>
  <c r="M16" i="1"/>
  <c r="M17" i="1"/>
  <c r="M19" i="1"/>
  <c r="M21" i="1"/>
  <c r="M11" i="1" l="1"/>
  <c r="M23" i="1"/>
</calcChain>
</file>

<file path=xl/sharedStrings.xml><?xml version="1.0" encoding="utf-8"?>
<sst xmlns="http://schemas.openxmlformats.org/spreadsheetml/2006/main" count="39" uniqueCount="37">
  <si>
    <t>Author</t>
  </si>
  <si>
    <t>Year</t>
  </si>
  <si>
    <t>n_control_f</t>
  </si>
  <si>
    <t>n_control</t>
  </si>
  <si>
    <t>n_treatment_f</t>
  </si>
  <si>
    <t>n_treatment</t>
  </si>
  <si>
    <t>weight</t>
  </si>
  <si>
    <t>OR</t>
  </si>
  <si>
    <t>CI_lower_OR</t>
  </si>
  <si>
    <t>CI_upper_OR</t>
  </si>
  <si>
    <t>ES</t>
  </si>
  <si>
    <t>Li-Ng</t>
  </si>
  <si>
    <t>Urashima</t>
  </si>
  <si>
    <t>Manaseki-Holland</t>
  </si>
  <si>
    <t>Laaksi</t>
  </si>
  <si>
    <t>Majak</t>
  </si>
  <si>
    <t>Trilok-Kumar</t>
  </si>
  <si>
    <t>Lehouck</t>
  </si>
  <si>
    <t>Camargo</t>
  </si>
  <si>
    <t>Murdoch</t>
  </si>
  <si>
    <t>Bergman</t>
  </si>
  <si>
    <t>Marchisio</t>
  </si>
  <si>
    <t>Rees</t>
  </si>
  <si>
    <t>Tran</t>
  </si>
  <si>
    <t>Goodall</t>
  </si>
  <si>
    <t>Grant</t>
  </si>
  <si>
    <t>MartineauCO</t>
  </si>
  <si>
    <t>MartineauAs</t>
  </si>
  <si>
    <t>MartineauFlu</t>
  </si>
  <si>
    <t>Dubnov-Raz</t>
  </si>
  <si>
    <t>Denlinger</t>
  </si>
  <si>
    <t>Tachimoto</t>
  </si>
  <si>
    <t>Ginde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</si>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</sst>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9B66-46C4-4B9E-AE5C-BE089EEC0676}">
  <dimension ref="A1:O25"/>
  <sheetViews>
    <sheetView tabSelected="1" topLeftCell="D1" workbookViewId="0">
      <selection activeCell="N5" sqref="N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33</v>
      </c>
      <c r="M1" t="s">
        <v>34</v>
      </c>
      <c r="N1" t="s">
        <v>36</v>
      </c>
      <c r="O1" t="s">
        <v>35</v>
      </c>
    </row>
    <row r="2" spans="1:15" x14ac:dyDescent="0.25">
      <c r="A2" t="s">
        <v>11</v>
      </c>
      <c r="B2">
        <v>2009</v>
      </c>
      <c r="C2">
        <v>33</v>
      </c>
      <c r="D2">
        <v>76</v>
      </c>
      <c r="E2">
        <v>32</v>
      </c>
      <c r="F2">
        <v>81</v>
      </c>
      <c r="G2">
        <v>3.48</v>
      </c>
      <c r="H2">
        <v>0.85</v>
      </c>
      <c r="I2">
        <v>0.44</v>
      </c>
      <c r="J2">
        <v>1.64</v>
      </c>
      <c r="K2">
        <v>8.9789463999999999E-2</v>
      </c>
      <c r="L2">
        <f t="shared" ref="L2:L25" si="0">1-3/(4*(F2+D2-2)-1)</f>
        <v>0.99515347334410342</v>
      </c>
      <c r="M2">
        <f t="shared" ref="M2:M25" si="1">L2*K2</f>
        <v>8.935429696930533E-2</v>
      </c>
      <c r="N2">
        <f>(LN(J2)-LN(I2))/2/1.96/1.81</f>
        <v>0.18543195313816907</v>
      </c>
      <c r="O2">
        <f>N2*L2</f>
        <v>0.18453325223442996</v>
      </c>
    </row>
    <row r="3" spans="1:15" x14ac:dyDescent="0.25">
      <c r="A3" t="s">
        <v>12</v>
      </c>
      <c r="B3">
        <v>2010</v>
      </c>
      <c r="C3">
        <v>69</v>
      </c>
      <c r="D3">
        <v>167</v>
      </c>
      <c r="E3">
        <v>68</v>
      </c>
      <c r="F3">
        <v>167</v>
      </c>
      <c r="G3">
        <v>5.36</v>
      </c>
      <c r="H3">
        <v>0.9</v>
      </c>
      <c r="I3">
        <v>0.57999999999999996</v>
      </c>
      <c r="J3">
        <v>1.41</v>
      </c>
      <c r="K3">
        <v>5.8210230000000002E-2</v>
      </c>
      <c r="L3">
        <f t="shared" si="0"/>
        <v>0.99773926149208747</v>
      </c>
      <c r="M3">
        <f t="shared" si="1"/>
        <v>5.8078631891484558E-2</v>
      </c>
      <c r="N3">
        <f t="shared" ref="N3:N25" si="2">(LN(J3)-LN(I3))/2/1.96/1.81</f>
        <v>0.12519969554512192</v>
      </c>
      <c r="O3">
        <f t="shared" ref="O3:O25" si="3">N3*L3</f>
        <v>0.12491665177222414</v>
      </c>
    </row>
    <row r="4" spans="1:15" x14ac:dyDescent="0.25">
      <c r="A4" t="s">
        <v>13</v>
      </c>
      <c r="B4">
        <v>2010</v>
      </c>
      <c r="C4">
        <v>126</v>
      </c>
      <c r="D4">
        <v>229</v>
      </c>
      <c r="E4">
        <v>97</v>
      </c>
      <c r="F4">
        <v>224</v>
      </c>
      <c r="G4">
        <v>6.12</v>
      </c>
      <c r="H4">
        <v>0.6</v>
      </c>
      <c r="I4">
        <v>0.41</v>
      </c>
      <c r="J4">
        <v>0.88</v>
      </c>
      <c r="K4">
        <v>0.28222410199999998</v>
      </c>
      <c r="L4">
        <f t="shared" si="0"/>
        <v>0.99833610648918469</v>
      </c>
      <c r="M4">
        <f t="shared" si="1"/>
        <v>0.28175451114808647</v>
      </c>
      <c r="N4">
        <f t="shared" si="2"/>
        <v>0.10764527395618147</v>
      </c>
      <c r="O4">
        <f t="shared" si="3"/>
        <v>0.10746616368337585</v>
      </c>
    </row>
    <row r="5" spans="1:15" x14ac:dyDescent="0.25">
      <c r="A5" t="s">
        <v>14</v>
      </c>
      <c r="B5">
        <v>2010</v>
      </c>
      <c r="C5">
        <v>54</v>
      </c>
      <c r="D5">
        <v>84</v>
      </c>
      <c r="E5">
        <v>39</v>
      </c>
      <c r="F5">
        <v>80</v>
      </c>
      <c r="G5">
        <v>3.58</v>
      </c>
      <c r="H5">
        <v>0.51</v>
      </c>
      <c r="I5">
        <v>0.27</v>
      </c>
      <c r="J5">
        <v>0.96</v>
      </c>
      <c r="K5">
        <v>0.37201356499999999</v>
      </c>
      <c r="L5">
        <f t="shared" si="0"/>
        <v>0.99536321483771251</v>
      </c>
      <c r="M5">
        <f t="shared" si="1"/>
        <v>0.37028861802163832</v>
      </c>
      <c r="N5">
        <f t="shared" si="2"/>
        <v>0.17878443531732818</v>
      </c>
      <c r="O5">
        <f t="shared" si="3"/>
        <v>0.17795545030040086</v>
      </c>
    </row>
    <row r="6" spans="1:15" x14ac:dyDescent="0.25">
      <c r="A6" t="s">
        <v>15</v>
      </c>
      <c r="B6">
        <v>2011</v>
      </c>
      <c r="C6">
        <v>11</v>
      </c>
      <c r="D6">
        <v>24</v>
      </c>
      <c r="E6">
        <v>4</v>
      </c>
      <c r="F6">
        <v>24</v>
      </c>
      <c r="G6">
        <v>1</v>
      </c>
      <c r="H6">
        <v>0.2</v>
      </c>
      <c r="I6">
        <v>0.05</v>
      </c>
      <c r="J6">
        <v>0.82</v>
      </c>
      <c r="K6">
        <v>0.88919221699999995</v>
      </c>
      <c r="L6">
        <f t="shared" si="0"/>
        <v>0.98360655737704916</v>
      </c>
      <c r="M6">
        <f t="shared" si="1"/>
        <v>0.87461529540983596</v>
      </c>
      <c r="N6">
        <f t="shared" si="2"/>
        <v>0.39424982168651379</v>
      </c>
      <c r="O6">
        <f t="shared" si="3"/>
        <v>0.38778670985558733</v>
      </c>
    </row>
    <row r="7" spans="1:15" x14ac:dyDescent="0.25">
      <c r="A7" t="s">
        <v>16</v>
      </c>
      <c r="B7">
        <v>2011</v>
      </c>
      <c r="C7">
        <v>458</v>
      </c>
      <c r="D7">
        <v>1030</v>
      </c>
      <c r="E7">
        <v>438</v>
      </c>
      <c r="F7">
        <v>1034</v>
      </c>
      <c r="G7">
        <v>8.69</v>
      </c>
      <c r="H7">
        <v>0.92</v>
      </c>
      <c r="I7">
        <v>0.77</v>
      </c>
      <c r="J7">
        <v>1.1100000000000001</v>
      </c>
      <c r="K7">
        <v>4.6067187000000002E-2</v>
      </c>
      <c r="L7">
        <f t="shared" si="0"/>
        <v>0.99963623135685709</v>
      </c>
      <c r="M7">
        <f t="shared" si="1"/>
        <v>4.6050429201891604E-2</v>
      </c>
      <c r="N7">
        <f t="shared" si="2"/>
        <v>5.1545379898896487E-2</v>
      </c>
      <c r="O7">
        <f t="shared" si="3"/>
        <v>5.1526629305990376E-2</v>
      </c>
    </row>
    <row r="8" spans="1:15" x14ac:dyDescent="0.25">
      <c r="A8" t="s">
        <v>17</v>
      </c>
      <c r="B8">
        <v>2012</v>
      </c>
      <c r="C8">
        <v>29</v>
      </c>
      <c r="D8">
        <v>89</v>
      </c>
      <c r="E8">
        <v>30</v>
      </c>
      <c r="F8">
        <v>86</v>
      </c>
      <c r="G8">
        <v>3.57</v>
      </c>
      <c r="H8">
        <v>1</v>
      </c>
      <c r="I8">
        <v>0.53</v>
      </c>
      <c r="J8">
        <v>1.9</v>
      </c>
      <c r="K8">
        <v>0</v>
      </c>
      <c r="L8">
        <f t="shared" si="0"/>
        <v>0.99565846599131691</v>
      </c>
      <c r="M8">
        <f t="shared" si="1"/>
        <v>0</v>
      </c>
      <c r="N8">
        <f t="shared" si="2"/>
        <v>0.17994308245128596</v>
      </c>
      <c r="O8">
        <f t="shared" si="3"/>
        <v>0.17916185343919644</v>
      </c>
    </row>
    <row r="9" spans="1:15" x14ac:dyDescent="0.25">
      <c r="A9" t="s">
        <v>13</v>
      </c>
      <c r="B9">
        <v>2012</v>
      </c>
      <c r="C9">
        <v>245</v>
      </c>
      <c r="D9">
        <v>1505</v>
      </c>
      <c r="E9">
        <v>260</v>
      </c>
      <c r="F9">
        <v>1506</v>
      </c>
      <c r="G9">
        <v>8.58</v>
      </c>
      <c r="H9">
        <v>1.08</v>
      </c>
      <c r="I9">
        <v>0.89</v>
      </c>
      <c r="J9">
        <v>1.3</v>
      </c>
      <c r="K9">
        <v>-4.2519912E-2</v>
      </c>
      <c r="L9">
        <f t="shared" si="0"/>
        <v>0.99975072704611545</v>
      </c>
      <c r="M9">
        <f t="shared" si="1"/>
        <v>-4.2509312935936849E-2</v>
      </c>
      <c r="N9">
        <f t="shared" si="2"/>
        <v>5.3402029643060456E-2</v>
      </c>
      <c r="O9">
        <f t="shared" si="3"/>
        <v>5.3388717961387902E-2</v>
      </c>
    </row>
    <row r="10" spans="1:15" x14ac:dyDescent="0.25">
      <c r="A10" t="s">
        <v>18</v>
      </c>
      <c r="B10">
        <v>2012</v>
      </c>
      <c r="C10">
        <v>53</v>
      </c>
      <c r="D10">
        <v>103</v>
      </c>
      <c r="E10">
        <v>44</v>
      </c>
      <c r="F10">
        <v>141</v>
      </c>
      <c r="G10">
        <v>4.3600000000000003</v>
      </c>
      <c r="H10">
        <v>0.38</v>
      </c>
      <c r="I10">
        <v>0.22</v>
      </c>
      <c r="J10">
        <v>0.65</v>
      </c>
      <c r="K10">
        <v>0.53457681000000001</v>
      </c>
      <c r="L10">
        <f t="shared" si="0"/>
        <v>0.99689762150982419</v>
      </c>
      <c r="M10">
        <f t="shared" si="1"/>
        <v>0.53291835040330926</v>
      </c>
      <c r="N10">
        <f t="shared" si="2"/>
        <v>0.15268700199251903</v>
      </c>
      <c r="O10">
        <f t="shared" si="3"/>
        <v>0.152213309121808</v>
      </c>
    </row>
    <row r="11" spans="1:15" x14ac:dyDescent="0.25">
      <c r="A11" t="s">
        <v>19</v>
      </c>
      <c r="B11">
        <v>2012</v>
      </c>
      <c r="C11">
        <v>155</v>
      </c>
      <c r="D11">
        <v>161</v>
      </c>
      <c r="E11">
        <v>154</v>
      </c>
      <c r="F11">
        <v>161</v>
      </c>
      <c r="G11">
        <v>1.43</v>
      </c>
      <c r="H11">
        <v>0.97</v>
      </c>
      <c r="I11">
        <v>0.3</v>
      </c>
      <c r="J11">
        <v>3.15</v>
      </c>
      <c r="K11">
        <v>1.6828290999999999E-2</v>
      </c>
      <c r="L11">
        <f t="shared" si="0"/>
        <v>0.99765441751368256</v>
      </c>
      <c r="M11">
        <f t="shared" si="1"/>
        <v>1.6788818855355745E-2</v>
      </c>
      <c r="N11">
        <f t="shared" si="2"/>
        <v>0.3314036612306176</v>
      </c>
      <c r="O11">
        <f t="shared" si="3"/>
        <v>0.33062632660693358</v>
      </c>
    </row>
    <row r="12" spans="1:15" x14ac:dyDescent="0.25">
      <c r="A12" t="s">
        <v>20</v>
      </c>
      <c r="B12">
        <v>2012</v>
      </c>
      <c r="C12">
        <v>39</v>
      </c>
      <c r="D12">
        <v>62</v>
      </c>
      <c r="E12">
        <v>26</v>
      </c>
      <c r="F12">
        <v>62</v>
      </c>
      <c r="G12">
        <v>2.89</v>
      </c>
      <c r="H12">
        <v>0.42</v>
      </c>
      <c r="I12">
        <v>0.2</v>
      </c>
      <c r="J12">
        <v>0.89</v>
      </c>
      <c r="K12">
        <v>0.479282082</v>
      </c>
      <c r="L12">
        <f t="shared" si="0"/>
        <v>0.99383983572895274</v>
      </c>
      <c r="M12">
        <f t="shared" si="1"/>
        <v>0.47632962564271047</v>
      </c>
      <c r="N12">
        <f t="shared" si="2"/>
        <v>0.21041043186635314</v>
      </c>
      <c r="O12">
        <f t="shared" si="3"/>
        <v>0.2091142690417144</v>
      </c>
    </row>
    <row r="13" spans="1:15" x14ac:dyDescent="0.25">
      <c r="A13" t="s">
        <v>21</v>
      </c>
      <c r="B13">
        <v>2013</v>
      </c>
      <c r="C13">
        <v>38</v>
      </c>
      <c r="D13">
        <v>58</v>
      </c>
      <c r="E13">
        <v>26</v>
      </c>
      <c r="F13">
        <v>58</v>
      </c>
      <c r="G13">
        <v>2.84</v>
      </c>
      <c r="H13">
        <v>0.44</v>
      </c>
      <c r="I13">
        <v>0.21</v>
      </c>
      <c r="J13">
        <v>0.95</v>
      </c>
      <c r="K13">
        <v>0.45358041599999999</v>
      </c>
      <c r="L13">
        <f t="shared" si="0"/>
        <v>0.99340659340659343</v>
      </c>
      <c r="M13">
        <f t="shared" si="1"/>
        <v>0.4505897758945055</v>
      </c>
      <c r="N13">
        <f t="shared" si="2"/>
        <v>0.21272895110456616</v>
      </c>
      <c r="O13">
        <f t="shared" si="3"/>
        <v>0.21132634263574485</v>
      </c>
    </row>
    <row r="14" spans="1:15" x14ac:dyDescent="0.25">
      <c r="A14" t="s">
        <v>22</v>
      </c>
      <c r="B14">
        <v>2013</v>
      </c>
      <c r="C14">
        <v>276</v>
      </c>
      <c r="D14">
        <v>360</v>
      </c>
      <c r="E14">
        <v>303</v>
      </c>
      <c r="F14">
        <v>399</v>
      </c>
      <c r="G14">
        <v>6.35</v>
      </c>
      <c r="H14">
        <v>1.03</v>
      </c>
      <c r="I14">
        <v>0.72</v>
      </c>
      <c r="J14">
        <v>1.49</v>
      </c>
      <c r="K14">
        <v>-1.6330830000000001E-2</v>
      </c>
      <c r="L14">
        <f t="shared" si="0"/>
        <v>0.9990089197224975</v>
      </c>
      <c r="M14">
        <f t="shared" si="1"/>
        <v>-1.6314644836471756E-2</v>
      </c>
      <c r="N14">
        <f t="shared" si="2"/>
        <v>0.10250312703368529</v>
      </c>
      <c r="O14">
        <f t="shared" si="3"/>
        <v>0.10240153820609987</v>
      </c>
    </row>
    <row r="15" spans="1:15" x14ac:dyDescent="0.25">
      <c r="A15" t="s">
        <v>23</v>
      </c>
      <c r="B15">
        <v>2014</v>
      </c>
      <c r="C15">
        <v>96</v>
      </c>
      <c r="D15">
        <v>197</v>
      </c>
      <c r="E15">
        <v>185</v>
      </c>
      <c r="F15">
        <v>397</v>
      </c>
      <c r="G15">
        <v>6.6</v>
      </c>
      <c r="H15">
        <v>0.92</v>
      </c>
      <c r="I15">
        <v>0.65</v>
      </c>
      <c r="J15">
        <v>1.3</v>
      </c>
      <c r="K15">
        <v>4.6067187000000002E-2</v>
      </c>
      <c r="L15">
        <f t="shared" si="0"/>
        <v>0.99873257287705952</v>
      </c>
      <c r="M15">
        <f t="shared" si="1"/>
        <v>4.6008800197718629E-2</v>
      </c>
      <c r="N15">
        <f t="shared" si="2"/>
        <v>9.7692409031450184E-2</v>
      </c>
      <c r="O15">
        <f t="shared" si="3"/>
        <v>9.7568591022538328E-2</v>
      </c>
    </row>
    <row r="16" spans="1:15" x14ac:dyDescent="0.25">
      <c r="A16" t="s">
        <v>24</v>
      </c>
      <c r="B16">
        <v>2014</v>
      </c>
      <c r="C16">
        <v>80</v>
      </c>
      <c r="D16">
        <v>234</v>
      </c>
      <c r="E16">
        <v>70</v>
      </c>
      <c r="F16">
        <v>258</v>
      </c>
      <c r="G16">
        <v>5.94</v>
      </c>
      <c r="H16">
        <v>0.66</v>
      </c>
      <c r="I16">
        <v>0.45</v>
      </c>
      <c r="J16">
        <v>0.98</v>
      </c>
      <c r="K16">
        <v>0.22956654400000001</v>
      </c>
      <c r="L16">
        <f t="shared" si="0"/>
        <v>0.99846860643185298</v>
      </c>
      <c r="M16">
        <f t="shared" si="1"/>
        <v>0.22921498727105666</v>
      </c>
      <c r="N16">
        <f t="shared" si="2"/>
        <v>0.10969458068838824</v>
      </c>
      <c r="O16">
        <f t="shared" si="3"/>
        <v>0.10952659511306145</v>
      </c>
    </row>
    <row r="17" spans="1:15" x14ac:dyDescent="0.25">
      <c r="A17" t="s">
        <v>12</v>
      </c>
      <c r="B17">
        <v>2014</v>
      </c>
      <c r="C17">
        <v>17</v>
      </c>
      <c r="D17">
        <v>99</v>
      </c>
      <c r="E17">
        <v>32</v>
      </c>
      <c r="F17">
        <v>148</v>
      </c>
      <c r="G17">
        <v>3.41</v>
      </c>
      <c r="H17">
        <v>1.43</v>
      </c>
      <c r="I17">
        <v>0.73</v>
      </c>
      <c r="J17">
        <v>2.78</v>
      </c>
      <c r="K17">
        <v>-0.19761018999999999</v>
      </c>
      <c r="L17">
        <f t="shared" si="0"/>
        <v>0.99693564862104189</v>
      </c>
      <c r="M17">
        <f t="shared" si="1"/>
        <v>-0.19700464294177733</v>
      </c>
      <c r="N17">
        <f t="shared" si="2"/>
        <v>0.18846003953972346</v>
      </c>
      <c r="O17">
        <f t="shared" si="3"/>
        <v>0.18788253175768141</v>
      </c>
    </row>
    <row r="18" spans="1:15" x14ac:dyDescent="0.25">
      <c r="A18" t="s">
        <v>25</v>
      </c>
      <c r="B18">
        <v>2014</v>
      </c>
      <c r="C18">
        <v>53</v>
      </c>
      <c r="D18">
        <v>80</v>
      </c>
      <c r="E18">
        <v>94</v>
      </c>
      <c r="F18">
        <v>156</v>
      </c>
      <c r="G18">
        <v>4.12</v>
      </c>
      <c r="H18">
        <v>0.77</v>
      </c>
      <c r="I18">
        <v>0.43</v>
      </c>
      <c r="J18">
        <v>1.36</v>
      </c>
      <c r="K18">
        <v>0.144400422</v>
      </c>
      <c r="L18">
        <f t="shared" si="0"/>
        <v>0.99679144385026741</v>
      </c>
      <c r="M18">
        <f t="shared" si="1"/>
        <v>0.14393710513796792</v>
      </c>
      <c r="N18">
        <f t="shared" si="2"/>
        <v>0.16228644295333319</v>
      </c>
      <c r="O18">
        <f t="shared" si="3"/>
        <v>0.16176573778877704</v>
      </c>
    </row>
    <row r="19" spans="1:15" x14ac:dyDescent="0.25">
      <c r="A19" t="s">
        <v>26</v>
      </c>
      <c r="B19">
        <v>2015</v>
      </c>
      <c r="C19">
        <v>75</v>
      </c>
      <c r="D19">
        <v>118</v>
      </c>
      <c r="E19">
        <v>76</v>
      </c>
      <c r="F19">
        <v>122</v>
      </c>
      <c r="G19">
        <v>3.98</v>
      </c>
      <c r="H19">
        <v>0.87</v>
      </c>
      <c r="I19">
        <v>0.48</v>
      </c>
      <c r="J19">
        <v>1.57</v>
      </c>
      <c r="K19">
        <v>7.6940368999999995E-2</v>
      </c>
      <c r="L19">
        <f t="shared" si="0"/>
        <v>0.99684542586750791</v>
      </c>
      <c r="M19">
        <f t="shared" si="1"/>
        <v>7.6697654902208201E-2</v>
      </c>
      <c r="N19">
        <f t="shared" si="2"/>
        <v>0.16702063288426219</v>
      </c>
      <c r="O19">
        <f t="shared" si="3"/>
        <v>0.16649375391617305</v>
      </c>
    </row>
    <row r="20" spans="1:15" x14ac:dyDescent="0.25">
      <c r="A20" t="s">
        <v>27</v>
      </c>
      <c r="B20">
        <v>2015</v>
      </c>
      <c r="C20">
        <v>93</v>
      </c>
      <c r="D20">
        <v>125</v>
      </c>
      <c r="E20">
        <v>85</v>
      </c>
      <c r="F20">
        <v>125</v>
      </c>
      <c r="G20">
        <v>3.74</v>
      </c>
      <c r="H20">
        <v>0.71</v>
      </c>
      <c r="I20">
        <v>0.38</v>
      </c>
      <c r="J20">
        <v>1.31</v>
      </c>
      <c r="K20">
        <v>0.189221165</v>
      </c>
      <c r="L20">
        <f t="shared" si="0"/>
        <v>0.99697275479313829</v>
      </c>
      <c r="M20">
        <f t="shared" si="1"/>
        <v>0.18864834613521697</v>
      </c>
      <c r="N20">
        <f t="shared" si="2"/>
        <v>0.1744293555466746</v>
      </c>
      <c r="O20">
        <f t="shared" si="3"/>
        <v>0.17390131511615994</v>
      </c>
    </row>
    <row r="21" spans="1:15" x14ac:dyDescent="0.25">
      <c r="A21" t="s">
        <v>28</v>
      </c>
      <c r="B21">
        <v>2015</v>
      </c>
      <c r="C21">
        <v>58</v>
      </c>
      <c r="D21">
        <v>103</v>
      </c>
      <c r="E21">
        <v>83</v>
      </c>
      <c r="F21">
        <v>137</v>
      </c>
      <c r="G21">
        <v>4.38</v>
      </c>
      <c r="H21">
        <v>1.1299999999999999</v>
      </c>
      <c r="I21">
        <v>0.66</v>
      </c>
      <c r="J21">
        <v>1.95</v>
      </c>
      <c r="K21">
        <v>-6.7523554E-2</v>
      </c>
      <c r="L21">
        <f t="shared" si="0"/>
        <v>0.99684542586750791</v>
      </c>
      <c r="M21">
        <f t="shared" si="1"/>
        <v>-6.731054594321767E-2</v>
      </c>
      <c r="N21">
        <f t="shared" si="2"/>
        <v>0.15268700199251903</v>
      </c>
      <c r="O21">
        <f t="shared" si="3"/>
        <v>0.15220533952566564</v>
      </c>
    </row>
    <row r="22" spans="1:15" x14ac:dyDescent="0.25">
      <c r="A22" t="s">
        <v>29</v>
      </c>
      <c r="B22">
        <v>2015</v>
      </c>
      <c r="C22">
        <v>10</v>
      </c>
      <c r="D22">
        <v>11</v>
      </c>
      <c r="E22">
        <v>10</v>
      </c>
      <c r="F22">
        <v>14</v>
      </c>
      <c r="G22">
        <v>0.28000000000000003</v>
      </c>
      <c r="H22">
        <v>0.23</v>
      </c>
      <c r="I22">
        <v>0.01</v>
      </c>
      <c r="J22">
        <v>3.82</v>
      </c>
      <c r="K22">
        <v>0.81197567400000004</v>
      </c>
      <c r="L22">
        <f t="shared" si="0"/>
        <v>0.96703296703296704</v>
      </c>
      <c r="M22">
        <f t="shared" si="1"/>
        <v>0.78520724518681317</v>
      </c>
      <c r="N22">
        <f t="shared" si="2"/>
        <v>0.83794968550662063</v>
      </c>
      <c r="O22">
        <f t="shared" si="3"/>
        <v>0.81032497059980901</v>
      </c>
    </row>
    <row r="23" spans="1:15" x14ac:dyDescent="0.25">
      <c r="A23" t="s">
        <v>30</v>
      </c>
      <c r="B23">
        <v>2016</v>
      </c>
      <c r="C23">
        <v>93</v>
      </c>
      <c r="D23">
        <v>207</v>
      </c>
      <c r="E23">
        <v>110</v>
      </c>
      <c r="F23">
        <v>201</v>
      </c>
      <c r="G23">
        <v>5.86</v>
      </c>
      <c r="H23">
        <v>1.52</v>
      </c>
      <c r="I23">
        <v>1.02</v>
      </c>
      <c r="J23">
        <v>2.2799999999999998</v>
      </c>
      <c r="K23">
        <v>-0.23133167700000001</v>
      </c>
      <c r="L23">
        <f t="shared" si="0"/>
        <v>0.99815157116451014</v>
      </c>
      <c r="M23">
        <f t="shared" si="1"/>
        <v>-0.23090407685767098</v>
      </c>
      <c r="N23">
        <f t="shared" si="2"/>
        <v>0.11336858942245033</v>
      </c>
      <c r="O23">
        <f t="shared" si="3"/>
        <v>0.11315903565272306</v>
      </c>
    </row>
    <row r="24" spans="1:15" x14ac:dyDescent="0.25">
      <c r="A24" t="s">
        <v>31</v>
      </c>
      <c r="B24">
        <v>2016</v>
      </c>
      <c r="C24">
        <v>5</v>
      </c>
      <c r="D24">
        <v>35</v>
      </c>
      <c r="E24">
        <v>4</v>
      </c>
      <c r="F24">
        <v>54</v>
      </c>
      <c r="G24">
        <v>1.01</v>
      </c>
      <c r="H24">
        <v>0.45</v>
      </c>
      <c r="I24">
        <v>0.11</v>
      </c>
      <c r="J24">
        <v>1.89</v>
      </c>
      <c r="K24">
        <v>0.441164473</v>
      </c>
      <c r="L24">
        <f t="shared" si="0"/>
        <v>0.99135446685878958</v>
      </c>
      <c r="M24">
        <f t="shared" si="1"/>
        <v>0.43735037092795387</v>
      </c>
      <c r="N24">
        <f t="shared" si="2"/>
        <v>0.40081347139774381</v>
      </c>
      <c r="O24">
        <f t="shared" si="3"/>
        <v>0.39734822524733104</v>
      </c>
    </row>
    <row r="25" spans="1:15" x14ac:dyDescent="0.25">
      <c r="A25" t="s">
        <v>32</v>
      </c>
      <c r="B25">
        <v>2016</v>
      </c>
      <c r="C25">
        <v>24</v>
      </c>
      <c r="D25">
        <v>52</v>
      </c>
      <c r="E25">
        <v>17</v>
      </c>
      <c r="F25">
        <v>55</v>
      </c>
      <c r="G25">
        <v>2.44</v>
      </c>
      <c r="H25">
        <v>0.44</v>
      </c>
      <c r="I25">
        <v>0.19</v>
      </c>
      <c r="J25">
        <v>1.02</v>
      </c>
      <c r="K25">
        <v>0.45358041599999999</v>
      </c>
      <c r="L25">
        <f t="shared" si="0"/>
        <v>0.99284009546539376</v>
      </c>
      <c r="M25">
        <f t="shared" si="1"/>
        <v>0.45033282352267301</v>
      </c>
      <c r="N25">
        <f t="shared" si="2"/>
        <v>0.23685503356041135</v>
      </c>
      <c r="O25">
        <f t="shared" si="3"/>
        <v>0.23515917413157786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martineau_vitamind_rti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2025-10-16T02:05:16Z</dcterms:created>
  <dcterms:modified xsi:type="dcterms:W3CDTF">2025-12-26T21:57:53Z</dcterms:modified>
</cp:coreProperties>
</file>