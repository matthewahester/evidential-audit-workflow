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reid2014\"/>
    </mc:Choice>
  </mc:AlternateContent>
  <xr:revisionPtr revIDLastSave="0" documentId="13_ncr:1_{50490F11-3F45-4AC2-9E56-DDE0D689B9F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" i="2"/>
  <c r="H3" i="2"/>
  <c r="H4" i="2"/>
  <c r="H5" i="2"/>
  <c r="H6" i="2"/>
  <c r="I6" i="2" s="1"/>
  <c r="H7" i="2"/>
  <c r="H8" i="2"/>
  <c r="H9" i="2"/>
  <c r="I9" i="2" s="1"/>
  <c r="H10" i="2"/>
  <c r="H11" i="2"/>
  <c r="I11" i="2" s="1"/>
  <c r="H12" i="2"/>
  <c r="I12" i="2" s="1"/>
  <c r="H13" i="2"/>
  <c r="I13" i="2" s="1"/>
  <c r="H14" i="2"/>
  <c r="I14" i="2" s="1"/>
  <c r="H15" i="2"/>
  <c r="H16" i="2"/>
  <c r="H17" i="2"/>
  <c r="H18" i="2"/>
  <c r="I18" i="2" s="1"/>
  <c r="H2" i="2"/>
  <c r="I2" i="2" s="1"/>
  <c r="K2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I3" i="2"/>
  <c r="I4" i="2"/>
  <c r="I5" i="2"/>
  <c r="I7" i="2"/>
  <c r="I8" i="2"/>
  <c r="I10" i="2"/>
  <c r="I15" i="2"/>
  <c r="I16" i="2"/>
  <c r="I17" i="2"/>
  <c r="K11" i="2" l="1"/>
  <c r="G3" i="2"/>
  <c r="K3" i="2" s="1"/>
  <c r="G4" i="2"/>
  <c r="G5" i="2"/>
  <c r="G6" i="2"/>
  <c r="G7" i="2"/>
  <c r="G8" i="2"/>
  <c r="K8" i="2" s="1"/>
  <c r="G9" i="2"/>
  <c r="K9" i="2" s="1"/>
  <c r="G10" i="2"/>
  <c r="K10" i="2" s="1"/>
  <c r="G11" i="2"/>
  <c r="G12" i="2"/>
  <c r="G13" i="2"/>
  <c r="K13" i="2" s="1"/>
  <c r="G14" i="2"/>
  <c r="G15" i="2"/>
  <c r="G16" i="2"/>
  <c r="K16" i="2" s="1"/>
  <c r="G17" i="2"/>
  <c r="G18" i="2"/>
  <c r="G2" i="2"/>
  <c r="K7" i="2" l="1"/>
  <c r="K18" i="2"/>
  <c r="K17" i="2"/>
  <c r="K14" i="2"/>
  <c r="K6" i="2"/>
  <c r="K5" i="2"/>
  <c r="K4" i="2"/>
  <c r="K15" i="2"/>
  <c r="K12" i="2"/>
</calcChain>
</file>

<file path=xl/sharedStrings.xml><?xml version="1.0" encoding="utf-8"?>
<sst xmlns="http://schemas.openxmlformats.org/spreadsheetml/2006/main" count="29" uniqueCount="28">
  <si>
    <t>Dawson-Hughes</t>
  </si>
  <si>
    <t>Tuppurainen</t>
  </si>
  <si>
    <t>Komulainen</t>
  </si>
  <si>
    <t>Hunter</t>
  </si>
  <si>
    <t>Patel</t>
  </si>
  <si>
    <t>Cooper</t>
  </si>
  <si>
    <t>Harwood</t>
  </si>
  <si>
    <t>Aloia</t>
  </si>
  <si>
    <t>Andersen</t>
  </si>
  <si>
    <t>Islam</t>
  </si>
  <si>
    <t>Jorde</t>
  </si>
  <si>
    <t>Grimnes</t>
  </si>
  <si>
    <t>Rastelli</t>
  </si>
  <si>
    <t>Steﬀensen</t>
  </si>
  <si>
    <t>Nieves</t>
  </si>
  <si>
    <t>Author</t>
  </si>
  <si>
    <t>Year</t>
  </si>
  <si>
    <t>ES</t>
  </si>
  <si>
    <t>CI_lower</t>
  </si>
  <si>
    <t>CI_upper</t>
  </si>
  <si>
    <t>N</t>
  </si>
  <si>
    <t>KomulainenNOHRT</t>
  </si>
  <si>
    <t>pooled_sd</t>
  </si>
  <si>
    <t>SE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</si>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</sst>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61A1-502D-49C2-8946-F37011FFEE87}">
  <dimension ref="A1:L18"/>
  <sheetViews>
    <sheetView tabSelected="1" topLeftCell="B1" workbookViewId="0">
      <selection activeCell="H7" sqref="H7"/>
    </sheetView>
  </sheetViews>
  <sheetFormatPr defaultRowHeight="15" x14ac:dyDescent="0.25"/>
  <cols>
    <col min="1" max="1" width="32.85546875" bestFit="1" customWidth="1"/>
    <col min="4" max="4" width="8.140625" customWidth="1"/>
  </cols>
  <sheetData>
    <row r="1" spans="1:12" x14ac:dyDescent="0.25">
      <c r="A1" t="s">
        <v>15</v>
      </c>
      <c r="B1" t="s">
        <v>16</v>
      </c>
      <c r="C1" t="s">
        <v>20</v>
      </c>
      <c r="D1" t="s">
        <v>17</v>
      </c>
      <c r="E1" t="s">
        <v>18</v>
      </c>
      <c r="F1" t="s">
        <v>19</v>
      </c>
      <c r="G1" t="s">
        <v>23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5">
      <c r="A2" t="s">
        <v>0</v>
      </c>
      <c r="B2">
        <v>1991</v>
      </c>
      <c r="C2">
        <v>276</v>
      </c>
      <c r="D2">
        <v>0.7</v>
      </c>
      <c r="E2">
        <v>0</v>
      </c>
      <c r="F2">
        <v>1.4</v>
      </c>
      <c r="G2">
        <f>(F2-E2)/2/1.96</f>
        <v>0.35714285714285715</v>
      </c>
      <c r="H2">
        <f>G2*SQRT(C2/4)</f>
        <v>2.966651379613598</v>
      </c>
      <c r="I2">
        <f>D2/H2</f>
        <v>0.23595627204810762</v>
      </c>
      <c r="J2">
        <f>1-3/(4*(C2-2)-1)</f>
        <v>0.99726027397260275</v>
      </c>
      <c r="K2">
        <f t="shared" ref="K2:K18" si="0">J2*I2</f>
        <v>0.23530981650824981</v>
      </c>
      <c r="L2">
        <f>J2*G2/H2</f>
        <v>0.12005602883073971</v>
      </c>
    </row>
    <row r="3" spans="1:12" x14ac:dyDescent="0.25">
      <c r="A3" t="s">
        <v>0</v>
      </c>
      <c r="B3">
        <v>1995</v>
      </c>
      <c r="C3">
        <v>261</v>
      </c>
      <c r="D3">
        <v>-0.2</v>
      </c>
      <c r="E3">
        <v>-1</v>
      </c>
      <c r="F3">
        <v>0.6</v>
      </c>
      <c r="G3">
        <f t="shared" ref="G3:G18" si="1">(F3-E3)/2/1.96</f>
        <v>0.40816326530612246</v>
      </c>
      <c r="H3">
        <f t="shared" ref="H3:H18" si="2">G3*SQRT(C3/4)</f>
        <v>3.2970396778374513</v>
      </c>
      <c r="I3">
        <f t="shared" ref="I3:I18" si="3">D3/H3</f>
        <v>-6.0660477137836948E-2</v>
      </c>
      <c r="J3">
        <f t="shared" ref="J3:J18" si="4">1-3/(4*(C3-2)-1)</f>
        <v>0.99710144927536237</v>
      </c>
      <c r="K3">
        <f t="shared" si="0"/>
        <v>-6.0484649667872203E-2</v>
      </c>
      <c r="L3">
        <f>J3*G3/H3</f>
        <v>0.12343806054667797</v>
      </c>
    </row>
    <row r="4" spans="1:12" x14ac:dyDescent="0.25">
      <c r="A4" t="s">
        <v>1</v>
      </c>
      <c r="B4">
        <v>1998</v>
      </c>
      <c r="C4">
        <v>45</v>
      </c>
      <c r="D4">
        <v>0.9</v>
      </c>
      <c r="E4">
        <v>-2.9</v>
      </c>
      <c r="F4">
        <v>4.7</v>
      </c>
      <c r="G4">
        <f t="shared" si="1"/>
        <v>1.9387755102040816</v>
      </c>
      <c r="H4">
        <f t="shared" si="2"/>
        <v>6.5028507508922457</v>
      </c>
      <c r="I4">
        <f t="shared" si="3"/>
        <v>0.13840083902840802</v>
      </c>
      <c r="J4">
        <f t="shared" si="4"/>
        <v>0.98245614035087714</v>
      </c>
      <c r="K4">
        <f t="shared" si="0"/>
        <v>0.13597275413317278</v>
      </c>
      <c r="L4">
        <f>J4*G4/H4</f>
        <v>0.29291182863155135</v>
      </c>
    </row>
    <row r="5" spans="1:12" x14ac:dyDescent="0.25">
      <c r="A5" t="s">
        <v>21</v>
      </c>
      <c r="B5">
        <v>1999</v>
      </c>
      <c r="C5">
        <v>231</v>
      </c>
      <c r="D5">
        <v>-0.7</v>
      </c>
      <c r="E5">
        <v>-0.9</v>
      </c>
      <c r="F5">
        <v>2.2999999999999998</v>
      </c>
      <c r="G5">
        <f t="shared" si="1"/>
        <v>0.81632653061224481</v>
      </c>
      <c r="H5">
        <f t="shared" si="2"/>
        <v>6.2035445524778217</v>
      </c>
      <c r="I5">
        <f t="shared" si="3"/>
        <v>-0.11283871568560037</v>
      </c>
      <c r="J5">
        <f t="shared" si="4"/>
        <v>0.99672131147540988</v>
      </c>
      <c r="K5">
        <f t="shared" si="0"/>
        <v>-0.1124687526833525</v>
      </c>
      <c r="L5">
        <f>J5*G5/H5</f>
        <v>0.13115889525755395</v>
      </c>
    </row>
    <row r="6" spans="1:12" x14ac:dyDescent="0.25">
      <c r="A6" t="s">
        <v>2</v>
      </c>
      <c r="B6">
        <v>1999</v>
      </c>
      <c r="C6">
        <v>227</v>
      </c>
      <c r="D6">
        <v>-0.1</v>
      </c>
      <c r="E6">
        <v>-1.4</v>
      </c>
      <c r="F6">
        <v>1.2</v>
      </c>
      <c r="G6">
        <f t="shared" si="1"/>
        <v>0.66326530612244894</v>
      </c>
      <c r="H6">
        <f t="shared" si="2"/>
        <v>4.996549725845707</v>
      </c>
      <c r="I6">
        <f t="shared" si="3"/>
        <v>-2.001381062670685E-2</v>
      </c>
      <c r="J6">
        <f t="shared" si="4"/>
        <v>0.99666295884315903</v>
      </c>
      <c r="K6">
        <f t="shared" si="0"/>
        <v>-1.9947023716940307E-2</v>
      </c>
      <c r="L6">
        <f>J6*G6/H6</f>
        <v>0.1323016879184816</v>
      </c>
    </row>
    <row r="7" spans="1:12" x14ac:dyDescent="0.25">
      <c r="A7" t="s">
        <v>3</v>
      </c>
      <c r="B7">
        <v>2000</v>
      </c>
      <c r="C7">
        <v>158</v>
      </c>
      <c r="D7">
        <v>-0.1</v>
      </c>
      <c r="E7">
        <v>-1.9</v>
      </c>
      <c r="F7">
        <v>1.7</v>
      </c>
      <c r="G7">
        <f t="shared" si="1"/>
        <v>0.91836734693877542</v>
      </c>
      <c r="H7">
        <f t="shared" si="2"/>
        <v>5.7718492760096334</v>
      </c>
      <c r="I7">
        <f t="shared" si="3"/>
        <v>-1.7325469744271457E-2</v>
      </c>
      <c r="J7">
        <f t="shared" si="4"/>
        <v>0.9951845906902087</v>
      </c>
      <c r="K7">
        <f t="shared" si="0"/>
        <v>-1.7242040515968383E-2</v>
      </c>
      <c r="L7">
        <f>J7*G7/H7</f>
        <v>0.15834527004460758</v>
      </c>
    </row>
    <row r="8" spans="1:12" x14ac:dyDescent="0.25">
      <c r="A8" t="s">
        <v>4</v>
      </c>
      <c r="B8">
        <v>2001</v>
      </c>
      <c r="C8">
        <v>70</v>
      </c>
      <c r="D8">
        <v>-0.6</v>
      </c>
      <c r="E8">
        <v>-1.3</v>
      </c>
      <c r="F8">
        <v>0.2</v>
      </c>
      <c r="G8">
        <f t="shared" si="1"/>
        <v>0.38265306122448978</v>
      </c>
      <c r="H8">
        <f t="shared" si="2"/>
        <v>1.6007526017871343</v>
      </c>
      <c r="I8">
        <f t="shared" si="3"/>
        <v>-0.37482369188726583</v>
      </c>
      <c r="J8">
        <f t="shared" si="4"/>
        <v>0.98892988929889303</v>
      </c>
      <c r="K8">
        <f t="shared" si="0"/>
        <v>-0.3706743521246762</v>
      </c>
      <c r="L8">
        <f>J8*G8/H8</f>
        <v>0.23639945926318634</v>
      </c>
    </row>
    <row r="9" spans="1:12" x14ac:dyDescent="0.25">
      <c r="A9" t="s">
        <v>5</v>
      </c>
      <c r="B9">
        <v>2003</v>
      </c>
      <c r="C9">
        <v>187</v>
      </c>
      <c r="D9">
        <v>-0.2</v>
      </c>
      <c r="E9">
        <v>-1.7</v>
      </c>
      <c r="F9">
        <v>1.4</v>
      </c>
      <c r="G9">
        <f t="shared" si="1"/>
        <v>0.79081632653061218</v>
      </c>
      <c r="H9">
        <f t="shared" si="2"/>
        <v>5.4071253095216534</v>
      </c>
      <c r="I9">
        <f t="shared" si="3"/>
        <v>-3.6988231001011E-2</v>
      </c>
      <c r="J9">
        <f t="shared" si="4"/>
        <v>0.99594046008119075</v>
      </c>
      <c r="K9">
        <f t="shared" si="0"/>
        <v>-3.683807580073626E-2</v>
      </c>
      <c r="L9">
        <f>J9*G9/H9</f>
        <v>0.14566075890597241</v>
      </c>
    </row>
    <row r="10" spans="1:12" x14ac:dyDescent="0.25">
      <c r="A10" t="s">
        <v>6</v>
      </c>
      <c r="B10">
        <v>2004</v>
      </c>
      <c r="C10">
        <v>75</v>
      </c>
      <c r="D10">
        <v>-1.4</v>
      </c>
      <c r="E10">
        <v>-3.3</v>
      </c>
      <c r="F10">
        <v>0.5</v>
      </c>
      <c r="G10">
        <f t="shared" si="1"/>
        <v>0.96938775510204078</v>
      </c>
      <c r="H10">
        <f t="shared" si="2"/>
        <v>4.197572110179677</v>
      </c>
      <c r="I10">
        <f t="shared" si="3"/>
        <v>-0.33352613445396484</v>
      </c>
      <c r="J10">
        <f t="shared" si="4"/>
        <v>0.98969072164948457</v>
      </c>
      <c r="K10">
        <f t="shared" si="0"/>
        <v>-0.3300877206967075</v>
      </c>
      <c r="L10">
        <f>J10*G10/H10</f>
        <v>0.22855928182352195</v>
      </c>
    </row>
    <row r="11" spans="1:12" x14ac:dyDescent="0.25">
      <c r="A11" t="s">
        <v>7</v>
      </c>
      <c r="B11">
        <v>2005</v>
      </c>
      <c r="C11">
        <v>208</v>
      </c>
      <c r="D11">
        <v>-0.1</v>
      </c>
      <c r="E11">
        <v>-0.5</v>
      </c>
      <c r="F11">
        <v>0.4</v>
      </c>
      <c r="G11">
        <f t="shared" si="1"/>
        <v>0.22959183673469388</v>
      </c>
      <c r="H11">
        <f t="shared" si="2"/>
        <v>1.6556102795497909</v>
      </c>
      <c r="I11">
        <f t="shared" si="3"/>
        <v>-6.0400688033413842E-2</v>
      </c>
      <c r="J11">
        <f t="shared" si="4"/>
        <v>0.99635479951397332</v>
      </c>
      <c r="K11">
        <f t="shared" si="0"/>
        <v>-6.0180515416038097E-2</v>
      </c>
      <c r="L11">
        <f>J11*G11/H11</f>
        <v>0.13816955070008746</v>
      </c>
    </row>
    <row r="12" spans="1:12" x14ac:dyDescent="0.25">
      <c r="A12" t="s">
        <v>8</v>
      </c>
      <c r="B12">
        <v>2008</v>
      </c>
      <c r="C12">
        <v>173</v>
      </c>
      <c r="D12">
        <v>0.6</v>
      </c>
      <c r="E12">
        <v>-0.6</v>
      </c>
      <c r="F12">
        <v>1.9</v>
      </c>
      <c r="G12">
        <f t="shared" si="1"/>
        <v>0.63775510204081631</v>
      </c>
      <c r="H12">
        <f t="shared" si="2"/>
        <v>4.1941793488411685</v>
      </c>
      <c r="I12">
        <f t="shared" si="3"/>
        <v>0.1430553989461078</v>
      </c>
      <c r="J12">
        <f t="shared" si="4"/>
        <v>0.99560761346998539</v>
      </c>
      <c r="K12">
        <f t="shared" si="0"/>
        <v>0.14242704433873105</v>
      </c>
      <c r="L12">
        <f>J12*G12/H12</f>
        <v>0.15138929032603216</v>
      </c>
    </row>
    <row r="13" spans="1:12" x14ac:dyDescent="0.25">
      <c r="A13" t="s">
        <v>9</v>
      </c>
      <c r="B13">
        <v>2010</v>
      </c>
      <c r="C13">
        <v>100</v>
      </c>
      <c r="D13">
        <v>1.7</v>
      </c>
      <c r="E13">
        <v>-0.5</v>
      </c>
      <c r="F13">
        <v>3.9</v>
      </c>
      <c r="G13">
        <f t="shared" si="1"/>
        <v>1.1224489795918369</v>
      </c>
      <c r="H13">
        <f t="shared" si="2"/>
        <v>5.6122448979591848</v>
      </c>
      <c r="I13">
        <f t="shared" si="3"/>
        <v>0.30290909090909085</v>
      </c>
      <c r="J13">
        <f t="shared" si="4"/>
        <v>0.99232736572890023</v>
      </c>
      <c r="K13">
        <f t="shared" si="0"/>
        <v>0.30058498023715408</v>
      </c>
      <c r="L13">
        <f>J13*G13/H13</f>
        <v>0.19846547314578003</v>
      </c>
    </row>
    <row r="14" spans="1:12" x14ac:dyDescent="0.25">
      <c r="A14" t="s">
        <v>10</v>
      </c>
      <c r="B14">
        <v>2010</v>
      </c>
      <c r="C14">
        <v>421</v>
      </c>
      <c r="D14">
        <v>0.1</v>
      </c>
      <c r="E14">
        <v>-0.7</v>
      </c>
      <c r="F14">
        <v>0.8</v>
      </c>
      <c r="G14">
        <f t="shared" si="1"/>
        <v>0.38265306122448978</v>
      </c>
      <c r="H14">
        <f t="shared" si="2"/>
        <v>3.9256921929878557</v>
      </c>
      <c r="I14">
        <f t="shared" si="3"/>
        <v>2.5473214680107083E-2</v>
      </c>
      <c r="J14">
        <f t="shared" si="4"/>
        <v>0.99820895522388065</v>
      </c>
      <c r="K14">
        <f t="shared" si="0"/>
        <v>2.5427591012023309E-2</v>
      </c>
      <c r="L14">
        <f>J14*G14/H14</f>
        <v>9.7299455403150395E-2</v>
      </c>
    </row>
    <row r="15" spans="1:12" x14ac:dyDescent="0.25">
      <c r="A15" t="s">
        <v>11</v>
      </c>
      <c r="B15">
        <v>2011</v>
      </c>
      <c r="C15">
        <v>297</v>
      </c>
      <c r="D15">
        <v>-0.1</v>
      </c>
      <c r="E15">
        <v>-0.8</v>
      </c>
      <c r="F15">
        <v>0.7</v>
      </c>
      <c r="G15">
        <f t="shared" si="1"/>
        <v>0.38265306122448978</v>
      </c>
      <c r="H15">
        <f t="shared" si="2"/>
        <v>3.29726172314045</v>
      </c>
      <c r="I15">
        <f t="shared" si="3"/>
        <v>-3.0328196059837137E-2</v>
      </c>
      <c r="J15">
        <f t="shared" si="4"/>
        <v>0.99745547073791352</v>
      </c>
      <c r="K15">
        <f t="shared" si="0"/>
        <v>-3.0251025077496586E-2</v>
      </c>
      <c r="L15">
        <f>J15*G15/H15</f>
        <v>0.11575647351082875</v>
      </c>
    </row>
    <row r="16" spans="1:12" x14ac:dyDescent="0.25">
      <c r="A16" t="s">
        <v>12</v>
      </c>
      <c r="B16">
        <v>2011</v>
      </c>
      <c r="C16">
        <v>60</v>
      </c>
      <c r="D16">
        <v>0.5</v>
      </c>
      <c r="E16">
        <v>-1.7</v>
      </c>
      <c r="F16">
        <v>2.7</v>
      </c>
      <c r="G16">
        <f t="shared" si="1"/>
        <v>1.1224489795918369</v>
      </c>
      <c r="H16">
        <f t="shared" si="2"/>
        <v>4.3472262049266934</v>
      </c>
      <c r="I16">
        <f t="shared" si="3"/>
        <v>0.11501586906918992</v>
      </c>
      <c r="J16">
        <f t="shared" si="4"/>
        <v>0.98701298701298701</v>
      </c>
      <c r="K16">
        <f t="shared" si="0"/>
        <v>0.11352215648387577</v>
      </c>
      <c r="L16">
        <f>J16*G16/H16</f>
        <v>0.25484565741278237</v>
      </c>
    </row>
    <row r="17" spans="1:12" x14ac:dyDescent="0.25">
      <c r="A17" t="s">
        <v>13</v>
      </c>
      <c r="B17">
        <v>2011</v>
      </c>
      <c r="C17">
        <v>71</v>
      </c>
      <c r="D17">
        <v>-0.2</v>
      </c>
      <c r="E17">
        <v>-1.7</v>
      </c>
      <c r="F17">
        <v>1.3</v>
      </c>
      <c r="G17">
        <f t="shared" si="1"/>
        <v>0.76530612244897955</v>
      </c>
      <c r="H17">
        <f t="shared" si="2"/>
        <v>3.2242920050419741</v>
      </c>
      <c r="I17">
        <f t="shared" si="3"/>
        <v>-6.2029121334932068E-2</v>
      </c>
      <c r="J17">
        <f t="shared" si="4"/>
        <v>0.98909090909090913</v>
      </c>
      <c r="K17">
        <f t="shared" si="0"/>
        <v>-6.1352440011278264E-2</v>
      </c>
      <c r="L17">
        <f>J17*G17/H17</f>
        <v>0.23476698983907496</v>
      </c>
    </row>
    <row r="18" spans="1:12" x14ac:dyDescent="0.25">
      <c r="A18" t="s">
        <v>14</v>
      </c>
      <c r="B18">
        <v>2012</v>
      </c>
      <c r="C18">
        <v>127</v>
      </c>
      <c r="D18">
        <v>0.1</v>
      </c>
      <c r="E18">
        <v>-0.8</v>
      </c>
      <c r="F18">
        <v>1.1000000000000001</v>
      </c>
      <c r="G18">
        <f t="shared" si="1"/>
        <v>0.48469387755102045</v>
      </c>
      <c r="H18">
        <f t="shared" si="2"/>
        <v>2.7311112974758704</v>
      </c>
      <c r="I18">
        <f t="shared" si="3"/>
        <v>3.6615131756959643E-2</v>
      </c>
      <c r="J18">
        <f t="shared" si="4"/>
        <v>0.9939879759519038</v>
      </c>
      <c r="K18">
        <f t="shared" si="0"/>
        <v>3.6395000704312591E-2</v>
      </c>
      <c r="L18">
        <f>J18*G18/H18</f>
        <v>0.17640434014845391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2025-12-30T22:46:21Z</dcterms:modified>
</cp:coreProperties>
</file>