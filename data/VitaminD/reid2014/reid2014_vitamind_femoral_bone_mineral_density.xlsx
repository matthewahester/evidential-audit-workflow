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Vitamins\reid2014\"/>
    </mc:Choice>
  </mc:AlternateContent>
  <xr:revisionPtr revIDLastSave="0" documentId="13_ncr:1_{F55BE4C0-B208-4B5A-9B9F-E03CA4E786B7}" xr6:coauthVersionLast="47" xr6:coauthVersionMax="47" xr10:uidLastSave="{00000000-0000-0000-0000-000000000000}"/>
  <bookViews>
    <workbookView xWindow="38280" yWindow="2820" windowWidth="29040" windowHeight="16440" xr2:uid="{00000000-000D-0000-FFFF-FFFF0000000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2" l="1"/>
  <c r="L4" i="2"/>
  <c r="L5" i="2"/>
  <c r="L6" i="2"/>
  <c r="L7" i="2"/>
  <c r="L8" i="2"/>
  <c r="L9" i="2"/>
  <c r="L10" i="2"/>
  <c r="L11" i="2"/>
  <c r="L12" i="2"/>
  <c r="L13" i="2"/>
  <c r="L14" i="2"/>
  <c r="L2" i="2"/>
  <c r="H3" i="2"/>
  <c r="H4" i="2"/>
  <c r="H5" i="2"/>
  <c r="H6" i="2"/>
  <c r="H7" i="2"/>
  <c r="H8" i="2"/>
  <c r="H9" i="2"/>
  <c r="H10" i="2"/>
  <c r="H11" i="2"/>
  <c r="H12" i="2"/>
  <c r="H13" i="2"/>
  <c r="H14" i="2"/>
  <c r="I14" i="2" s="1"/>
  <c r="H2" i="2"/>
  <c r="J3" i="2"/>
  <c r="J4" i="2"/>
  <c r="J5" i="2"/>
  <c r="J6" i="2"/>
  <c r="J7" i="2"/>
  <c r="J8" i="2"/>
  <c r="J9" i="2"/>
  <c r="J10" i="2"/>
  <c r="J11" i="2"/>
  <c r="J12" i="2"/>
  <c r="J13" i="2"/>
  <c r="J14" i="2"/>
  <c r="J2" i="2"/>
  <c r="G3" i="2"/>
  <c r="G4" i="2"/>
  <c r="G5" i="2"/>
  <c r="G6" i="2"/>
  <c r="I6" i="2" s="1"/>
  <c r="K6" i="2" s="1"/>
  <c r="G7" i="2"/>
  <c r="G8" i="2"/>
  <c r="G9" i="2"/>
  <c r="G10" i="2"/>
  <c r="G11" i="2"/>
  <c r="G12" i="2"/>
  <c r="G13" i="2"/>
  <c r="G14" i="2"/>
  <c r="G2" i="2"/>
  <c r="I12" i="2" l="1"/>
  <c r="I10" i="2"/>
  <c r="K10" i="2" s="1"/>
  <c r="I8" i="2"/>
  <c r="K8" i="2" s="1"/>
  <c r="I7" i="2"/>
  <c r="K7" i="2" s="1"/>
  <c r="I5" i="2"/>
  <c r="K5" i="2" s="1"/>
  <c r="I4" i="2"/>
  <c r="K4" i="2" s="1"/>
  <c r="I3" i="2"/>
  <c r="K3" i="2" s="1"/>
  <c r="I13" i="2"/>
  <c r="K13" i="2" s="1"/>
  <c r="I11" i="2"/>
  <c r="K11" i="2" s="1"/>
  <c r="I9" i="2"/>
  <c r="K9" i="2" s="1"/>
  <c r="K14" i="2"/>
  <c r="I2" i="2"/>
  <c r="K2" i="2" s="1"/>
  <c r="K12" i="2"/>
</calcChain>
</file>

<file path=xl/sharedStrings.xml><?xml version="1.0" encoding="utf-8"?>
<sst xmlns="http://schemas.openxmlformats.org/spreadsheetml/2006/main" count="25" uniqueCount="25">
  <si>
    <t>Dawson-Hughes</t>
  </si>
  <si>
    <t>Tuppurainen</t>
  </si>
  <si>
    <t>Komulainen</t>
  </si>
  <si>
    <t>Hunter</t>
  </si>
  <si>
    <t>Patel</t>
  </si>
  <si>
    <t>Cooper</t>
  </si>
  <si>
    <t>Harwood</t>
  </si>
  <si>
    <t>Islam</t>
  </si>
  <si>
    <t>Grimnes</t>
  </si>
  <si>
    <t>Rastelli</t>
  </si>
  <si>
    <t>Nieves</t>
  </si>
  <si>
    <t>Author</t>
  </si>
  <si>
    <t>Year</t>
  </si>
  <si>
    <t>ES</t>
  </si>
  <si>
    <t>CI_lower</t>
  </si>
  <si>
    <t>CI_upper</t>
  </si>
  <si>
    <t>N</t>
  </si>
  <si>
    <t>KomulainenNOHRT</t>
  </si>
  <si>
    <t>pooled_sd</t>
  </si>
  <si>
    <t>SE</t>
  </si>
  <si>
    <t>Ooms</t>
  </si>
  <si>
    <t>d</t>
  </si>
  <si>
    <t>J</t>
  </si>
  <si>
    <t>g</t>
  </si>
  <si>
    <t>se_g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</si>
</sst>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761A1-502D-49C2-8946-F37011FFEE87}">
  <dimension ref="A1:L14"/>
  <sheetViews>
    <sheetView tabSelected="1" workbookViewId="0">
      <selection activeCell="H8" sqref="H8"/>
    </sheetView>
  </sheetViews>
  <sheetFormatPr defaultRowHeight="15" x14ac:dyDescent="0.25"/>
  <cols>
    <col min="1" max="1" width="18.28515625" bestFit="1" customWidth="1"/>
    <col min="2" max="2" width="5" bestFit="1" customWidth="1"/>
    <col min="3" max="3" width="4" bestFit="1" customWidth="1"/>
    <col min="4" max="4" width="4.7109375" bestFit="1" customWidth="1"/>
    <col min="5" max="5" width="8.85546875" bestFit="1" customWidth="1"/>
    <col min="6" max="6" width="9" bestFit="1" customWidth="1"/>
    <col min="7" max="8" width="12" bestFit="1" customWidth="1"/>
  </cols>
  <sheetData>
    <row r="1" spans="1:12" x14ac:dyDescent="0.25">
      <c r="A1" t="s">
        <v>11</v>
      </c>
      <c r="B1" t="s">
        <v>12</v>
      </c>
      <c r="C1" t="s">
        <v>16</v>
      </c>
      <c r="D1" t="s">
        <v>13</v>
      </c>
      <c r="E1" t="s">
        <v>14</v>
      </c>
      <c r="F1" t="s">
        <v>15</v>
      </c>
      <c r="G1" t="s">
        <v>19</v>
      </c>
      <c r="H1" t="s">
        <v>18</v>
      </c>
      <c r="I1" t="s">
        <v>21</v>
      </c>
      <c r="J1" t="s">
        <v>22</v>
      </c>
      <c r="K1" t="s">
        <v>23</v>
      </c>
      <c r="L1" t="s">
        <v>24</v>
      </c>
    </row>
    <row r="2" spans="1:12" x14ac:dyDescent="0.25">
      <c r="A2" t="s">
        <v>0</v>
      </c>
      <c r="B2">
        <v>1995</v>
      </c>
      <c r="C2">
        <v>261</v>
      </c>
      <c r="D2">
        <v>1.5</v>
      </c>
      <c r="E2">
        <v>0.5</v>
      </c>
      <c r="F2">
        <v>2.5</v>
      </c>
      <c r="G2">
        <f>(F2-E2)/2/1.96</f>
        <v>0.51020408163265307</v>
      </c>
      <c r="H2">
        <f>G2*SQRT(C2/4)</f>
        <v>4.1212995972968143</v>
      </c>
      <c r="I2">
        <f>D2/H2</f>
        <v>0.36396286282702167</v>
      </c>
      <c r="J2">
        <f t="shared" ref="J2:J14" si="0">1-3/(4*(C2-2)-1)</f>
        <v>0.99710144927536237</v>
      </c>
      <c r="K2">
        <f t="shared" ref="K2:K14" si="1">J2*I2</f>
        <v>0.36290789800723322</v>
      </c>
      <c r="L2">
        <f>J2*G2/H2</f>
        <v>0.12343806054667797</v>
      </c>
    </row>
    <row r="3" spans="1:12" x14ac:dyDescent="0.25">
      <c r="A3" t="s">
        <v>20</v>
      </c>
      <c r="B3">
        <v>1995</v>
      </c>
      <c r="C3">
        <v>348</v>
      </c>
      <c r="D3">
        <v>1.9</v>
      </c>
      <c r="E3">
        <v>0.4</v>
      </c>
      <c r="F3">
        <v>3.4</v>
      </c>
      <c r="G3">
        <f t="shared" ref="G3:G14" si="2">(F3-E3)/2/1.96</f>
        <v>0.76530612244897955</v>
      </c>
      <c r="H3">
        <f t="shared" ref="H3:H14" si="3">G3*SQRT(C3/4)</f>
        <v>7.138300295731236</v>
      </c>
      <c r="I3">
        <f t="shared" ref="I3:I14" si="4">D3/H3</f>
        <v>0.26616980531572987</v>
      </c>
      <c r="J3">
        <f t="shared" si="0"/>
        <v>0.99783080260303691</v>
      </c>
      <c r="K3">
        <f t="shared" si="1"/>
        <v>0.2655924304668888</v>
      </c>
      <c r="L3">
        <f>J3*G3/H3</f>
        <v>0.10697869111179732</v>
      </c>
    </row>
    <row r="4" spans="1:12" x14ac:dyDescent="0.25">
      <c r="A4" t="s">
        <v>1</v>
      </c>
      <c r="B4">
        <v>1998</v>
      </c>
      <c r="C4">
        <v>45</v>
      </c>
      <c r="D4">
        <v>3.7</v>
      </c>
      <c r="E4">
        <v>-0.1</v>
      </c>
      <c r="F4">
        <v>7.5</v>
      </c>
      <c r="G4">
        <f t="shared" si="2"/>
        <v>1.9387755102040816</v>
      </c>
      <c r="H4">
        <f t="shared" si="3"/>
        <v>6.5028507508922457</v>
      </c>
      <c r="I4">
        <f t="shared" si="4"/>
        <v>0.56898122711678856</v>
      </c>
      <c r="J4">
        <f t="shared" si="0"/>
        <v>0.98245614035087714</v>
      </c>
      <c r="K4">
        <f t="shared" si="1"/>
        <v>0.5589991003252659</v>
      </c>
      <c r="L4">
        <f>J4*G4/H4</f>
        <v>0.29291182863155135</v>
      </c>
    </row>
    <row r="5" spans="1:12" x14ac:dyDescent="0.25">
      <c r="A5" t="s">
        <v>17</v>
      </c>
      <c r="B5">
        <v>1999</v>
      </c>
      <c r="C5">
        <v>231</v>
      </c>
      <c r="D5">
        <v>0.1</v>
      </c>
      <c r="E5">
        <v>-1.2</v>
      </c>
      <c r="F5">
        <v>1.4</v>
      </c>
      <c r="G5">
        <f t="shared" si="2"/>
        <v>0.66326530612244894</v>
      </c>
      <c r="H5">
        <f t="shared" si="3"/>
        <v>5.0403799488882299</v>
      </c>
      <c r="I5">
        <f t="shared" si="4"/>
        <v>1.9839774186479191E-2</v>
      </c>
      <c r="J5">
        <f t="shared" si="0"/>
        <v>0.99672131147540988</v>
      </c>
      <c r="K5">
        <f t="shared" si="1"/>
        <v>1.9774725746523523E-2</v>
      </c>
      <c r="L5">
        <f>J5*G5/H5</f>
        <v>0.13115889525755395</v>
      </c>
    </row>
    <row r="6" spans="1:12" x14ac:dyDescent="0.25">
      <c r="A6" t="s">
        <v>2</v>
      </c>
      <c r="B6">
        <v>1999</v>
      </c>
      <c r="C6">
        <v>227</v>
      </c>
      <c r="D6">
        <v>0</v>
      </c>
      <c r="E6">
        <v>-1.3</v>
      </c>
      <c r="F6">
        <v>1.3</v>
      </c>
      <c r="G6">
        <f t="shared" si="2"/>
        <v>0.66326530612244905</v>
      </c>
      <c r="H6">
        <f t="shared" si="3"/>
        <v>4.9965497258457079</v>
      </c>
      <c r="I6">
        <f t="shared" si="4"/>
        <v>0</v>
      </c>
      <c r="J6">
        <f t="shared" si="0"/>
        <v>0.99666295884315903</v>
      </c>
      <c r="K6">
        <f t="shared" si="1"/>
        <v>0</v>
      </c>
      <c r="L6">
        <f>J6*G6/H6</f>
        <v>0.1323016879184816</v>
      </c>
    </row>
    <row r="7" spans="1:12" x14ac:dyDescent="0.25">
      <c r="A7" t="s">
        <v>3</v>
      </c>
      <c r="B7">
        <v>2000</v>
      </c>
      <c r="C7">
        <v>158</v>
      </c>
      <c r="D7">
        <v>0.5</v>
      </c>
      <c r="E7">
        <v>-1.1000000000000001</v>
      </c>
      <c r="F7">
        <v>2.1</v>
      </c>
      <c r="G7">
        <f t="shared" si="2"/>
        <v>0.81632653061224492</v>
      </c>
      <c r="H7">
        <f t="shared" si="3"/>
        <v>5.1305326897863406</v>
      </c>
      <c r="I7">
        <f t="shared" si="4"/>
        <v>9.7455767311526928E-2</v>
      </c>
      <c r="J7">
        <f t="shared" si="0"/>
        <v>0.9951845906902087</v>
      </c>
      <c r="K7">
        <f t="shared" si="1"/>
        <v>9.6986477902322149E-2</v>
      </c>
      <c r="L7">
        <f>J7*G7/H7</f>
        <v>0.15834527004460761</v>
      </c>
    </row>
    <row r="8" spans="1:12" x14ac:dyDescent="0.25">
      <c r="A8" t="s">
        <v>4</v>
      </c>
      <c r="B8">
        <v>2001</v>
      </c>
      <c r="C8">
        <v>70</v>
      </c>
      <c r="D8">
        <v>0.6</v>
      </c>
      <c r="E8">
        <v>-0.6</v>
      </c>
      <c r="F8">
        <v>1.9</v>
      </c>
      <c r="G8">
        <f t="shared" si="2"/>
        <v>0.63775510204081631</v>
      </c>
      <c r="H8">
        <f t="shared" si="3"/>
        <v>2.6679210029785572</v>
      </c>
      <c r="I8">
        <f t="shared" si="4"/>
        <v>0.22489421513235949</v>
      </c>
      <c r="J8">
        <f t="shared" si="0"/>
        <v>0.98892988929889303</v>
      </c>
      <c r="K8">
        <f t="shared" si="1"/>
        <v>0.22240461127480571</v>
      </c>
      <c r="L8">
        <f>J8*G8/H8</f>
        <v>0.23639945926318634</v>
      </c>
    </row>
    <row r="9" spans="1:12" x14ac:dyDescent="0.25">
      <c r="A9" t="s">
        <v>5</v>
      </c>
      <c r="B9">
        <v>2003</v>
      </c>
      <c r="C9">
        <v>187</v>
      </c>
      <c r="D9">
        <v>-0.7</v>
      </c>
      <c r="E9">
        <v>-2</v>
      </c>
      <c r="F9">
        <v>7.0000000000000007E-2</v>
      </c>
      <c r="G9">
        <f t="shared" si="2"/>
        <v>0.52806122448979587</v>
      </c>
      <c r="H9">
        <f t="shared" si="3"/>
        <v>3.6105643195838137</v>
      </c>
      <c r="I9">
        <f t="shared" si="4"/>
        <v>-0.19387551031930883</v>
      </c>
      <c r="J9">
        <f t="shared" si="0"/>
        <v>0.99594046008119075</v>
      </c>
      <c r="K9">
        <f t="shared" si="1"/>
        <v>-0.19308846494588808</v>
      </c>
      <c r="L9">
        <f>J9*G9/H9</f>
        <v>0.14566075890597244</v>
      </c>
    </row>
    <row r="10" spans="1:12" x14ac:dyDescent="0.25">
      <c r="A10" t="s">
        <v>6</v>
      </c>
      <c r="B10">
        <v>2004</v>
      </c>
      <c r="C10">
        <v>75</v>
      </c>
      <c r="D10">
        <v>1.1000000000000001</v>
      </c>
      <c r="E10">
        <v>-1.1000000000000001</v>
      </c>
      <c r="F10">
        <v>2.2000000000000002</v>
      </c>
      <c r="G10">
        <f t="shared" si="2"/>
        <v>0.84183673469387765</v>
      </c>
      <c r="H10">
        <f t="shared" si="3"/>
        <v>3.645259990419194</v>
      </c>
      <c r="I10">
        <f t="shared" si="4"/>
        <v>0.30176174069644435</v>
      </c>
      <c r="J10">
        <f t="shared" si="0"/>
        <v>0.98969072164948457</v>
      </c>
      <c r="K10">
        <f t="shared" si="1"/>
        <v>0.29865079491606866</v>
      </c>
      <c r="L10">
        <f>J10*G10/H10</f>
        <v>0.22855928182352195</v>
      </c>
    </row>
    <row r="11" spans="1:12" x14ac:dyDescent="0.25">
      <c r="A11" t="s">
        <v>7</v>
      </c>
      <c r="B11">
        <v>2010</v>
      </c>
      <c r="C11">
        <v>100</v>
      </c>
      <c r="D11">
        <v>2.8</v>
      </c>
      <c r="E11">
        <v>1.5</v>
      </c>
      <c r="F11">
        <v>4.0999999999999996</v>
      </c>
      <c r="G11">
        <f t="shared" si="2"/>
        <v>0.66326530612244894</v>
      </c>
      <c r="H11">
        <f t="shared" si="3"/>
        <v>3.3163265306122449</v>
      </c>
      <c r="I11">
        <f t="shared" si="4"/>
        <v>0.8443076923076922</v>
      </c>
      <c r="J11">
        <f t="shared" si="0"/>
        <v>0.99232736572890023</v>
      </c>
      <c r="K11">
        <f t="shared" si="1"/>
        <v>0.83782962817233908</v>
      </c>
      <c r="L11">
        <f>J11*G11/H11</f>
        <v>0.19846547314578003</v>
      </c>
    </row>
    <row r="12" spans="1:12" x14ac:dyDescent="0.25">
      <c r="A12" t="s">
        <v>8</v>
      </c>
      <c r="B12">
        <v>2011</v>
      </c>
      <c r="C12">
        <v>297</v>
      </c>
      <c r="D12">
        <v>-0.1</v>
      </c>
      <c r="E12">
        <v>-0.6</v>
      </c>
      <c r="F12">
        <v>0.3</v>
      </c>
      <c r="G12">
        <f t="shared" si="2"/>
        <v>0.22959183673469385</v>
      </c>
      <c r="H12">
        <f t="shared" si="3"/>
        <v>1.9783570338842698</v>
      </c>
      <c r="I12">
        <f t="shared" si="4"/>
        <v>-5.0546993433061904E-2</v>
      </c>
      <c r="J12">
        <f t="shared" si="0"/>
        <v>0.99745547073791352</v>
      </c>
      <c r="K12">
        <f t="shared" si="1"/>
        <v>-5.0418375129160982E-2</v>
      </c>
      <c r="L12">
        <f>J12*G12/H12</f>
        <v>0.11575647351082877</v>
      </c>
    </row>
    <row r="13" spans="1:12" x14ac:dyDescent="0.25">
      <c r="A13" t="s">
        <v>9</v>
      </c>
      <c r="B13">
        <v>2011</v>
      </c>
      <c r="C13">
        <v>60</v>
      </c>
      <c r="D13">
        <v>1.8</v>
      </c>
      <c r="E13">
        <v>-0.1</v>
      </c>
      <c r="F13">
        <v>3.8</v>
      </c>
      <c r="G13">
        <f t="shared" si="2"/>
        <v>0.99489795918367352</v>
      </c>
      <c r="H13">
        <f t="shared" si="3"/>
        <v>3.853223227094114</v>
      </c>
      <c r="I13">
        <f t="shared" si="4"/>
        <v>0.46714137591178689</v>
      </c>
      <c r="J13">
        <f t="shared" si="0"/>
        <v>0.98701298701298701</v>
      </c>
      <c r="K13">
        <f t="shared" si="1"/>
        <v>0.46107460479604939</v>
      </c>
      <c r="L13">
        <f>J13*G13/H13</f>
        <v>0.25484565741278242</v>
      </c>
    </row>
    <row r="14" spans="1:12" x14ac:dyDescent="0.25">
      <c r="A14" t="s">
        <v>10</v>
      </c>
      <c r="B14">
        <v>2012</v>
      </c>
      <c r="C14">
        <v>127</v>
      </c>
      <c r="D14">
        <v>0.6</v>
      </c>
      <c r="E14">
        <v>-0.1</v>
      </c>
      <c r="F14">
        <v>1.3</v>
      </c>
      <c r="G14">
        <f t="shared" si="2"/>
        <v>0.35714285714285721</v>
      </c>
      <c r="H14">
        <f t="shared" si="3"/>
        <v>2.0123977981401153</v>
      </c>
      <c r="I14">
        <f t="shared" si="4"/>
        <v>0.29815178716381419</v>
      </c>
      <c r="J14">
        <f t="shared" si="0"/>
        <v>0.9939879759519038</v>
      </c>
      <c r="K14">
        <f t="shared" si="1"/>
        <v>0.29635929144940248</v>
      </c>
      <c r="L14">
        <f>J14*G14/H14</f>
        <v>0.17640434014845391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Hester</dc:creator>
  <cp:lastModifiedBy>Matt Hester</cp:lastModifiedBy>
  <dcterms:created xsi:type="dcterms:W3CDTF">2015-06-05T18:17:20Z</dcterms:created>
  <dcterms:modified xsi:type="dcterms:W3CDTF">2025-12-30T22:46:47Z</dcterms:modified>
</cp:coreProperties>
</file>