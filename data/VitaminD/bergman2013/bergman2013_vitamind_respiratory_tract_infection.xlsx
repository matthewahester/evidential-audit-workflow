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bergman2013\"/>
    </mc:Choice>
  </mc:AlternateContent>
  <xr:revisionPtr revIDLastSave="0" documentId="13_ncr:1_{48F8E109-7DFB-44F9-AC09-55D96E5DA74B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K4" i="1"/>
  <c r="L4" i="1" s="1"/>
  <c r="K5" i="1"/>
  <c r="L5" i="1"/>
  <c r="K6" i="1"/>
  <c r="L6" i="1" s="1"/>
  <c r="K7" i="1"/>
  <c r="L7" i="1"/>
  <c r="K8" i="1"/>
  <c r="L8" i="1" s="1"/>
  <c r="K9" i="1"/>
  <c r="L9" i="1"/>
  <c r="K10" i="1"/>
  <c r="L10" i="1" s="1"/>
  <c r="K11" i="1"/>
  <c r="L11" i="1"/>
  <c r="K12" i="1"/>
  <c r="L12" i="1" s="1"/>
  <c r="K2" i="1"/>
  <c r="L2" i="1" s="1"/>
  <c r="J3" i="1"/>
  <c r="I3" i="1"/>
  <c r="I4" i="1"/>
  <c r="I5" i="1"/>
  <c r="I6" i="1"/>
  <c r="J6" i="1" s="1"/>
  <c r="I7" i="1"/>
  <c r="I8" i="1"/>
  <c r="I9" i="1"/>
  <c r="I10" i="1"/>
  <c r="I11" i="1"/>
  <c r="I12" i="1"/>
  <c r="I2" i="1"/>
  <c r="J8" i="1"/>
  <c r="H3" i="1"/>
  <c r="H4" i="1"/>
  <c r="H5" i="1"/>
  <c r="H6" i="1"/>
  <c r="H7" i="1"/>
  <c r="H8" i="1"/>
  <c r="H9" i="1"/>
  <c r="H10" i="1"/>
  <c r="H11" i="1"/>
  <c r="H12" i="1"/>
  <c r="H2" i="1"/>
  <c r="J2" i="1" l="1"/>
  <c r="J12" i="1"/>
  <c r="J11" i="1"/>
  <c r="J10" i="1"/>
  <c r="J9" i="1"/>
  <c r="J7" i="1"/>
  <c r="J4" i="1"/>
  <c r="J5" i="1"/>
</calcChain>
</file>

<file path=xl/sharedStrings.xml><?xml version="1.0" encoding="utf-8"?>
<sst xmlns="http://schemas.openxmlformats.org/spreadsheetml/2006/main" count="23" uniqueCount="22">
  <si>
    <t>Author</t>
  </si>
  <si>
    <t>OR</t>
  </si>
  <si>
    <t>CI_lower_OR</t>
  </si>
  <si>
    <t>CI_upper_OR</t>
  </si>
  <si>
    <t>Aloia</t>
  </si>
  <si>
    <t>Jorde</t>
  </si>
  <si>
    <t>Bergman</t>
  </si>
  <si>
    <t>Camargo</t>
  </si>
  <si>
    <t>Laaksi</t>
  </si>
  <si>
    <t>Li-Ng</t>
  </si>
  <si>
    <t>Majak</t>
  </si>
  <si>
    <t>Manaseki-Holland</t>
  </si>
  <si>
    <t>Murdoch</t>
  </si>
  <si>
    <t>Urashima</t>
  </si>
  <si>
    <t>Year</t>
  </si>
  <si>
    <t>ES</t>
  </si>
  <si>
    <t>n_treat</t>
  </si>
  <si>
    <t>n_ctrl</t>
  </si>
  <si>
    <t>J</t>
  </si>
  <si>
    <t>g</t>
  </si>
  <si>
    <t>se_g</t>
  </si>
  <si>
    <t>se_es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</si>
</sst>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K4" sqref="K4"/>
    </sheetView>
  </sheetViews>
  <sheetFormatPr defaultRowHeight="15" x14ac:dyDescent="0.25"/>
  <cols>
    <col min="1" max="1" width="17.28515625" bestFit="1" customWidth="1"/>
    <col min="2" max="2" width="5" bestFit="1" customWidth="1"/>
    <col min="3" max="4" width="5" customWidth="1"/>
    <col min="5" max="5" width="5" bestFit="1" customWidth="1"/>
    <col min="6" max="6" width="12.42578125" bestFit="1" customWidth="1"/>
    <col min="7" max="7" width="12.5703125" bestFit="1" customWidth="1"/>
  </cols>
  <sheetData>
    <row r="1" spans="1:12" x14ac:dyDescent="0.25">
      <c r="A1" t="s">
        <v>0</v>
      </c>
      <c r="B1" t="s">
        <v>14</v>
      </c>
      <c r="C1" t="s">
        <v>16</v>
      </c>
      <c r="D1" t="s">
        <v>17</v>
      </c>
      <c r="E1" t="s">
        <v>1</v>
      </c>
      <c r="F1" t="s">
        <v>2</v>
      </c>
      <c r="G1" t="s">
        <v>3</v>
      </c>
      <c r="H1" t="s">
        <v>15</v>
      </c>
      <c r="I1" t="s">
        <v>18</v>
      </c>
      <c r="J1" t="s">
        <v>19</v>
      </c>
      <c r="K1" t="s">
        <v>21</v>
      </c>
      <c r="L1" t="s">
        <v>20</v>
      </c>
    </row>
    <row r="2" spans="1:12" x14ac:dyDescent="0.25">
      <c r="A2" t="s">
        <v>4</v>
      </c>
      <c r="B2">
        <v>2007</v>
      </c>
      <c r="C2">
        <v>104</v>
      </c>
      <c r="D2">
        <v>104</v>
      </c>
      <c r="E2">
        <v>0.25</v>
      </c>
      <c r="F2">
        <v>0.11</v>
      </c>
      <c r="G2">
        <v>0.57999999999999996</v>
      </c>
      <c r="H2">
        <f>-LN(E2)/1.81</f>
        <v>0.76590848680656931</v>
      </c>
      <c r="I2">
        <f t="shared" ref="I2:I12" si="0">1-3/(4*(D2+C2-2)-1)</f>
        <v>0.99635479951397332</v>
      </c>
      <c r="J2">
        <f t="shared" ref="J2:J12" si="1">I2*H2</f>
        <v>0.76311659681821009</v>
      </c>
      <c r="K2">
        <f>(LN(G2)-LN(F2))/2/1.96/1.81</f>
        <v>0.23432006677021766</v>
      </c>
      <c r="L2">
        <f>K2*I2</f>
        <v>0.23346592314894107</v>
      </c>
    </row>
    <row r="3" spans="1:12" x14ac:dyDescent="0.25">
      <c r="A3" t="s">
        <v>5</v>
      </c>
      <c r="B3">
        <v>2012</v>
      </c>
      <c r="C3">
        <v>289</v>
      </c>
      <c r="D3">
        <v>280</v>
      </c>
      <c r="E3">
        <v>0.93</v>
      </c>
      <c r="F3">
        <v>0.52</v>
      </c>
      <c r="G3">
        <v>1.64</v>
      </c>
      <c r="H3">
        <f t="shared" ref="H3:H12" si="2">-LN(E3)/1.81</f>
        <v>4.00943054336107E-2</v>
      </c>
      <c r="I3">
        <f t="shared" si="0"/>
        <v>0.99867666519629461</v>
      </c>
      <c r="J3">
        <f t="shared" si="1"/>
        <v>4.004124724380001E-2</v>
      </c>
      <c r="K3">
        <f t="shared" ref="K3:K12" si="3">(LN(G3)-LN(F3))/2/1.96/1.81</f>
        <v>0.16188729130155191</v>
      </c>
      <c r="L3">
        <f t="shared" ref="L3:L12" si="4">K3*I3</f>
        <v>0.16167306021469496</v>
      </c>
    </row>
    <row r="4" spans="1:12" x14ac:dyDescent="0.25">
      <c r="A4" t="s">
        <v>6</v>
      </c>
      <c r="B4">
        <v>2012</v>
      </c>
      <c r="C4">
        <v>62</v>
      </c>
      <c r="D4">
        <v>62</v>
      </c>
      <c r="E4">
        <v>0.48</v>
      </c>
      <c r="F4">
        <v>0.25</v>
      </c>
      <c r="G4">
        <v>0.91</v>
      </c>
      <c r="H4">
        <f t="shared" si="2"/>
        <v>0.40550783153602232</v>
      </c>
      <c r="I4">
        <f t="shared" si="0"/>
        <v>0.99383983572895274</v>
      </c>
      <c r="J4">
        <f t="shared" si="1"/>
        <v>0.40300983668056428</v>
      </c>
      <c r="K4">
        <f t="shared" si="3"/>
        <v>0.18209263750826601</v>
      </c>
      <c r="L4">
        <f t="shared" si="4"/>
        <v>0.18097091694866682</v>
      </c>
    </row>
    <row r="5" spans="1:12" x14ac:dyDescent="0.25">
      <c r="A5" t="s">
        <v>7</v>
      </c>
      <c r="B5">
        <v>2012</v>
      </c>
      <c r="C5">
        <v>141</v>
      </c>
      <c r="D5">
        <v>103</v>
      </c>
      <c r="E5">
        <v>0.49</v>
      </c>
      <c r="F5">
        <v>0.31</v>
      </c>
      <c r="G5">
        <v>0.79</v>
      </c>
      <c r="H5">
        <f t="shared" si="2"/>
        <v>0.39411596015329547</v>
      </c>
      <c r="I5">
        <f t="shared" si="0"/>
        <v>0.99689762150982419</v>
      </c>
      <c r="J5">
        <f t="shared" si="1"/>
        <v>0.39289326327588092</v>
      </c>
      <c r="K5">
        <f t="shared" si="3"/>
        <v>0.13184415491908263</v>
      </c>
      <c r="L5">
        <f t="shared" si="4"/>
        <v>0.13143512444880626</v>
      </c>
    </row>
    <row r="6" spans="1:12" x14ac:dyDescent="0.25">
      <c r="A6" t="s">
        <v>8</v>
      </c>
      <c r="B6">
        <v>2010</v>
      </c>
      <c r="C6">
        <v>80</v>
      </c>
      <c r="D6">
        <v>84</v>
      </c>
      <c r="E6">
        <v>0.67</v>
      </c>
      <c r="F6">
        <v>0.38</v>
      </c>
      <c r="G6">
        <v>1.17</v>
      </c>
      <c r="H6">
        <f t="shared" si="2"/>
        <v>0.22125832408680951</v>
      </c>
      <c r="I6">
        <f t="shared" si="0"/>
        <v>0.99536321483771251</v>
      </c>
      <c r="J6">
        <f t="shared" si="1"/>
        <v>0.22023239677265119</v>
      </c>
      <c r="K6">
        <f t="shared" si="3"/>
        <v>0.15849979917005444</v>
      </c>
      <c r="L6">
        <f t="shared" si="4"/>
        <v>0.15776486965303718</v>
      </c>
    </row>
    <row r="7" spans="1:12" x14ac:dyDescent="0.25">
      <c r="A7" t="s">
        <v>9</v>
      </c>
      <c r="B7">
        <v>2009</v>
      </c>
      <c r="C7">
        <v>78</v>
      </c>
      <c r="D7">
        <v>70</v>
      </c>
      <c r="E7">
        <v>0.79</v>
      </c>
      <c r="F7">
        <v>0.41</v>
      </c>
      <c r="G7">
        <v>1.54</v>
      </c>
      <c r="H7">
        <f t="shared" si="2"/>
        <v>0.13023333343705515</v>
      </c>
      <c r="I7">
        <f t="shared" si="0"/>
        <v>0.99485420240137223</v>
      </c>
      <c r="J7">
        <f t="shared" si="1"/>
        <v>0.12956317906259346</v>
      </c>
      <c r="K7">
        <f t="shared" si="3"/>
        <v>0.18651772123538754</v>
      </c>
      <c r="L7">
        <f t="shared" si="4"/>
        <v>0.18555793879335297</v>
      </c>
    </row>
    <row r="8" spans="1:12" x14ac:dyDescent="0.25">
      <c r="A8" t="s">
        <v>10</v>
      </c>
      <c r="B8">
        <v>2011</v>
      </c>
      <c r="C8">
        <v>24</v>
      </c>
      <c r="D8">
        <v>24</v>
      </c>
      <c r="E8">
        <v>0.24</v>
      </c>
      <c r="F8">
        <v>0.06</v>
      </c>
      <c r="G8">
        <v>0.9</v>
      </c>
      <c r="H8">
        <f t="shared" si="2"/>
        <v>0.78846207493930709</v>
      </c>
      <c r="I8">
        <f t="shared" si="0"/>
        <v>0.98360655737704916</v>
      </c>
      <c r="J8">
        <f t="shared" si="1"/>
        <v>0.77553646715341684</v>
      </c>
      <c r="K8">
        <f t="shared" si="3"/>
        <v>0.38167355410731341</v>
      </c>
      <c r="L8">
        <f t="shared" si="4"/>
        <v>0.37541661059735743</v>
      </c>
    </row>
    <row r="9" spans="1:12" x14ac:dyDescent="0.25">
      <c r="A9" t="s">
        <v>11</v>
      </c>
      <c r="B9">
        <v>2010</v>
      </c>
      <c r="C9">
        <v>224</v>
      </c>
      <c r="D9">
        <v>229</v>
      </c>
      <c r="E9">
        <v>0.6</v>
      </c>
      <c r="F9">
        <v>0.41</v>
      </c>
      <c r="G9">
        <v>0.88</v>
      </c>
      <c r="H9">
        <f t="shared" si="2"/>
        <v>0.28222410152817168</v>
      </c>
      <c r="I9">
        <f t="shared" si="0"/>
        <v>0.99833610648918469</v>
      </c>
      <c r="J9">
        <f t="shared" si="1"/>
        <v>0.28175451067704327</v>
      </c>
      <c r="K9">
        <f t="shared" si="3"/>
        <v>0.10764527395618147</v>
      </c>
      <c r="L9">
        <f t="shared" si="4"/>
        <v>0.10746616368337585</v>
      </c>
    </row>
    <row r="10" spans="1:12" x14ac:dyDescent="0.25">
      <c r="A10" t="s">
        <v>11</v>
      </c>
      <c r="B10">
        <v>2012</v>
      </c>
      <c r="C10">
        <v>1524</v>
      </c>
      <c r="D10">
        <v>1522</v>
      </c>
      <c r="E10">
        <v>1.04</v>
      </c>
      <c r="F10">
        <v>0.92</v>
      </c>
      <c r="G10">
        <v>1.19</v>
      </c>
      <c r="H10">
        <f t="shared" si="2"/>
        <v>-2.1668902294630567E-2</v>
      </c>
      <c r="I10">
        <f t="shared" si="0"/>
        <v>0.99975359342915815</v>
      </c>
      <c r="J10">
        <f t="shared" si="1"/>
        <v>-2.1663562934722241E-2</v>
      </c>
      <c r="K10">
        <f t="shared" si="3"/>
        <v>3.6268874177259131E-2</v>
      </c>
      <c r="L10">
        <f t="shared" si="4"/>
        <v>3.6259937288344819E-2</v>
      </c>
    </row>
    <row r="11" spans="1:12" x14ac:dyDescent="0.25">
      <c r="A11" t="s">
        <v>12</v>
      </c>
      <c r="B11">
        <v>2012</v>
      </c>
      <c r="C11">
        <v>161</v>
      </c>
      <c r="D11">
        <v>161</v>
      </c>
      <c r="E11">
        <v>0.92</v>
      </c>
      <c r="F11">
        <v>0.62</v>
      </c>
      <c r="G11">
        <v>1.37</v>
      </c>
      <c r="H11">
        <f t="shared" si="2"/>
        <v>4.6067187259144202E-2</v>
      </c>
      <c r="I11">
        <f t="shared" si="0"/>
        <v>0.99765441751368256</v>
      </c>
      <c r="J11">
        <f t="shared" si="1"/>
        <v>4.5959132871515249E-2</v>
      </c>
      <c r="K11">
        <f t="shared" si="3"/>
        <v>0.11174407215906999</v>
      </c>
      <c r="L11">
        <f t="shared" si="4"/>
        <v>0.11148196722046388</v>
      </c>
    </row>
    <row r="12" spans="1:12" x14ac:dyDescent="0.25">
      <c r="A12" t="s">
        <v>13</v>
      </c>
      <c r="B12">
        <v>2010</v>
      </c>
      <c r="C12">
        <v>167</v>
      </c>
      <c r="D12">
        <v>167</v>
      </c>
      <c r="E12">
        <v>0.53</v>
      </c>
      <c r="F12">
        <v>0.28000000000000003</v>
      </c>
      <c r="G12">
        <v>0.99</v>
      </c>
      <c r="H12">
        <f t="shared" si="2"/>
        <v>0.35076147648396105</v>
      </c>
      <c r="I12">
        <f t="shared" si="0"/>
        <v>0.99773926149208747</v>
      </c>
      <c r="J12">
        <f t="shared" si="1"/>
        <v>0.34996849650698153</v>
      </c>
      <c r="K12">
        <f t="shared" si="3"/>
        <v>0.17799573513916253</v>
      </c>
      <c r="L12">
        <f t="shared" si="4"/>
        <v>0.17759333332648922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2025-12-26T21:00:02Z</dcterms:modified>
</cp:coreProperties>
</file>