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autier2007\"/>
    </mc:Choice>
  </mc:AlternateContent>
  <xr:revisionPtr revIDLastSave="0" documentId="13_ncr:1_{6D2A6857-2F3D-4E44-A905-9300580AE848}" xr6:coauthVersionLast="47" xr6:coauthVersionMax="47" xr10:uidLastSave="{00000000-0000-0000-0000-000000000000}"/>
  <bookViews>
    <workbookView xWindow="52800" yWindow="2940" windowWidth="14400" windowHeight="16200" xr2:uid="{7D504B97-F81A-462E-A5C3-A51F1C617600}"/>
  </bookViews>
  <sheets>
    <sheet name="autier_vitamind_mr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 s="1"/>
  <c r="M4" i="1"/>
  <c r="N4" i="1" s="1"/>
  <c r="M5" i="1"/>
  <c r="N5" i="1"/>
  <c r="M6" i="1"/>
  <c r="N6" i="1" s="1"/>
  <c r="M7" i="1"/>
  <c r="N7" i="1"/>
  <c r="M8" i="1"/>
  <c r="N8" i="1" s="1"/>
  <c r="M9" i="1"/>
  <c r="N9" i="1"/>
  <c r="M10" i="1"/>
  <c r="N10" i="1" s="1"/>
  <c r="M11" i="1"/>
  <c r="N11" i="1"/>
  <c r="M12" i="1"/>
  <c r="N12" i="1"/>
  <c r="M13" i="1"/>
  <c r="N13" i="1"/>
  <c r="M14" i="1"/>
  <c r="N14" i="1" s="1"/>
  <c r="M15" i="1"/>
  <c r="N15" i="1"/>
  <c r="M16" i="1"/>
  <c r="N16" i="1" s="1"/>
  <c r="M17" i="1"/>
  <c r="N17" i="1"/>
  <c r="M18" i="1"/>
  <c r="N18" i="1"/>
  <c r="M19" i="1"/>
  <c r="N19" i="1"/>
  <c r="M2" i="1"/>
  <c r="N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" i="1"/>
  <c r="J3" i="1" l="1"/>
  <c r="L3" i="1" s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" i="1"/>
  <c r="L2" i="1" s="1"/>
</calcChain>
</file>

<file path=xl/sharedStrings.xml><?xml version="1.0" encoding="utf-8"?>
<sst xmlns="http://schemas.openxmlformats.org/spreadsheetml/2006/main" count="32" uniqueCount="31">
  <si>
    <t>Author</t>
  </si>
  <si>
    <t>Year</t>
  </si>
  <si>
    <t>n_treat</t>
  </si>
  <si>
    <t>deaths_treat</t>
  </si>
  <si>
    <t>n_ctrl</t>
  </si>
  <si>
    <t>deaths_ctrl</t>
  </si>
  <si>
    <t>OR</t>
  </si>
  <si>
    <t>CI_lower_OR</t>
  </si>
  <si>
    <t>CI_upper_OR</t>
  </si>
  <si>
    <t>Chapuy</t>
  </si>
  <si>
    <t>Lips</t>
  </si>
  <si>
    <t>Meyer</t>
  </si>
  <si>
    <t>Trivedi</t>
  </si>
  <si>
    <t>Porthouse</t>
  </si>
  <si>
    <t>RECORD Trial</t>
  </si>
  <si>
    <t>Flicker</t>
  </si>
  <si>
    <t>Jackson</t>
  </si>
  <si>
    <t>Baeksgaard</t>
  </si>
  <si>
    <t>Komulainen</t>
  </si>
  <si>
    <t>Krieg</t>
  </si>
  <si>
    <t>Latham</t>
  </si>
  <si>
    <t>Avenell (open-label)</t>
  </si>
  <si>
    <t>Harwood</t>
  </si>
  <si>
    <t>Meier</t>
  </si>
  <si>
    <t>Brazier</t>
  </si>
  <si>
    <t>Schleithoff</t>
  </si>
  <si>
    <t>ES</t>
  </si>
  <si>
    <t>J</t>
  </si>
  <si>
    <t>g</t>
  </si>
  <si>
    <t>se_g</t>
  </si>
  <si>
    <t>se_es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</si>
</sst>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9996-552F-4264-AEDE-ECF0AAC6971F}">
  <dimension ref="A1:N19"/>
  <sheetViews>
    <sheetView tabSelected="1" topLeftCell="C1" workbookViewId="0">
      <selection activeCell="F4" sqref="F4"/>
    </sheetView>
  </sheetViews>
  <sheetFormatPr defaultRowHeight="15" x14ac:dyDescent="0.25"/>
  <cols>
    <col min="1" max="1" width="19" bestFit="1" customWidth="1"/>
    <col min="2" max="2" width="5" bestFit="1" customWidth="1"/>
    <col min="3" max="3" width="7" bestFit="1" customWidth="1"/>
    <col min="4" max="4" width="11.85546875" bestFit="1" customWidth="1"/>
    <col min="5" max="5" width="6" bestFit="1" customWidth="1"/>
    <col min="6" max="6" width="10.7109375" bestFit="1" customWidth="1"/>
    <col min="7" max="8" width="12" bestFit="1" customWidth="1"/>
    <col min="9" max="9" width="12.140625" bestFit="1" customWidth="1"/>
    <col min="10" max="10" width="12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</v>
      </c>
      <c r="K1" t="s">
        <v>27</v>
      </c>
      <c r="L1" t="s">
        <v>28</v>
      </c>
      <c r="M1" t="s">
        <v>30</v>
      </c>
      <c r="N1" t="s">
        <v>29</v>
      </c>
    </row>
    <row r="2" spans="1:14" x14ac:dyDescent="0.25">
      <c r="A2" t="s">
        <v>9</v>
      </c>
      <c r="B2">
        <v>1992</v>
      </c>
      <c r="C2">
        <v>1634</v>
      </c>
      <c r="D2">
        <v>258</v>
      </c>
      <c r="E2">
        <v>1636</v>
      </c>
      <c r="F2">
        <v>274</v>
      </c>
      <c r="G2">
        <v>0.93202554744525501</v>
      </c>
      <c r="H2">
        <v>0.77398861245365702</v>
      </c>
      <c r="I2">
        <v>1.12233126833327</v>
      </c>
      <c r="J2">
        <f>-LN(G2)/1.81</f>
        <v>3.8892294613416901E-2</v>
      </c>
      <c r="K2">
        <f t="shared" ref="K2:K19" si="0">1-3/(4*(E2+C2-2)-1)</f>
        <v>0.99977048427817305</v>
      </c>
      <c r="L2">
        <f t="shared" ref="L2:L19" si="1">K2*J2</f>
        <v>3.8883368220345195E-2</v>
      </c>
      <c r="M2">
        <f>(LN(I2)-LN(H2))/2/1.96/1.81</f>
        <v>5.2374299482051863E-2</v>
      </c>
      <c r="N2">
        <f>M2*K2</f>
        <v>5.2362278756901061E-2</v>
      </c>
    </row>
    <row r="3" spans="1:14" x14ac:dyDescent="0.25">
      <c r="A3" t="s">
        <v>10</v>
      </c>
      <c r="B3">
        <v>1996</v>
      </c>
      <c r="C3">
        <v>1291</v>
      </c>
      <c r="D3">
        <v>223</v>
      </c>
      <c r="E3">
        <v>1287</v>
      </c>
      <c r="F3">
        <v>251</v>
      </c>
      <c r="G3">
        <v>0.86182610382440195</v>
      </c>
      <c r="H3">
        <v>0.70589107238137005</v>
      </c>
      <c r="I3">
        <v>1.0522079996386</v>
      </c>
      <c r="J3">
        <f t="shared" ref="J3:J19" si="2">-LN(G3)/1.81</f>
        <v>8.2155670923965668E-2</v>
      </c>
      <c r="K3">
        <f t="shared" si="0"/>
        <v>0.99970882267300787</v>
      </c>
      <c r="L3">
        <f t="shared" si="1"/>
        <v>8.2131749055308789E-2</v>
      </c>
      <c r="M3">
        <f t="shared" ref="M3:M19" si="3">(LN(I3)-LN(H3))/2/1.96/1.81</f>
        <v>5.6261297054869437E-2</v>
      </c>
      <c r="N3">
        <f t="shared" ref="N3:N19" si="4">M3*K3</f>
        <v>5.6244915040779893E-2</v>
      </c>
    </row>
    <row r="4" spans="1:14" x14ac:dyDescent="0.25">
      <c r="A4" t="s">
        <v>9</v>
      </c>
      <c r="B4">
        <v>2002</v>
      </c>
      <c r="C4">
        <v>393</v>
      </c>
      <c r="D4">
        <v>71</v>
      </c>
      <c r="E4">
        <v>190</v>
      </c>
      <c r="F4">
        <v>45</v>
      </c>
      <c r="G4">
        <v>0.71048999309868799</v>
      </c>
      <c r="H4">
        <v>0.46599399157670701</v>
      </c>
      <c r="I4">
        <v>1.0832672511192201</v>
      </c>
      <c r="J4">
        <f t="shared" si="2"/>
        <v>0.18884000875847476</v>
      </c>
      <c r="K4">
        <f t="shared" si="0"/>
        <v>0.99870856650882478</v>
      </c>
      <c r="L4">
        <f t="shared" si="1"/>
        <v>0.18859613444669024</v>
      </c>
      <c r="M4">
        <f t="shared" si="3"/>
        <v>0.1188922434037069</v>
      </c>
      <c r="N4">
        <f t="shared" si="4"/>
        <v>0.11873870197873439</v>
      </c>
    </row>
    <row r="5" spans="1:14" x14ac:dyDescent="0.25">
      <c r="A5" t="s">
        <v>11</v>
      </c>
      <c r="B5">
        <v>2002</v>
      </c>
      <c r="C5">
        <v>569</v>
      </c>
      <c r="D5">
        <v>169</v>
      </c>
      <c r="E5">
        <v>575</v>
      </c>
      <c r="F5">
        <v>163</v>
      </c>
      <c r="G5">
        <v>1.0679141104294401</v>
      </c>
      <c r="H5">
        <v>0.82721562535145499</v>
      </c>
      <c r="I5">
        <v>1.37864966799893</v>
      </c>
      <c r="J5">
        <f t="shared" si="2"/>
        <v>-3.6302384728092954E-2</v>
      </c>
      <c r="K5">
        <f t="shared" si="0"/>
        <v>0.9993431136413401</v>
      </c>
      <c r="L5">
        <f t="shared" si="1"/>
        <v>-3.6278538186778245E-2</v>
      </c>
      <c r="M5">
        <f t="shared" si="3"/>
        <v>7.1991544231633703E-2</v>
      </c>
      <c r="N5">
        <f t="shared" si="4"/>
        <v>7.1944253968289087E-2</v>
      </c>
    </row>
    <row r="6" spans="1:14" x14ac:dyDescent="0.25">
      <c r="A6" t="s">
        <v>12</v>
      </c>
      <c r="B6">
        <v>2003</v>
      </c>
      <c r="C6">
        <v>1345</v>
      </c>
      <c r="D6">
        <v>224</v>
      </c>
      <c r="E6">
        <v>1341</v>
      </c>
      <c r="F6">
        <v>247</v>
      </c>
      <c r="G6">
        <v>0.88503974545572694</v>
      </c>
      <c r="H6">
        <v>0.72526045332337796</v>
      </c>
      <c r="I6">
        <v>1.0800193881343201</v>
      </c>
      <c r="J6">
        <f t="shared" si="2"/>
        <v>6.7471118708934408E-2</v>
      </c>
      <c r="K6">
        <f t="shared" si="0"/>
        <v>0.99972054028877499</v>
      </c>
      <c r="L6">
        <f t="shared" si="1"/>
        <v>6.7452263249583977E-2</v>
      </c>
      <c r="M6">
        <f t="shared" si="3"/>
        <v>5.6122933198328298E-2</v>
      </c>
      <c r="N6">
        <f t="shared" si="4"/>
        <v>5.6107249099623592E-2</v>
      </c>
    </row>
    <row r="7" spans="1:14" x14ac:dyDescent="0.25">
      <c r="A7" t="s">
        <v>13</v>
      </c>
      <c r="B7">
        <v>2005</v>
      </c>
      <c r="C7">
        <v>1321</v>
      </c>
      <c r="D7">
        <v>57</v>
      </c>
      <c r="E7">
        <v>1993</v>
      </c>
      <c r="F7">
        <v>68</v>
      </c>
      <c r="G7">
        <v>1.2765846053611301</v>
      </c>
      <c r="H7">
        <v>0.89147871465370598</v>
      </c>
      <c r="I7">
        <v>1.8280506621833099</v>
      </c>
      <c r="J7">
        <f t="shared" si="2"/>
        <v>-0.1349106268914497</v>
      </c>
      <c r="K7">
        <f t="shared" si="0"/>
        <v>0.9997735336302559</v>
      </c>
      <c r="L7">
        <f t="shared" si="1"/>
        <v>-0.13488007417153769</v>
      </c>
      <c r="M7">
        <f t="shared" si="3"/>
        <v>0.10121263742154843</v>
      </c>
      <c r="N7">
        <f t="shared" si="4"/>
        <v>0.10118971616297935</v>
      </c>
    </row>
    <row r="8" spans="1:14" x14ac:dyDescent="0.25">
      <c r="A8" t="s">
        <v>14</v>
      </c>
      <c r="B8">
        <v>2005</v>
      </c>
      <c r="C8">
        <v>2649</v>
      </c>
      <c r="D8">
        <v>438</v>
      </c>
      <c r="E8">
        <v>2643</v>
      </c>
      <c r="F8">
        <v>460</v>
      </c>
      <c r="G8">
        <v>0.94011562739661303</v>
      </c>
      <c r="H8">
        <v>0.81436483340362198</v>
      </c>
      <c r="I8">
        <v>1.08528433034298</v>
      </c>
      <c r="J8">
        <f t="shared" si="2"/>
        <v>3.4117349952595438E-2</v>
      </c>
      <c r="K8">
        <f t="shared" si="0"/>
        <v>0.99985821636183181</v>
      </c>
      <c r="L8">
        <f t="shared" si="1"/>
        <v>3.4112512670594501E-2</v>
      </c>
      <c r="M8">
        <f t="shared" si="3"/>
        <v>4.0476494444609851E-2</v>
      </c>
      <c r="N8">
        <f t="shared" si="4"/>
        <v>4.04707555399672E-2</v>
      </c>
    </row>
    <row r="9" spans="1:14" x14ac:dyDescent="0.25">
      <c r="A9" t="s">
        <v>15</v>
      </c>
      <c r="B9">
        <v>2004</v>
      </c>
      <c r="C9">
        <v>312</v>
      </c>
      <c r="D9">
        <v>76</v>
      </c>
      <c r="E9">
        <v>313</v>
      </c>
      <c r="F9">
        <v>85</v>
      </c>
      <c r="G9">
        <v>0.86380857427716795</v>
      </c>
      <c r="H9">
        <v>0.60327120403795098</v>
      </c>
      <c r="I9">
        <v>1.23686535674229</v>
      </c>
      <c r="J9">
        <f t="shared" si="2"/>
        <v>8.0886238826052656E-2</v>
      </c>
      <c r="K9">
        <f t="shared" si="0"/>
        <v>0.99879566439181056</v>
      </c>
      <c r="L9">
        <f t="shared" si="1"/>
        <v>8.0788824648421922E-2</v>
      </c>
      <c r="M9">
        <f t="shared" si="3"/>
        <v>0.10119075801960876</v>
      </c>
      <c r="N9">
        <f t="shared" si="4"/>
        <v>0.10106889038650607</v>
      </c>
    </row>
    <row r="10" spans="1:14" x14ac:dyDescent="0.25">
      <c r="A10" t="s">
        <v>16</v>
      </c>
      <c r="B10">
        <v>2006</v>
      </c>
      <c r="C10">
        <v>18176</v>
      </c>
      <c r="D10">
        <v>744</v>
      </c>
      <c r="E10">
        <v>18106</v>
      </c>
      <c r="F10">
        <v>807</v>
      </c>
      <c r="G10">
        <v>0.91489906184583802</v>
      </c>
      <c r="H10">
        <v>0.82633398845886297</v>
      </c>
      <c r="I10">
        <v>1.0129563893741</v>
      </c>
      <c r="J10">
        <f t="shared" si="2"/>
        <v>4.9138969455434105E-2</v>
      </c>
      <c r="K10">
        <f t="shared" si="0"/>
        <v>0.99997932731068984</v>
      </c>
      <c r="L10">
        <f t="shared" si="1"/>
        <v>4.9137953620785532E-2</v>
      </c>
      <c r="M10">
        <f t="shared" si="3"/>
        <v>2.8699602010032115E-2</v>
      </c>
      <c r="N10">
        <f t="shared" si="4"/>
        <v>2.8699008712076438E-2</v>
      </c>
    </row>
    <row r="11" spans="1:14" x14ac:dyDescent="0.25">
      <c r="A11" t="s">
        <v>17</v>
      </c>
      <c r="B11">
        <v>1998</v>
      </c>
      <c r="C11">
        <v>80</v>
      </c>
      <c r="D11">
        <v>0</v>
      </c>
      <c r="E11">
        <v>80</v>
      </c>
      <c r="F11">
        <v>1</v>
      </c>
      <c r="G11">
        <v>0.32919254658385</v>
      </c>
      <c r="H11">
        <v>1.3210441266993601E-2</v>
      </c>
      <c r="I11">
        <v>8.2031879583854401</v>
      </c>
      <c r="J11">
        <f t="shared" si="2"/>
        <v>0.61387428255930609</v>
      </c>
      <c r="K11">
        <f t="shared" si="0"/>
        <v>0.99524564183835185</v>
      </c>
      <c r="L11">
        <f t="shared" si="1"/>
        <v>0.61095570435379432</v>
      </c>
      <c r="M11">
        <f t="shared" si="3"/>
        <v>0.90642555687276793</v>
      </c>
      <c r="N11">
        <f t="shared" si="4"/>
        <v>0.90211608512852337</v>
      </c>
    </row>
    <row r="12" spans="1:14" x14ac:dyDescent="0.25">
      <c r="A12" t="s">
        <v>18</v>
      </c>
      <c r="B12">
        <v>1999</v>
      </c>
      <c r="C12">
        <v>116</v>
      </c>
      <c r="D12">
        <v>0</v>
      </c>
      <c r="E12">
        <v>116</v>
      </c>
      <c r="F12">
        <v>1</v>
      </c>
      <c r="G12">
        <v>0.33047210300429097</v>
      </c>
      <c r="H12">
        <v>1.3323443419441101E-2</v>
      </c>
      <c r="I12">
        <v>8.1969658612968193</v>
      </c>
      <c r="J12">
        <f t="shared" si="2"/>
        <v>0.61173095674697198</v>
      </c>
      <c r="K12">
        <f t="shared" si="0"/>
        <v>0.99673558215451574</v>
      </c>
      <c r="L12">
        <f t="shared" si="1"/>
        <v>0.60973401129513205</v>
      </c>
      <c r="M12">
        <f t="shared" si="3"/>
        <v>0.90511813637221106</v>
      </c>
      <c r="N12">
        <f t="shared" si="4"/>
        <v>0.90216345257556618</v>
      </c>
    </row>
    <row r="13" spans="1:14" x14ac:dyDescent="0.25">
      <c r="A13" t="s">
        <v>19</v>
      </c>
      <c r="B13">
        <v>1999</v>
      </c>
      <c r="C13">
        <v>124</v>
      </c>
      <c r="D13">
        <v>21</v>
      </c>
      <c r="E13">
        <v>124</v>
      </c>
      <c r="F13">
        <v>26</v>
      </c>
      <c r="G13">
        <v>0.76848394324122404</v>
      </c>
      <c r="H13">
        <v>0.405982376726783</v>
      </c>
      <c r="I13">
        <v>1.4546630712914399</v>
      </c>
      <c r="J13">
        <f t="shared" si="2"/>
        <v>0.1454892872138806</v>
      </c>
      <c r="K13">
        <f t="shared" si="0"/>
        <v>0.99694811800610372</v>
      </c>
      <c r="L13">
        <f t="shared" si="1"/>
        <v>0.14504527107792775</v>
      </c>
      <c r="M13">
        <f t="shared" si="3"/>
        <v>0.17987087539245797</v>
      </c>
      <c r="N13">
        <f t="shared" si="4"/>
        <v>0.17932193070662136</v>
      </c>
    </row>
    <row r="14" spans="1:14" x14ac:dyDescent="0.25">
      <c r="A14" t="s">
        <v>20</v>
      </c>
      <c r="B14">
        <v>2003</v>
      </c>
      <c r="C14">
        <v>121</v>
      </c>
      <c r="D14">
        <v>11</v>
      </c>
      <c r="E14">
        <v>122</v>
      </c>
      <c r="F14">
        <v>3</v>
      </c>
      <c r="G14">
        <v>3.9666666666666601</v>
      </c>
      <c r="H14">
        <v>1.07814925464892</v>
      </c>
      <c r="I14">
        <v>14.593938989985199</v>
      </c>
      <c r="J14">
        <f t="shared" si="2"/>
        <v>-0.76128514444716699</v>
      </c>
      <c r="K14">
        <f t="shared" si="0"/>
        <v>0.99688473520249221</v>
      </c>
      <c r="L14">
        <f t="shared" si="1"/>
        <v>-0.7589135396358051</v>
      </c>
      <c r="M14">
        <f t="shared" si="3"/>
        <v>0.3672004153228024</v>
      </c>
      <c r="N14">
        <f t="shared" si="4"/>
        <v>0.36605648879531705</v>
      </c>
    </row>
    <row r="15" spans="1:14" x14ac:dyDescent="0.25">
      <c r="A15" t="s">
        <v>21</v>
      </c>
      <c r="B15">
        <v>2004</v>
      </c>
      <c r="C15">
        <v>70</v>
      </c>
      <c r="D15">
        <v>4</v>
      </c>
      <c r="E15">
        <v>64</v>
      </c>
      <c r="F15">
        <v>3</v>
      </c>
      <c r="G15">
        <v>1.23232323232323</v>
      </c>
      <c r="H15">
        <v>0.26500233434963399</v>
      </c>
      <c r="I15">
        <v>5.7305931008138504</v>
      </c>
      <c r="J15">
        <f t="shared" si="2"/>
        <v>-0.11541502464014627</v>
      </c>
      <c r="K15">
        <f t="shared" si="0"/>
        <v>0.9943074003795066</v>
      </c>
      <c r="L15">
        <f t="shared" si="1"/>
        <v>-0.11475801311468053</v>
      </c>
      <c r="M15">
        <f t="shared" si="3"/>
        <v>0.43322748865904709</v>
      </c>
      <c r="N15">
        <f t="shared" si="4"/>
        <v>0.4307612980215193</v>
      </c>
    </row>
    <row r="16" spans="1:14" x14ac:dyDescent="0.25">
      <c r="A16" t="s">
        <v>22</v>
      </c>
      <c r="B16">
        <v>2004</v>
      </c>
      <c r="C16">
        <v>113</v>
      </c>
      <c r="D16">
        <v>24</v>
      </c>
      <c r="E16">
        <v>37</v>
      </c>
      <c r="F16">
        <v>5</v>
      </c>
      <c r="G16">
        <v>1.72584269662921</v>
      </c>
      <c r="H16">
        <v>0.60708800160589604</v>
      </c>
      <c r="I16">
        <v>4.90626236333026</v>
      </c>
      <c r="J16">
        <f t="shared" si="2"/>
        <v>-0.30150024916101098</v>
      </c>
      <c r="K16">
        <f t="shared" si="0"/>
        <v>0.99492385786802029</v>
      </c>
      <c r="L16">
        <f t="shared" si="1"/>
        <v>-0.2999697910434424</v>
      </c>
      <c r="M16">
        <f t="shared" si="3"/>
        <v>0.29450811012471073</v>
      </c>
      <c r="N16">
        <f t="shared" si="4"/>
        <v>0.29301314509869697</v>
      </c>
    </row>
    <row r="17" spans="1:14" x14ac:dyDescent="0.25">
      <c r="A17" t="s">
        <v>23</v>
      </c>
      <c r="B17">
        <v>2004</v>
      </c>
      <c r="C17">
        <v>30</v>
      </c>
      <c r="D17">
        <v>0</v>
      </c>
      <c r="E17">
        <v>25</v>
      </c>
      <c r="F17">
        <v>1</v>
      </c>
      <c r="G17">
        <v>0.26775956284153002</v>
      </c>
      <c r="H17">
        <v>1.04390372359747E-2</v>
      </c>
      <c r="I17">
        <v>6.8679880981756902</v>
      </c>
      <c r="J17">
        <f t="shared" si="2"/>
        <v>0.72799218493414053</v>
      </c>
      <c r="K17">
        <f t="shared" si="0"/>
        <v>0.98578199052132698</v>
      </c>
      <c r="L17">
        <f t="shared" si="1"/>
        <v>0.71764158514834708</v>
      </c>
      <c r="M17">
        <f t="shared" si="3"/>
        <v>0.91457240523893091</v>
      </c>
      <c r="N17">
        <f t="shared" si="4"/>
        <v>0.90156900611231106</v>
      </c>
    </row>
    <row r="18" spans="1:14" x14ac:dyDescent="0.25">
      <c r="A18" t="s">
        <v>24</v>
      </c>
      <c r="B18">
        <v>2005</v>
      </c>
      <c r="C18">
        <v>95</v>
      </c>
      <c r="D18">
        <v>3</v>
      </c>
      <c r="E18">
        <v>97</v>
      </c>
      <c r="F18">
        <v>1</v>
      </c>
      <c r="G18">
        <v>3.13043478260869</v>
      </c>
      <c r="H18">
        <v>0.31980771710045103</v>
      </c>
      <c r="I18">
        <v>30.6422309536961</v>
      </c>
      <c r="J18">
        <f t="shared" si="2"/>
        <v>-0.63048171441265399</v>
      </c>
      <c r="K18">
        <f t="shared" si="0"/>
        <v>0.99604743083003955</v>
      </c>
      <c r="L18">
        <f t="shared" si="1"/>
        <v>-0.6279896918260427</v>
      </c>
      <c r="M18">
        <f t="shared" si="3"/>
        <v>0.64302831518196479</v>
      </c>
      <c r="N18">
        <f t="shared" si="4"/>
        <v>0.64048670128796492</v>
      </c>
    </row>
    <row r="19" spans="1:14" x14ac:dyDescent="0.25">
      <c r="A19" t="s">
        <v>25</v>
      </c>
      <c r="B19">
        <v>2006</v>
      </c>
      <c r="C19">
        <v>61</v>
      </c>
      <c r="D19">
        <v>7</v>
      </c>
      <c r="E19">
        <v>62</v>
      </c>
      <c r="F19">
        <v>6</v>
      </c>
      <c r="G19">
        <v>1.2098765432098699</v>
      </c>
      <c r="H19">
        <v>0.38204351431458</v>
      </c>
      <c r="I19">
        <v>3.8315039909410999</v>
      </c>
      <c r="J19">
        <f t="shared" si="2"/>
        <v>-0.10525874254040203</v>
      </c>
      <c r="K19">
        <f t="shared" si="0"/>
        <v>0.99378881987577639</v>
      </c>
      <c r="L19">
        <f t="shared" si="1"/>
        <v>-0.10460496153083432</v>
      </c>
      <c r="M19">
        <f t="shared" si="3"/>
        <v>0.32493491065590258</v>
      </c>
      <c r="N19">
        <f t="shared" si="4"/>
        <v>0.32291668139717028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autier_vitamind_mrr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2025-08-24T17:54:40Z</dcterms:created>
  <dcterms:modified xsi:type="dcterms:W3CDTF">2025-12-26T21:00:09Z</dcterms:modified>
</cp:coreProperties>
</file>