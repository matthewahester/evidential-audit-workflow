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bjelakovic2014\"/>
    </mc:Choice>
  </mc:AlternateContent>
  <xr:revisionPtr revIDLastSave="0" documentId="13_ncr:1_{DE33959F-4C6A-41DE-8B51-C625BF5C4387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M4" i="1"/>
  <c r="N4" i="1" s="1"/>
  <c r="M5" i="1"/>
  <c r="N5" i="1" s="1"/>
  <c r="M6" i="1"/>
  <c r="N6" i="1" s="1"/>
  <c r="M7" i="1"/>
  <c r="N7" i="1" s="1"/>
  <c r="M8" i="1"/>
  <c r="N8" i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/>
  <c r="M57" i="1"/>
  <c r="N57" i="1" s="1"/>
  <c r="N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2" i="1"/>
  <c r="L9" i="1"/>
  <c r="L4" i="1"/>
  <c r="J3" i="1"/>
  <c r="L3" i="1" s="1"/>
  <c r="J4" i="1"/>
  <c r="J5" i="1"/>
  <c r="L5" i="1" s="1"/>
  <c r="J6" i="1"/>
  <c r="J7" i="1"/>
  <c r="L7" i="1" s="1"/>
  <c r="J8" i="1"/>
  <c r="L8" i="1" s="1"/>
  <c r="J9" i="1"/>
  <c r="J10" i="1"/>
  <c r="L10" i="1" s="1"/>
  <c r="J11" i="1"/>
  <c r="L11" i="1" s="1"/>
  <c r="J12" i="1"/>
  <c r="J13" i="1"/>
  <c r="L13" i="1" s="1"/>
  <c r="J14" i="1"/>
  <c r="J15" i="1"/>
  <c r="L15" i="1" s="1"/>
  <c r="J16" i="1"/>
  <c r="L16" i="1" s="1"/>
  <c r="J17" i="1"/>
  <c r="J18" i="1"/>
  <c r="J19" i="1"/>
  <c r="L19" i="1" s="1"/>
  <c r="J20" i="1"/>
  <c r="L20" i="1" s="1"/>
  <c r="J21" i="1"/>
  <c r="L21" i="1" s="1"/>
  <c r="J22" i="1"/>
  <c r="J23" i="1"/>
  <c r="L23" i="1" s="1"/>
  <c r="J24" i="1"/>
  <c r="J25" i="1"/>
  <c r="J26" i="1"/>
  <c r="J27" i="1"/>
  <c r="L27" i="1" s="1"/>
  <c r="J28" i="1"/>
  <c r="L28" i="1" s="1"/>
  <c r="J29" i="1"/>
  <c r="J30" i="1"/>
  <c r="J31" i="1"/>
  <c r="L31" i="1" s="1"/>
  <c r="J32" i="1"/>
  <c r="L32" i="1" s="1"/>
  <c r="J33" i="1"/>
  <c r="L33" i="1" s="1"/>
  <c r="J34" i="1"/>
  <c r="J35" i="1"/>
  <c r="L35" i="1" s="1"/>
  <c r="J36" i="1"/>
  <c r="J37" i="1"/>
  <c r="J38" i="1"/>
  <c r="J39" i="1"/>
  <c r="L39" i="1" s="1"/>
  <c r="J40" i="1"/>
  <c r="L40" i="1" s="1"/>
  <c r="J41" i="1"/>
  <c r="J42" i="1"/>
  <c r="J43" i="1"/>
  <c r="L43" i="1" s="1"/>
  <c r="J44" i="1"/>
  <c r="L44" i="1" s="1"/>
  <c r="J45" i="1"/>
  <c r="J46" i="1"/>
  <c r="J47" i="1"/>
  <c r="J48" i="1"/>
  <c r="J49" i="1"/>
  <c r="J50" i="1"/>
  <c r="J51" i="1"/>
  <c r="L51" i="1" s="1"/>
  <c r="J52" i="1"/>
  <c r="L52" i="1" s="1"/>
  <c r="J53" i="1"/>
  <c r="L53" i="1" s="1"/>
  <c r="J54" i="1"/>
  <c r="J55" i="1"/>
  <c r="L55" i="1" s="1"/>
  <c r="J56" i="1"/>
  <c r="L56" i="1" s="1"/>
  <c r="J57" i="1"/>
  <c r="J2" i="1"/>
  <c r="L46" i="1" l="1"/>
  <c r="L25" i="1"/>
  <c r="L30" i="1"/>
  <c r="L18" i="1"/>
  <c r="L49" i="1"/>
  <c r="L48" i="1"/>
  <c r="L36" i="1"/>
  <c r="L24" i="1"/>
  <c r="L12" i="1"/>
  <c r="L34" i="1"/>
  <c r="L22" i="1"/>
  <c r="L37" i="1"/>
  <c r="L57" i="1"/>
  <c r="L45" i="1"/>
  <c r="L54" i="1"/>
  <c r="L42" i="1"/>
  <c r="L6" i="1"/>
  <c r="L41" i="1"/>
  <c r="L17" i="1"/>
  <c r="L26" i="1"/>
  <c r="L50" i="1"/>
  <c r="L29" i="1"/>
  <c r="L38" i="1"/>
  <c r="L47" i="1"/>
  <c r="L14" i="1"/>
  <c r="L2" i="1"/>
</calcChain>
</file>

<file path=xl/sharedStrings.xml><?xml version="1.0" encoding="utf-8"?>
<sst xmlns="http://schemas.openxmlformats.org/spreadsheetml/2006/main" count="70" uniqueCount="66">
  <si>
    <t>Year</t>
  </si>
  <si>
    <t>Aloia</t>
  </si>
  <si>
    <t>Avenell</t>
  </si>
  <si>
    <t>Bolton-Smith</t>
  </si>
  <si>
    <t>Broe</t>
  </si>
  <si>
    <t>Burleigh</t>
  </si>
  <si>
    <t>Cooper</t>
  </si>
  <si>
    <t>Dawson-Hughes</t>
  </si>
  <si>
    <t>Dukas</t>
  </si>
  <si>
    <t>Flicker</t>
  </si>
  <si>
    <t>Gallagher</t>
  </si>
  <si>
    <t>Glendenning</t>
  </si>
  <si>
    <t>Jackson</t>
  </si>
  <si>
    <t>Latham</t>
  </si>
  <si>
    <t>Lehouck</t>
  </si>
  <si>
    <t>Lips</t>
  </si>
  <si>
    <t>Lyons</t>
  </si>
  <si>
    <t>Ooms</t>
  </si>
  <si>
    <t>Prince</t>
  </si>
  <si>
    <t>Sanders</t>
  </si>
  <si>
    <t>Sato</t>
  </si>
  <si>
    <t>Smith</t>
  </si>
  <si>
    <t>Trivedi</t>
  </si>
  <si>
    <t>Witham</t>
  </si>
  <si>
    <t>Zhu</t>
  </si>
  <si>
    <t>Brazier</t>
  </si>
  <si>
    <t>Campbell</t>
  </si>
  <si>
    <t>Chapuy</t>
  </si>
  <si>
    <t>Corless</t>
  </si>
  <si>
    <t>Daly</t>
  </si>
  <si>
    <t>Grady</t>
  </si>
  <si>
    <t>Harwood</t>
  </si>
  <si>
    <t>Krieg</t>
  </si>
  <si>
    <t>Lappe</t>
  </si>
  <si>
    <t>Larsen</t>
  </si>
  <si>
    <t>Law</t>
  </si>
  <si>
    <t>Meier</t>
  </si>
  <si>
    <t>Moschonis</t>
  </si>
  <si>
    <t>Porthouse</t>
  </si>
  <si>
    <t>Study</t>
  </si>
  <si>
    <t>Bjorkman</t>
  </si>
  <si>
    <t>Grimnes</t>
  </si>
  <si>
    <t>Janssen</t>
  </si>
  <si>
    <t>Komulainen</t>
  </si>
  <si>
    <t>Schleithoff</t>
  </si>
  <si>
    <t>Baeksgaard</t>
  </si>
  <si>
    <t>Bischoff</t>
  </si>
  <si>
    <t>Brohult</t>
  </si>
  <si>
    <t>Chel</t>
  </si>
  <si>
    <t>Cherniack</t>
  </si>
  <si>
    <t>Karkkainen</t>
  </si>
  <si>
    <t>Ott</t>
  </si>
  <si>
    <t>Satoa</t>
  </si>
  <si>
    <t>Satob</t>
  </si>
  <si>
    <t>OR</t>
  </si>
  <si>
    <t>lCI</t>
  </si>
  <si>
    <t>uCI</t>
  </si>
  <si>
    <t>ES</t>
  </si>
  <si>
    <t>events_treat</t>
  </si>
  <si>
    <t>n_treat</t>
  </si>
  <si>
    <t>events_ctrl</t>
  </si>
  <si>
    <t>n_ctrl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</si>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</sst>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B1" workbookViewId="0">
      <selection activeCell="M12" sqref="M12"/>
    </sheetView>
  </sheetViews>
  <sheetFormatPr defaultRowHeight="15" x14ac:dyDescent="0.25"/>
  <cols>
    <col min="1" max="1" width="15.42578125" bestFit="1" customWidth="1"/>
    <col min="2" max="2" width="5" bestFit="1" customWidth="1"/>
    <col min="7" max="7" width="10.140625" bestFit="1" customWidth="1"/>
  </cols>
  <sheetData>
    <row r="1" spans="1:14" x14ac:dyDescent="0.25">
      <c r="A1" t="s">
        <v>39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54</v>
      </c>
      <c r="H1" t="s">
        <v>55</v>
      </c>
      <c r="I1" t="s">
        <v>56</v>
      </c>
      <c r="J1" t="s">
        <v>57</v>
      </c>
      <c r="K1" t="s">
        <v>62</v>
      </c>
      <c r="L1" t="s">
        <v>63</v>
      </c>
      <c r="M1" t="s">
        <v>65</v>
      </c>
      <c r="N1" t="s">
        <v>64</v>
      </c>
    </row>
    <row r="2" spans="1:14" x14ac:dyDescent="0.25">
      <c r="A2" t="s">
        <v>1</v>
      </c>
      <c r="B2">
        <v>2005</v>
      </c>
      <c r="C2">
        <v>1</v>
      </c>
      <c r="D2">
        <v>104</v>
      </c>
      <c r="E2">
        <v>2</v>
      </c>
      <c r="F2">
        <v>104</v>
      </c>
      <c r="G2">
        <v>0.5</v>
      </c>
      <c r="H2">
        <v>0.05</v>
      </c>
      <c r="I2">
        <v>5.43</v>
      </c>
      <c r="J2">
        <f>-LN(G2)/1.81</f>
        <v>0.38295424340328466</v>
      </c>
      <c r="K2">
        <f t="shared" ref="K2:K33" si="0">1-3/(4*(F2+D2-2)-1)</f>
        <v>0.99635479951397332</v>
      </c>
      <c r="L2">
        <f t="shared" ref="L2:L33" si="1">K2*J2</f>
        <v>0.38155829840910505</v>
      </c>
      <c r="M2">
        <f>(LN(I2)-LN(H2))/2/1.96/1.81</f>
        <v>0.66068206780638095</v>
      </c>
      <c r="N2">
        <f>M2*K2</f>
        <v>0.65827374921170401</v>
      </c>
    </row>
    <row r="3" spans="1:14" x14ac:dyDescent="0.25">
      <c r="A3" t="s">
        <v>2</v>
      </c>
      <c r="B3">
        <v>2012</v>
      </c>
      <c r="C3">
        <v>836</v>
      </c>
      <c r="D3">
        <v>2649</v>
      </c>
      <c r="E3">
        <v>881</v>
      </c>
      <c r="F3">
        <v>2643</v>
      </c>
      <c r="G3">
        <v>0.95</v>
      </c>
      <c r="H3">
        <v>0.88</v>
      </c>
      <c r="I3">
        <v>1.02</v>
      </c>
      <c r="J3">
        <f t="shared" ref="J3:J57" si="2">-LN(G3)/1.81</f>
        <v>2.8338836678204738E-2</v>
      </c>
      <c r="K3">
        <f t="shared" si="0"/>
        <v>0.99985821636183181</v>
      </c>
      <c r="L3">
        <f t="shared" si="1"/>
        <v>2.8334818694839049E-2</v>
      </c>
      <c r="M3">
        <f t="shared" ref="M3:M57" si="3">(LN(I3)-LN(H3))/2/1.96/1.81</f>
        <v>2.0807869941096041E-2</v>
      </c>
      <c r="N3">
        <f t="shared" ref="N3:N57" si="4">M3*K3</f>
        <v>2.0804919725593261E-2</v>
      </c>
    </row>
    <row r="4" spans="1:14" x14ac:dyDescent="0.25">
      <c r="A4" t="s">
        <v>40</v>
      </c>
      <c r="B4">
        <v>2007</v>
      </c>
      <c r="C4">
        <v>27</v>
      </c>
      <c r="D4">
        <v>150</v>
      </c>
      <c r="E4">
        <v>9</v>
      </c>
      <c r="F4">
        <v>68</v>
      </c>
      <c r="G4">
        <v>1.36</v>
      </c>
      <c r="H4">
        <v>0.68</v>
      </c>
      <c r="I4">
        <v>2.73</v>
      </c>
      <c r="J4">
        <f t="shared" si="2"/>
        <v>-0.16988104958450867</v>
      </c>
      <c r="K4">
        <f t="shared" si="0"/>
        <v>0.99652375434530704</v>
      </c>
      <c r="L4">
        <f t="shared" si="1"/>
        <v>-0.16929050132407583</v>
      </c>
      <c r="M4">
        <f t="shared" si="3"/>
        <v>0.19590203095174949</v>
      </c>
      <c r="N4">
        <f t="shared" si="4"/>
        <v>0.19522102736790795</v>
      </c>
    </row>
    <row r="5" spans="1:14" x14ac:dyDescent="0.25">
      <c r="A5" t="s">
        <v>3</v>
      </c>
      <c r="B5">
        <v>2007</v>
      </c>
      <c r="C5">
        <v>0</v>
      </c>
      <c r="D5">
        <v>62</v>
      </c>
      <c r="E5">
        <v>1</v>
      </c>
      <c r="F5">
        <v>61</v>
      </c>
      <c r="G5">
        <v>0.33</v>
      </c>
      <c r="H5">
        <v>0.01</v>
      </c>
      <c r="I5">
        <v>7.9</v>
      </c>
      <c r="J5">
        <f t="shared" si="2"/>
        <v>0.61252078702851442</v>
      </c>
      <c r="K5">
        <f t="shared" si="0"/>
        <v>0.99378881987577639</v>
      </c>
      <c r="L5">
        <f t="shared" si="1"/>
        <v>0.60871631009044913</v>
      </c>
      <c r="M5">
        <f t="shared" si="3"/>
        <v>0.94035868551430091</v>
      </c>
      <c r="N5">
        <f t="shared" si="4"/>
        <v>0.93451794833719348</v>
      </c>
    </row>
    <row r="6" spans="1:14" x14ac:dyDescent="0.25">
      <c r="A6" t="s">
        <v>4</v>
      </c>
      <c r="B6">
        <v>2007</v>
      </c>
      <c r="C6">
        <v>5</v>
      </c>
      <c r="D6">
        <v>99</v>
      </c>
      <c r="E6">
        <v>2</v>
      </c>
      <c r="F6">
        <v>25</v>
      </c>
      <c r="G6">
        <v>0.63</v>
      </c>
      <c r="H6">
        <v>0.13</v>
      </c>
      <c r="I6">
        <v>3.07</v>
      </c>
      <c r="J6">
        <f t="shared" si="2"/>
        <v>0.2552682097218556</v>
      </c>
      <c r="K6">
        <f t="shared" si="0"/>
        <v>0.99383983572895274</v>
      </c>
      <c r="L6">
        <f t="shared" si="1"/>
        <v>0.25369571561679283</v>
      </c>
      <c r="M6">
        <f t="shared" si="3"/>
        <v>0.44563907854967588</v>
      </c>
      <c r="N6">
        <f t="shared" si="4"/>
        <v>0.44289386862021174</v>
      </c>
    </row>
    <row r="7" spans="1:14" x14ac:dyDescent="0.25">
      <c r="A7" t="s">
        <v>5</v>
      </c>
      <c r="B7">
        <v>2007</v>
      </c>
      <c r="C7">
        <v>16</v>
      </c>
      <c r="D7">
        <v>101</v>
      </c>
      <c r="E7">
        <v>13</v>
      </c>
      <c r="F7">
        <v>104</v>
      </c>
      <c r="G7">
        <v>1.27</v>
      </c>
      <c r="H7">
        <v>0.64</v>
      </c>
      <c r="I7">
        <v>2.5</v>
      </c>
      <c r="J7">
        <f t="shared" si="2"/>
        <v>-0.13205353617154691</v>
      </c>
      <c r="K7">
        <f t="shared" si="0"/>
        <v>0.99630086313193589</v>
      </c>
      <c r="L7">
        <f t="shared" si="1"/>
        <v>-0.13156505206733651</v>
      </c>
      <c r="M7">
        <f t="shared" si="3"/>
        <v>0.1920422024048053</v>
      </c>
      <c r="N7">
        <f t="shared" si="4"/>
        <v>0.19133181201366545</v>
      </c>
    </row>
    <row r="8" spans="1:14" x14ac:dyDescent="0.25">
      <c r="A8" t="s">
        <v>6</v>
      </c>
      <c r="B8">
        <v>2003</v>
      </c>
      <c r="C8">
        <v>0</v>
      </c>
      <c r="D8">
        <v>93</v>
      </c>
      <c r="E8">
        <v>1</v>
      </c>
      <c r="F8">
        <v>94</v>
      </c>
      <c r="G8">
        <v>0.34</v>
      </c>
      <c r="H8">
        <v>0.01</v>
      </c>
      <c r="I8">
        <v>8.16</v>
      </c>
      <c r="J8">
        <f t="shared" si="2"/>
        <v>0.59602743722206064</v>
      </c>
      <c r="K8">
        <f t="shared" si="0"/>
        <v>0.99594046008119075</v>
      </c>
      <c r="L8">
        <f t="shared" si="1"/>
        <v>0.59360784004795208</v>
      </c>
      <c r="M8">
        <f t="shared" si="3"/>
        <v>0.94492253283404359</v>
      </c>
      <c r="N8">
        <f t="shared" si="4"/>
        <v>0.9410865820918215</v>
      </c>
    </row>
    <row r="9" spans="1:14" x14ac:dyDescent="0.25">
      <c r="A9" t="s">
        <v>7</v>
      </c>
      <c r="B9">
        <v>1997</v>
      </c>
      <c r="C9">
        <v>2</v>
      </c>
      <c r="D9">
        <v>187</v>
      </c>
      <c r="E9">
        <v>2</v>
      </c>
      <c r="F9">
        <v>202</v>
      </c>
      <c r="G9">
        <v>1.08</v>
      </c>
      <c r="H9">
        <v>0.15</v>
      </c>
      <c r="I9">
        <v>7.59</v>
      </c>
      <c r="J9">
        <f t="shared" si="2"/>
        <v>-4.2519912229905192E-2</v>
      </c>
      <c r="K9">
        <f t="shared" si="0"/>
        <v>0.99806076276664513</v>
      </c>
      <c r="L9">
        <f t="shared" si="1"/>
        <v>-4.2437456032949981E-2</v>
      </c>
      <c r="M9">
        <f t="shared" si="3"/>
        <v>0.553043124407123</v>
      </c>
      <c r="N9">
        <f t="shared" si="4"/>
        <v>0.55197064258862183</v>
      </c>
    </row>
    <row r="10" spans="1:14" x14ac:dyDescent="0.25">
      <c r="A10" t="s">
        <v>8</v>
      </c>
      <c r="B10">
        <v>2004</v>
      </c>
      <c r="C10">
        <v>1</v>
      </c>
      <c r="D10">
        <v>192</v>
      </c>
      <c r="E10">
        <v>1</v>
      </c>
      <c r="F10">
        <v>186</v>
      </c>
      <c r="G10">
        <v>0.97</v>
      </c>
      <c r="H10">
        <v>0.06</v>
      </c>
      <c r="I10">
        <v>15.37</v>
      </c>
      <c r="J10">
        <f t="shared" si="2"/>
        <v>1.6828291428015785E-2</v>
      </c>
      <c r="K10">
        <f t="shared" si="0"/>
        <v>0.99800399201596801</v>
      </c>
      <c r="L10">
        <f t="shared" si="1"/>
        <v>1.6794702023967847E-2</v>
      </c>
      <c r="M10">
        <f t="shared" si="3"/>
        <v>0.78163100043840072</v>
      </c>
      <c r="N10">
        <f t="shared" si="4"/>
        <v>0.78007085872095872</v>
      </c>
    </row>
    <row r="11" spans="1:14" x14ac:dyDescent="0.25">
      <c r="A11" t="s">
        <v>9</v>
      </c>
      <c r="B11">
        <v>2005</v>
      </c>
      <c r="C11">
        <v>76</v>
      </c>
      <c r="D11">
        <v>313</v>
      </c>
      <c r="E11">
        <v>85</v>
      </c>
      <c r="F11">
        <v>312</v>
      </c>
      <c r="G11">
        <v>0.89</v>
      </c>
      <c r="H11">
        <v>0.68</v>
      </c>
      <c r="I11">
        <v>1.1599999999999999</v>
      </c>
      <c r="J11">
        <f t="shared" si="2"/>
        <v>6.4383323898315747E-2</v>
      </c>
      <c r="K11">
        <f t="shared" si="0"/>
        <v>0.99879566439181056</v>
      </c>
      <c r="L11">
        <f t="shared" si="1"/>
        <v>6.4305784768771412E-2</v>
      </c>
      <c r="M11">
        <f t="shared" si="3"/>
        <v>7.5273774654732478E-2</v>
      </c>
      <c r="N11">
        <f t="shared" si="4"/>
        <v>7.5183119767552958E-2</v>
      </c>
    </row>
    <row r="12" spans="1:14" x14ac:dyDescent="0.25">
      <c r="A12" t="s">
        <v>10</v>
      </c>
      <c r="B12">
        <v>2001</v>
      </c>
      <c r="C12">
        <v>2</v>
      </c>
      <c r="D12">
        <v>123</v>
      </c>
      <c r="E12">
        <v>1</v>
      </c>
      <c r="F12">
        <v>123</v>
      </c>
      <c r="G12">
        <v>2</v>
      </c>
      <c r="H12">
        <v>0.18</v>
      </c>
      <c r="I12">
        <v>21.77</v>
      </c>
      <c r="J12">
        <f t="shared" si="2"/>
        <v>-0.38295424340328466</v>
      </c>
      <c r="K12">
        <f t="shared" si="0"/>
        <v>0.99692307692307691</v>
      </c>
      <c r="L12">
        <f t="shared" si="1"/>
        <v>-0.38177592265435145</v>
      </c>
      <c r="M12">
        <f t="shared" si="3"/>
        <v>0.67585569164200909</v>
      </c>
      <c r="N12">
        <f t="shared" si="4"/>
        <v>0.67377613566772598</v>
      </c>
    </row>
    <row r="13" spans="1:14" x14ac:dyDescent="0.25">
      <c r="A13" t="s">
        <v>11</v>
      </c>
      <c r="B13">
        <v>2012</v>
      </c>
      <c r="C13">
        <v>2</v>
      </c>
      <c r="D13">
        <v>353</v>
      </c>
      <c r="E13">
        <v>0</v>
      </c>
      <c r="F13">
        <v>333</v>
      </c>
      <c r="G13">
        <v>4.72</v>
      </c>
      <c r="H13">
        <v>0.23</v>
      </c>
      <c r="I13">
        <v>97.9</v>
      </c>
      <c r="J13">
        <f t="shared" si="2"/>
        <v>-0.85735292795439988</v>
      </c>
      <c r="K13">
        <f t="shared" si="0"/>
        <v>0.99890310786106029</v>
      </c>
      <c r="L13">
        <f t="shared" si="1"/>
        <v>-0.85641250426742976</v>
      </c>
      <c r="M13">
        <f t="shared" si="3"/>
        <v>0.85319970114942578</v>
      </c>
      <c r="N13">
        <f t="shared" si="4"/>
        <v>0.85226383310428921</v>
      </c>
    </row>
    <row r="14" spans="1:14" x14ac:dyDescent="0.25">
      <c r="A14" t="s">
        <v>41</v>
      </c>
      <c r="B14">
        <v>2011</v>
      </c>
      <c r="C14">
        <v>0</v>
      </c>
      <c r="D14">
        <v>51</v>
      </c>
      <c r="E14">
        <v>1</v>
      </c>
      <c r="F14">
        <v>53</v>
      </c>
      <c r="G14">
        <v>0.35</v>
      </c>
      <c r="H14">
        <v>0.01</v>
      </c>
      <c r="I14">
        <v>8.31</v>
      </c>
      <c r="J14">
        <f t="shared" si="2"/>
        <v>0.58001222347993253</v>
      </c>
      <c r="K14">
        <f t="shared" si="0"/>
        <v>0.99262899262899262</v>
      </c>
      <c r="L14">
        <f t="shared" si="1"/>
        <v>0.57573694910538753</v>
      </c>
      <c r="M14">
        <f t="shared" si="3"/>
        <v>0.94748982338136312</v>
      </c>
      <c r="N14">
        <f t="shared" si="4"/>
        <v>0.94050586890926458</v>
      </c>
    </row>
    <row r="15" spans="1:14" x14ac:dyDescent="0.25">
      <c r="A15" t="s">
        <v>12</v>
      </c>
      <c r="B15">
        <v>2006</v>
      </c>
      <c r="C15">
        <v>744</v>
      </c>
      <c r="D15">
        <v>18176</v>
      </c>
      <c r="E15">
        <v>807</v>
      </c>
      <c r="F15">
        <v>18106</v>
      </c>
      <c r="G15">
        <v>0.92</v>
      </c>
      <c r="H15">
        <v>0.83</v>
      </c>
      <c r="I15">
        <v>1.01</v>
      </c>
      <c r="J15">
        <f t="shared" si="2"/>
        <v>4.6067187259144202E-2</v>
      </c>
      <c r="K15">
        <f t="shared" si="0"/>
        <v>0.99997932731068984</v>
      </c>
      <c r="L15">
        <f t="shared" si="1"/>
        <v>4.6066234926494601E-2</v>
      </c>
      <c r="M15">
        <f t="shared" si="3"/>
        <v>2.7663759872119401E-2</v>
      </c>
      <c r="N15">
        <f t="shared" si="4"/>
        <v>2.7663187987806412E-2</v>
      </c>
    </row>
    <row r="16" spans="1:14" x14ac:dyDescent="0.25">
      <c r="A16" t="s">
        <v>42</v>
      </c>
      <c r="B16">
        <v>2010</v>
      </c>
      <c r="C16">
        <v>0</v>
      </c>
      <c r="D16">
        <v>36</v>
      </c>
      <c r="E16">
        <v>1</v>
      </c>
      <c r="F16">
        <v>34</v>
      </c>
      <c r="G16">
        <v>0.32</v>
      </c>
      <c r="H16">
        <v>0.01</v>
      </c>
      <c r="I16">
        <v>7.48</v>
      </c>
      <c r="J16">
        <f t="shared" si="2"/>
        <v>0.62952170341898606</v>
      </c>
      <c r="K16">
        <f t="shared" si="0"/>
        <v>0.98892988929889303</v>
      </c>
      <c r="L16">
        <f t="shared" si="1"/>
        <v>0.62255282847338844</v>
      </c>
      <c r="M16">
        <f t="shared" si="3"/>
        <v>0.93265911855542849</v>
      </c>
      <c r="N16">
        <f t="shared" si="4"/>
        <v>0.92233447886662301</v>
      </c>
    </row>
    <row r="17" spans="1:14" x14ac:dyDescent="0.25">
      <c r="A17" t="s">
        <v>43</v>
      </c>
      <c r="B17">
        <v>1999</v>
      </c>
      <c r="C17">
        <v>0</v>
      </c>
      <c r="D17">
        <v>116</v>
      </c>
      <c r="E17">
        <v>1</v>
      </c>
      <c r="F17">
        <v>116</v>
      </c>
      <c r="G17">
        <v>0.33</v>
      </c>
      <c r="H17">
        <v>0.01</v>
      </c>
      <c r="I17">
        <v>8.1</v>
      </c>
      <c r="J17">
        <f t="shared" si="2"/>
        <v>0.61252078702851442</v>
      </c>
      <c r="K17">
        <f t="shared" si="0"/>
        <v>0.99673558215451574</v>
      </c>
      <c r="L17">
        <f t="shared" si="1"/>
        <v>0.61052126324060851</v>
      </c>
      <c r="M17">
        <f t="shared" si="3"/>
        <v>0.9438823778986476</v>
      </c>
      <c r="N17">
        <f t="shared" si="4"/>
        <v>0.94080115142019716</v>
      </c>
    </row>
    <row r="18" spans="1:14" x14ac:dyDescent="0.25">
      <c r="A18" t="s">
        <v>13</v>
      </c>
      <c r="B18">
        <v>2003</v>
      </c>
      <c r="C18">
        <v>11</v>
      </c>
      <c r="D18">
        <v>121</v>
      </c>
      <c r="E18">
        <v>3</v>
      </c>
      <c r="F18">
        <v>122</v>
      </c>
      <c r="G18">
        <v>3.7</v>
      </c>
      <c r="H18">
        <v>1.06</v>
      </c>
      <c r="I18">
        <v>12.92</v>
      </c>
      <c r="J18">
        <f t="shared" si="2"/>
        <v>-0.72283581196142477</v>
      </c>
      <c r="K18">
        <f t="shared" si="0"/>
        <v>0.99688473520249221</v>
      </c>
      <c r="L18">
        <f t="shared" si="1"/>
        <v>-0.7205839870020434</v>
      </c>
      <c r="M18">
        <f t="shared" si="3"/>
        <v>0.35242242505221555</v>
      </c>
      <c r="N18">
        <f t="shared" si="4"/>
        <v>0.35132453587759804</v>
      </c>
    </row>
    <row r="19" spans="1:14" x14ac:dyDescent="0.25">
      <c r="A19" t="s">
        <v>14</v>
      </c>
      <c r="B19">
        <v>2012</v>
      </c>
      <c r="C19">
        <v>9</v>
      </c>
      <c r="D19">
        <v>91</v>
      </c>
      <c r="E19">
        <v>6</v>
      </c>
      <c r="F19">
        <v>91</v>
      </c>
      <c r="G19">
        <v>1.5</v>
      </c>
      <c r="H19">
        <v>0.56000000000000005</v>
      </c>
      <c r="I19">
        <v>4.04</v>
      </c>
      <c r="J19">
        <f t="shared" si="2"/>
        <v>-0.22401387188296373</v>
      </c>
      <c r="K19">
        <f t="shared" si="0"/>
        <v>0.99582753824756609</v>
      </c>
      <c r="L19">
        <f t="shared" si="1"/>
        <v>-0.22307918257051743</v>
      </c>
      <c r="M19">
        <f t="shared" si="3"/>
        <v>0.27850704521733016</v>
      </c>
      <c r="N19">
        <f t="shared" si="4"/>
        <v>0.27734498522337747</v>
      </c>
    </row>
    <row r="20" spans="1:14" x14ac:dyDescent="0.25">
      <c r="A20" t="s">
        <v>15</v>
      </c>
      <c r="B20">
        <v>1996</v>
      </c>
      <c r="C20">
        <v>282</v>
      </c>
      <c r="D20">
        <v>1291</v>
      </c>
      <c r="E20">
        <v>306</v>
      </c>
      <c r="F20">
        <v>1287</v>
      </c>
      <c r="G20">
        <v>0.92</v>
      </c>
      <c r="H20">
        <v>0.8</v>
      </c>
      <c r="I20">
        <v>1.06</v>
      </c>
      <c r="J20">
        <f t="shared" si="2"/>
        <v>4.6067187259144202E-2</v>
      </c>
      <c r="K20">
        <f t="shared" si="0"/>
        <v>0.99970882267300787</v>
      </c>
      <c r="L20">
        <f t="shared" si="1"/>
        <v>4.6053773538696038E-2</v>
      </c>
      <c r="M20">
        <f t="shared" si="3"/>
        <v>3.9662371665095494E-2</v>
      </c>
      <c r="N20">
        <f t="shared" si="4"/>
        <v>3.9650822881731884E-2</v>
      </c>
    </row>
    <row r="21" spans="1:14" x14ac:dyDescent="0.25">
      <c r="A21" t="s">
        <v>15</v>
      </c>
      <c r="B21">
        <v>2010</v>
      </c>
      <c r="C21">
        <v>1</v>
      </c>
      <c r="D21">
        <v>114</v>
      </c>
      <c r="E21">
        <v>0</v>
      </c>
      <c r="F21">
        <v>112</v>
      </c>
      <c r="G21">
        <v>2.95</v>
      </c>
      <c r="H21">
        <v>0.12</v>
      </c>
      <c r="I21">
        <v>71.599999999999994</v>
      </c>
      <c r="J21">
        <f t="shared" si="2"/>
        <v>-0.59768241455896598</v>
      </c>
      <c r="K21">
        <f t="shared" si="0"/>
        <v>0.99664804469273738</v>
      </c>
      <c r="L21">
        <f t="shared" si="1"/>
        <v>-0.5956790098174275</v>
      </c>
      <c r="M21">
        <f t="shared" si="3"/>
        <v>0.90080034532736086</v>
      </c>
      <c r="N21">
        <f t="shared" si="4"/>
        <v>0.89778090282905676</v>
      </c>
    </row>
    <row r="22" spans="1:14" x14ac:dyDescent="0.25">
      <c r="A22" t="s">
        <v>16</v>
      </c>
      <c r="B22">
        <v>2007</v>
      </c>
      <c r="C22">
        <v>947</v>
      </c>
      <c r="D22">
        <v>1725</v>
      </c>
      <c r="E22">
        <v>953</v>
      </c>
      <c r="F22">
        <v>1715</v>
      </c>
      <c r="G22">
        <v>0.99</v>
      </c>
      <c r="H22">
        <v>0.93</v>
      </c>
      <c r="I22">
        <v>1.05</v>
      </c>
      <c r="J22">
        <f t="shared" si="2"/>
        <v>5.5526717422659947E-3</v>
      </c>
      <c r="K22">
        <f t="shared" si="0"/>
        <v>0.99978183404843279</v>
      </c>
      <c r="L22">
        <f t="shared" si="1"/>
        <v>5.5514603383516031E-3</v>
      </c>
      <c r="M22">
        <f t="shared" si="3"/>
        <v>1.710464215304254E-2</v>
      </c>
      <c r="N22">
        <f t="shared" si="4"/>
        <v>1.7100910502511005E-2</v>
      </c>
    </row>
    <row r="23" spans="1:14" x14ac:dyDescent="0.25">
      <c r="A23" t="s">
        <v>17</v>
      </c>
      <c r="B23">
        <v>1995</v>
      </c>
      <c r="C23">
        <v>11</v>
      </c>
      <c r="D23">
        <v>177</v>
      </c>
      <c r="E23">
        <v>21</v>
      </c>
      <c r="F23">
        <v>171</v>
      </c>
      <c r="G23">
        <v>0.51</v>
      </c>
      <c r="H23">
        <v>0.25</v>
      </c>
      <c r="I23">
        <v>1.02</v>
      </c>
      <c r="J23">
        <f t="shared" si="2"/>
        <v>0.37201356533909702</v>
      </c>
      <c r="K23">
        <f t="shared" si="0"/>
        <v>0.99783080260303691</v>
      </c>
      <c r="L23">
        <f t="shared" si="1"/>
        <v>0.37120659448152848</v>
      </c>
      <c r="M23">
        <f t="shared" si="3"/>
        <v>0.19817580736498905</v>
      </c>
      <c r="N23">
        <f t="shared" si="4"/>
        <v>0.19774592491951185</v>
      </c>
    </row>
    <row r="24" spans="1:14" x14ac:dyDescent="0.25">
      <c r="A24" t="s">
        <v>18</v>
      </c>
      <c r="B24">
        <v>2008</v>
      </c>
      <c r="C24">
        <v>0</v>
      </c>
      <c r="D24">
        <v>151</v>
      </c>
      <c r="E24">
        <v>1</v>
      </c>
      <c r="F24">
        <v>151</v>
      </c>
      <c r="G24">
        <v>0.33</v>
      </c>
      <c r="H24">
        <v>0.01</v>
      </c>
      <c r="I24">
        <v>8.1199999999999992</v>
      </c>
      <c r="J24">
        <f t="shared" si="2"/>
        <v>0.61252078702851442</v>
      </c>
      <c r="K24">
        <f t="shared" si="0"/>
        <v>0.99749791492910755</v>
      </c>
      <c r="L24">
        <f t="shared" si="1"/>
        <v>0.61098820791167907</v>
      </c>
      <c r="M24">
        <f t="shared" si="3"/>
        <v>0.94422994984802078</v>
      </c>
      <c r="N24">
        <f t="shared" si="4"/>
        <v>0.94186740618701648</v>
      </c>
    </row>
    <row r="25" spans="1:14" x14ac:dyDescent="0.25">
      <c r="A25" t="s">
        <v>19</v>
      </c>
      <c r="B25">
        <v>2010</v>
      </c>
      <c r="C25">
        <v>40</v>
      </c>
      <c r="D25">
        <v>1131</v>
      </c>
      <c r="E25">
        <v>47</v>
      </c>
      <c r="F25">
        <v>1127</v>
      </c>
      <c r="G25">
        <v>0.85</v>
      </c>
      <c r="H25">
        <v>0.56000000000000005</v>
      </c>
      <c r="I25">
        <v>1.28</v>
      </c>
      <c r="J25">
        <f t="shared" si="2"/>
        <v>8.9789463810925382E-2</v>
      </c>
      <c r="K25">
        <f t="shared" si="0"/>
        <v>0.99966751634711293</v>
      </c>
      <c r="L25">
        <f t="shared" si="1"/>
        <v>8.9759610282006755E-2</v>
      </c>
      <c r="M25">
        <f t="shared" si="3"/>
        <v>0.11651237078369432</v>
      </c>
      <c r="N25">
        <f t="shared" si="4"/>
        <v>0.11647363232504962</v>
      </c>
    </row>
    <row r="26" spans="1:14" x14ac:dyDescent="0.25">
      <c r="A26" t="s">
        <v>20</v>
      </c>
      <c r="B26">
        <v>2005</v>
      </c>
      <c r="C26">
        <v>1</v>
      </c>
      <c r="D26">
        <v>48</v>
      </c>
      <c r="E26">
        <v>2</v>
      </c>
      <c r="F26">
        <v>48</v>
      </c>
      <c r="G26">
        <v>0.5</v>
      </c>
      <c r="H26">
        <v>0.05</v>
      </c>
      <c r="I26">
        <v>5.33</v>
      </c>
      <c r="J26">
        <f t="shared" si="2"/>
        <v>0.38295424340328466</v>
      </c>
      <c r="K26">
        <f t="shared" si="0"/>
        <v>0.99199999999999999</v>
      </c>
      <c r="L26">
        <f t="shared" si="1"/>
        <v>0.37989060945605835</v>
      </c>
      <c r="M26">
        <f t="shared" si="3"/>
        <v>0.65806228319592741</v>
      </c>
      <c r="N26">
        <f t="shared" si="4"/>
        <v>0.65279778493036</v>
      </c>
    </row>
    <row r="27" spans="1:14" x14ac:dyDescent="0.25">
      <c r="A27" t="s">
        <v>44</v>
      </c>
      <c r="B27">
        <v>2006</v>
      </c>
      <c r="C27">
        <v>7</v>
      </c>
      <c r="D27">
        <v>61</v>
      </c>
      <c r="E27">
        <v>6</v>
      </c>
      <c r="F27">
        <v>62</v>
      </c>
      <c r="G27">
        <v>1.19</v>
      </c>
      <c r="H27">
        <v>0.42</v>
      </c>
      <c r="I27">
        <v>3.33</v>
      </c>
      <c r="J27">
        <f t="shared" si="2"/>
        <v>-9.6106799515711591E-2</v>
      </c>
      <c r="K27">
        <f t="shared" si="0"/>
        <v>0.99378881987577639</v>
      </c>
      <c r="L27">
        <f t="shared" si="1"/>
        <v>-9.5509862872756854E-2</v>
      </c>
      <c r="M27">
        <f t="shared" si="3"/>
        <v>0.29181317957169289</v>
      </c>
      <c r="N27">
        <f t="shared" si="4"/>
        <v>0.29000067535075069</v>
      </c>
    </row>
    <row r="28" spans="1:14" x14ac:dyDescent="0.25">
      <c r="A28" t="s">
        <v>21</v>
      </c>
      <c r="B28">
        <v>2007</v>
      </c>
      <c r="C28">
        <v>355</v>
      </c>
      <c r="D28">
        <v>4727</v>
      </c>
      <c r="E28">
        <v>354</v>
      </c>
      <c r="F28">
        <v>4713</v>
      </c>
      <c r="G28">
        <v>1</v>
      </c>
      <c r="H28">
        <v>0.87</v>
      </c>
      <c r="I28">
        <v>1.1499999999999999</v>
      </c>
      <c r="J28">
        <f t="shared" si="2"/>
        <v>0</v>
      </c>
      <c r="K28">
        <f t="shared" si="0"/>
        <v>0.99992053190643959</v>
      </c>
      <c r="L28">
        <f t="shared" si="1"/>
        <v>0</v>
      </c>
      <c r="M28">
        <f t="shared" si="3"/>
        <v>3.9325742714605122E-2</v>
      </c>
      <c r="N28">
        <f t="shared" si="4"/>
        <v>3.9322617572803746E-2</v>
      </c>
    </row>
    <row r="29" spans="1:14" x14ac:dyDescent="0.25">
      <c r="A29" t="s">
        <v>22</v>
      </c>
      <c r="B29">
        <v>2003</v>
      </c>
      <c r="C29">
        <v>224</v>
      </c>
      <c r="D29">
        <v>1346</v>
      </c>
      <c r="E29">
        <v>247</v>
      </c>
      <c r="F29">
        <v>1341</v>
      </c>
      <c r="G29">
        <v>0.9</v>
      </c>
      <c r="H29">
        <v>0.77</v>
      </c>
      <c r="I29">
        <v>1.07</v>
      </c>
      <c r="J29">
        <f t="shared" si="2"/>
        <v>5.8210229645207889E-2</v>
      </c>
      <c r="K29">
        <f t="shared" si="0"/>
        <v>0.99972064438029606</v>
      </c>
      <c r="L29">
        <f t="shared" si="1"/>
        <v>5.8193968290432246E-2</v>
      </c>
      <c r="M29">
        <f t="shared" si="3"/>
        <v>4.6372676261165632E-2</v>
      </c>
      <c r="N29">
        <f t="shared" si="4"/>
        <v>4.6359721793451367E-2</v>
      </c>
    </row>
    <row r="30" spans="1:14" x14ac:dyDescent="0.25">
      <c r="A30" t="s">
        <v>23</v>
      </c>
      <c r="B30">
        <v>2010</v>
      </c>
      <c r="C30">
        <v>4</v>
      </c>
      <c r="D30">
        <v>53</v>
      </c>
      <c r="E30">
        <v>2</v>
      </c>
      <c r="F30">
        <v>52</v>
      </c>
      <c r="G30">
        <v>1.96</v>
      </c>
      <c r="H30">
        <v>0.38</v>
      </c>
      <c r="I30">
        <v>10.26</v>
      </c>
      <c r="J30">
        <f t="shared" si="2"/>
        <v>-0.37179252665327389</v>
      </c>
      <c r="K30">
        <f t="shared" si="0"/>
        <v>0.99270072992700731</v>
      </c>
      <c r="L30">
        <f t="shared" si="1"/>
        <v>-0.36907871259011132</v>
      </c>
      <c r="M30">
        <f t="shared" si="3"/>
        <v>0.46451641475988403</v>
      </c>
      <c r="N30">
        <f t="shared" si="4"/>
        <v>0.46112578399521337</v>
      </c>
    </row>
    <row r="31" spans="1:14" x14ac:dyDescent="0.25">
      <c r="A31" t="s">
        <v>24</v>
      </c>
      <c r="B31">
        <v>2008</v>
      </c>
      <c r="C31">
        <v>0</v>
      </c>
      <c r="D31">
        <v>39</v>
      </c>
      <c r="E31">
        <v>2</v>
      </c>
      <c r="F31">
        <v>81</v>
      </c>
      <c r="G31">
        <v>0.41</v>
      </c>
      <c r="H31">
        <v>0.02</v>
      </c>
      <c r="I31">
        <v>8.34</v>
      </c>
      <c r="J31">
        <f t="shared" si="2"/>
        <v>0.4925956460131401</v>
      </c>
      <c r="K31">
        <f t="shared" si="0"/>
        <v>0.99363057324840764</v>
      </c>
      <c r="L31">
        <f t="shared" si="1"/>
        <v>0.48945809412770608</v>
      </c>
      <c r="M31">
        <f t="shared" si="3"/>
        <v>0.8503053080672569</v>
      </c>
      <c r="N31">
        <f t="shared" si="4"/>
        <v>0.84488935069103233</v>
      </c>
    </row>
    <row r="32" spans="1:14" x14ac:dyDescent="0.25">
      <c r="A32" t="s">
        <v>2</v>
      </c>
      <c r="B32">
        <v>2004</v>
      </c>
      <c r="C32">
        <v>4</v>
      </c>
      <c r="D32">
        <v>70</v>
      </c>
      <c r="E32">
        <v>3</v>
      </c>
      <c r="F32">
        <v>64</v>
      </c>
      <c r="G32">
        <v>1.22</v>
      </c>
      <c r="H32">
        <v>0.28000000000000003</v>
      </c>
      <c r="I32">
        <v>5.24</v>
      </c>
      <c r="J32">
        <f t="shared" si="2"/>
        <v>-0.10986235289788131</v>
      </c>
      <c r="K32">
        <f t="shared" si="0"/>
        <v>0.9943074003795066</v>
      </c>
      <c r="L32">
        <f t="shared" si="1"/>
        <v>-0.10923695050946831</v>
      </c>
      <c r="M32">
        <f t="shared" si="3"/>
        <v>0.41285477141530019</v>
      </c>
      <c r="N32">
        <f t="shared" si="4"/>
        <v>0.41050455450022255</v>
      </c>
    </row>
    <row r="33" spans="1:14" x14ac:dyDescent="0.25">
      <c r="A33" t="s">
        <v>45</v>
      </c>
      <c r="B33">
        <v>1998</v>
      </c>
      <c r="C33">
        <v>0</v>
      </c>
      <c r="D33">
        <v>80</v>
      </c>
      <c r="E33">
        <v>1</v>
      </c>
      <c r="F33">
        <v>80</v>
      </c>
      <c r="G33">
        <v>0.33</v>
      </c>
      <c r="H33">
        <v>0.01</v>
      </c>
      <c r="I33">
        <v>8.06</v>
      </c>
      <c r="J33">
        <f t="shared" si="2"/>
        <v>0.61252078702851442</v>
      </c>
      <c r="K33">
        <f t="shared" si="0"/>
        <v>0.99524564183835185</v>
      </c>
      <c r="L33">
        <f t="shared" si="1"/>
        <v>0.60960864382552626</v>
      </c>
      <c r="M33">
        <f t="shared" si="3"/>
        <v>0.9431846519487298</v>
      </c>
      <c r="N33">
        <f t="shared" si="4"/>
        <v>0.93870041430079609</v>
      </c>
    </row>
    <row r="34" spans="1:14" x14ac:dyDescent="0.25">
      <c r="A34" t="s">
        <v>46</v>
      </c>
      <c r="B34">
        <v>2003</v>
      </c>
      <c r="C34">
        <v>1</v>
      </c>
      <c r="D34">
        <v>62</v>
      </c>
      <c r="E34">
        <v>4</v>
      </c>
      <c r="F34">
        <v>60</v>
      </c>
      <c r="G34">
        <v>0.24</v>
      </c>
      <c r="H34">
        <v>0.03</v>
      </c>
      <c r="I34">
        <v>2.1</v>
      </c>
      <c r="J34">
        <f t="shared" si="2"/>
        <v>0.78846207493930709</v>
      </c>
      <c r="K34">
        <f t="shared" ref="K34:K57" si="5">1-3/(4*(F34+D34-2)-1)</f>
        <v>0.99373695198329859</v>
      </c>
      <c r="L34">
        <f t="shared" ref="L34:L65" si="6">K34*J34</f>
        <v>0.78352389910461417</v>
      </c>
      <c r="M34">
        <f t="shared" si="3"/>
        <v>0.59878442356090866</v>
      </c>
      <c r="N34">
        <f t="shared" si="4"/>
        <v>0.5950342079644938</v>
      </c>
    </row>
    <row r="35" spans="1:14" x14ac:dyDescent="0.25">
      <c r="A35" t="s">
        <v>25</v>
      </c>
      <c r="B35">
        <v>2005</v>
      </c>
      <c r="C35">
        <v>3</v>
      </c>
      <c r="D35">
        <v>95</v>
      </c>
      <c r="E35">
        <v>1</v>
      </c>
      <c r="F35">
        <v>97</v>
      </c>
      <c r="G35">
        <v>3.06</v>
      </c>
      <c r="H35">
        <v>0.32</v>
      </c>
      <c r="I35">
        <v>28.93</v>
      </c>
      <c r="J35">
        <f t="shared" si="2"/>
        <v>-0.61790879335043603</v>
      </c>
      <c r="K35">
        <f t="shared" si="5"/>
        <v>0.99604743083003955</v>
      </c>
      <c r="L35">
        <f t="shared" si="6"/>
        <v>-0.61546646610399158</v>
      </c>
      <c r="M35">
        <f t="shared" si="3"/>
        <v>0.63483952561963131</v>
      </c>
      <c r="N35">
        <f t="shared" si="4"/>
        <v>0.63233027848279488</v>
      </c>
    </row>
    <row r="36" spans="1:14" x14ac:dyDescent="0.25">
      <c r="A36" t="s">
        <v>47</v>
      </c>
      <c r="B36">
        <v>1973</v>
      </c>
      <c r="C36">
        <v>1</v>
      </c>
      <c r="D36">
        <v>25</v>
      </c>
      <c r="E36">
        <v>0</v>
      </c>
      <c r="F36">
        <v>25</v>
      </c>
      <c r="G36">
        <v>3</v>
      </c>
      <c r="H36">
        <v>0.13</v>
      </c>
      <c r="I36">
        <v>70.3</v>
      </c>
      <c r="J36">
        <f t="shared" si="2"/>
        <v>-0.6069681152862485</v>
      </c>
      <c r="K36">
        <f t="shared" si="5"/>
        <v>0.98429319371727753</v>
      </c>
      <c r="L36">
        <f t="shared" si="6"/>
        <v>-0.59743458467965826</v>
      </c>
      <c r="M36">
        <f t="shared" si="3"/>
        <v>0.88693660888250847</v>
      </c>
      <c r="N36">
        <f t="shared" si="4"/>
        <v>0.87300566738173613</v>
      </c>
    </row>
    <row r="37" spans="1:14" x14ac:dyDescent="0.25">
      <c r="A37" t="s">
        <v>26</v>
      </c>
      <c r="B37">
        <v>2005</v>
      </c>
      <c r="C37">
        <v>6</v>
      </c>
      <c r="D37">
        <v>195</v>
      </c>
      <c r="E37">
        <v>10</v>
      </c>
      <c r="F37">
        <v>196</v>
      </c>
      <c r="G37">
        <v>0.6</v>
      </c>
      <c r="H37">
        <v>0.22</v>
      </c>
      <c r="I37">
        <v>1.63</v>
      </c>
      <c r="J37">
        <f t="shared" si="2"/>
        <v>0.28222410152817168</v>
      </c>
      <c r="K37">
        <f t="shared" si="5"/>
        <v>0.99807073954983927</v>
      </c>
      <c r="L37">
        <f t="shared" si="6"/>
        <v>0.28167961773101124</v>
      </c>
      <c r="M37">
        <f t="shared" si="3"/>
        <v>0.28226233896837949</v>
      </c>
      <c r="N37">
        <f t="shared" si="4"/>
        <v>0.28171778140123793</v>
      </c>
    </row>
    <row r="38" spans="1:14" x14ac:dyDescent="0.25">
      <c r="A38" t="s">
        <v>27</v>
      </c>
      <c r="B38">
        <v>1992</v>
      </c>
      <c r="C38">
        <v>893</v>
      </c>
      <c r="D38">
        <v>1634</v>
      </c>
      <c r="E38">
        <v>917</v>
      </c>
      <c r="F38">
        <v>1636</v>
      </c>
      <c r="G38">
        <v>0.98</v>
      </c>
      <c r="H38">
        <v>0.92</v>
      </c>
      <c r="I38">
        <v>1.04</v>
      </c>
      <c r="J38">
        <f t="shared" si="2"/>
        <v>1.1161716750010754E-2</v>
      </c>
      <c r="K38">
        <f t="shared" si="5"/>
        <v>0.99977048427817305</v>
      </c>
      <c r="L38">
        <f t="shared" si="6"/>
        <v>1.1159154960534047E-2</v>
      </c>
      <c r="M38">
        <f t="shared" si="3"/>
        <v>1.7279614682085404E-2</v>
      </c>
      <c r="N38">
        <f t="shared" si="4"/>
        <v>1.7275648738848754E-2</v>
      </c>
    </row>
    <row r="39" spans="1:14" x14ac:dyDescent="0.25">
      <c r="A39" t="s">
        <v>27</v>
      </c>
      <c r="B39">
        <v>2002</v>
      </c>
      <c r="C39">
        <v>70</v>
      </c>
      <c r="D39">
        <v>389</v>
      </c>
      <c r="E39">
        <v>46</v>
      </c>
      <c r="F39">
        <v>194</v>
      </c>
      <c r="G39">
        <v>0.76</v>
      </c>
      <c r="H39">
        <v>0.55000000000000004</v>
      </c>
      <c r="I39">
        <v>1.06</v>
      </c>
      <c r="J39">
        <f t="shared" si="2"/>
        <v>0.15162256668605542</v>
      </c>
      <c r="K39">
        <f t="shared" si="5"/>
        <v>0.99870856650882478</v>
      </c>
      <c r="L39">
        <f t="shared" si="6"/>
        <v>0.1514267562254191</v>
      </c>
      <c r="M39">
        <f t="shared" si="3"/>
        <v>9.2471799086649598E-2</v>
      </c>
      <c r="N39">
        <f t="shared" si="4"/>
        <v>9.2352377908319877E-2</v>
      </c>
    </row>
    <row r="40" spans="1:14" x14ac:dyDescent="0.25">
      <c r="A40" t="s">
        <v>48</v>
      </c>
      <c r="B40">
        <v>2008</v>
      </c>
      <c r="C40">
        <v>25</v>
      </c>
      <c r="D40">
        <v>166</v>
      </c>
      <c r="E40">
        <v>33</v>
      </c>
      <c r="F40">
        <v>172</v>
      </c>
      <c r="G40">
        <v>0.78</v>
      </c>
      <c r="H40">
        <v>0.49</v>
      </c>
      <c r="I40">
        <v>1.26</v>
      </c>
      <c r="J40">
        <f t="shared" si="2"/>
        <v>0.13727146922569039</v>
      </c>
      <c r="K40">
        <f t="shared" si="5"/>
        <v>0.99776619508562914</v>
      </c>
      <c r="L40">
        <f t="shared" si="6"/>
        <v>0.13696483154313113</v>
      </c>
      <c r="M40">
        <f t="shared" si="3"/>
        <v>0.13311275352926646</v>
      </c>
      <c r="N40">
        <f t="shared" si="4"/>
        <v>0.13281540560626734</v>
      </c>
    </row>
    <row r="41" spans="1:14" x14ac:dyDescent="0.25">
      <c r="A41" t="s">
        <v>49</v>
      </c>
      <c r="B41">
        <v>2011</v>
      </c>
      <c r="C41">
        <v>1</v>
      </c>
      <c r="D41">
        <v>23</v>
      </c>
      <c r="E41">
        <v>0</v>
      </c>
      <c r="F41">
        <v>23</v>
      </c>
      <c r="G41">
        <v>3</v>
      </c>
      <c r="H41">
        <v>0.13</v>
      </c>
      <c r="I41">
        <v>70.02</v>
      </c>
      <c r="J41">
        <f t="shared" si="2"/>
        <v>-0.6069681152862485</v>
      </c>
      <c r="K41">
        <f t="shared" si="5"/>
        <v>0.98285714285714287</v>
      </c>
      <c r="L41">
        <f t="shared" si="6"/>
        <v>-0.59656294759562711</v>
      </c>
      <c r="M41">
        <f t="shared" si="3"/>
        <v>0.88637413237866081</v>
      </c>
      <c r="N41">
        <f t="shared" si="4"/>
        <v>0.87117914725216949</v>
      </c>
    </row>
    <row r="42" spans="1:14" x14ac:dyDescent="0.25">
      <c r="A42" t="s">
        <v>28</v>
      </c>
      <c r="B42">
        <v>1985</v>
      </c>
      <c r="C42">
        <v>8</v>
      </c>
      <c r="D42">
        <v>41</v>
      </c>
      <c r="E42">
        <v>8</v>
      </c>
      <c r="F42">
        <v>41</v>
      </c>
      <c r="G42">
        <v>1</v>
      </c>
      <c r="H42">
        <v>0.42</v>
      </c>
      <c r="I42">
        <v>2.41</v>
      </c>
      <c r="J42">
        <f t="shared" si="2"/>
        <v>0</v>
      </c>
      <c r="K42">
        <f t="shared" si="5"/>
        <v>0.99059561128526641</v>
      </c>
      <c r="L42">
        <f t="shared" si="6"/>
        <v>0</v>
      </c>
      <c r="M42">
        <f t="shared" si="3"/>
        <v>0.24624074236205981</v>
      </c>
      <c r="N42">
        <f t="shared" si="4"/>
        <v>0.24392499870348244</v>
      </c>
    </row>
    <row r="43" spans="1:14" x14ac:dyDescent="0.25">
      <c r="A43" t="s">
        <v>29</v>
      </c>
      <c r="B43">
        <v>2008</v>
      </c>
      <c r="C43">
        <v>1</v>
      </c>
      <c r="D43">
        <v>85</v>
      </c>
      <c r="E43">
        <v>0</v>
      </c>
      <c r="F43">
        <v>82</v>
      </c>
      <c r="G43">
        <v>2.9</v>
      </c>
      <c r="H43">
        <v>0.12</v>
      </c>
      <c r="I43">
        <v>70.069999999999993</v>
      </c>
      <c r="J43">
        <f t="shared" si="2"/>
        <v>-0.58823797623891061</v>
      </c>
      <c r="K43">
        <f t="shared" si="5"/>
        <v>0.99544764795144158</v>
      </c>
      <c r="L43">
        <f t="shared" si="6"/>
        <v>-0.58556010988273954</v>
      </c>
      <c r="M43">
        <f t="shared" si="3"/>
        <v>0.89775598694646142</v>
      </c>
      <c r="N43">
        <f t="shared" si="4"/>
        <v>0.89366908564018011</v>
      </c>
    </row>
    <row r="44" spans="1:14" x14ac:dyDescent="0.25">
      <c r="A44" t="s">
        <v>30</v>
      </c>
      <c r="B44">
        <v>1991</v>
      </c>
      <c r="C44">
        <v>1</v>
      </c>
      <c r="D44">
        <v>50</v>
      </c>
      <c r="E44">
        <v>0</v>
      </c>
      <c r="F44">
        <v>48</v>
      </c>
      <c r="G44">
        <v>2.88</v>
      </c>
      <c r="H44">
        <v>0.12</v>
      </c>
      <c r="I44">
        <v>69.069999999999993</v>
      </c>
      <c r="J44">
        <f t="shared" si="2"/>
        <v>-0.58441452715351072</v>
      </c>
      <c r="K44">
        <f t="shared" si="5"/>
        <v>0.9921671018276762</v>
      </c>
      <c r="L44">
        <f t="shared" si="6"/>
        <v>-0.57983686767189047</v>
      </c>
      <c r="M44">
        <f t="shared" si="3"/>
        <v>0.89573007375422431</v>
      </c>
      <c r="N44">
        <f t="shared" si="4"/>
        <v>0.88871391129661936</v>
      </c>
    </row>
    <row r="45" spans="1:14" x14ac:dyDescent="0.25">
      <c r="A45" t="s">
        <v>31</v>
      </c>
      <c r="B45">
        <v>2004</v>
      </c>
      <c r="C45">
        <v>24</v>
      </c>
      <c r="D45">
        <v>113</v>
      </c>
      <c r="E45">
        <v>5</v>
      </c>
      <c r="F45">
        <v>37</v>
      </c>
      <c r="G45">
        <v>1.57</v>
      </c>
      <c r="H45">
        <v>0.65</v>
      </c>
      <c r="I45">
        <v>3.82</v>
      </c>
      <c r="J45">
        <f t="shared" si="2"/>
        <v>-0.24921304937028549</v>
      </c>
      <c r="K45">
        <f t="shared" si="5"/>
        <v>0.99492385786802029</v>
      </c>
      <c r="L45">
        <f t="shared" si="6"/>
        <v>-0.24794800851053783</v>
      </c>
      <c r="M45">
        <f t="shared" si="3"/>
        <v>0.24961006577840483</v>
      </c>
      <c r="N45">
        <f t="shared" si="4"/>
        <v>0.24834300960694083</v>
      </c>
    </row>
    <row r="46" spans="1:14" x14ac:dyDescent="0.25">
      <c r="A46" t="s">
        <v>32</v>
      </c>
      <c r="B46">
        <v>1999</v>
      </c>
      <c r="C46">
        <v>21</v>
      </c>
      <c r="D46">
        <v>124</v>
      </c>
      <c r="E46">
        <v>26</v>
      </c>
      <c r="F46">
        <v>124</v>
      </c>
      <c r="G46">
        <v>0.81</v>
      </c>
      <c r="H46">
        <v>0.48</v>
      </c>
      <c r="I46">
        <v>1.36</v>
      </c>
      <c r="J46">
        <f t="shared" si="2"/>
        <v>0.11642045929041576</v>
      </c>
      <c r="K46">
        <f t="shared" si="5"/>
        <v>0.99694811800610372</v>
      </c>
      <c r="L46">
        <f t="shared" si="6"/>
        <v>0.11606515778698621</v>
      </c>
      <c r="M46">
        <f t="shared" si="3"/>
        <v>0.14678287783687016</v>
      </c>
      <c r="N46">
        <f t="shared" si="4"/>
        <v>0.14633491381498753</v>
      </c>
    </row>
    <row r="47" spans="1:14" x14ac:dyDescent="0.25">
      <c r="A47" t="s">
        <v>50</v>
      </c>
      <c r="B47">
        <v>2010</v>
      </c>
      <c r="C47">
        <v>15</v>
      </c>
      <c r="D47">
        <v>1718</v>
      </c>
      <c r="E47">
        <v>13</v>
      </c>
      <c r="F47">
        <v>1714</v>
      </c>
      <c r="G47">
        <v>1.1499999999999999</v>
      </c>
      <c r="H47">
        <v>0.55000000000000004</v>
      </c>
      <c r="I47">
        <v>2.41</v>
      </c>
      <c r="J47">
        <f t="shared" si="2"/>
        <v>-7.7216542748706415E-2</v>
      </c>
      <c r="K47">
        <f t="shared" si="5"/>
        <v>0.99978132516947305</v>
      </c>
      <c r="L47">
        <f t="shared" si="6"/>
        <v>-7.719965743430697E-2</v>
      </c>
      <c r="M47">
        <f t="shared" si="3"/>
        <v>0.20823426376397902</v>
      </c>
      <c r="N47">
        <f t="shared" si="4"/>
        <v>0.20818872817164052</v>
      </c>
    </row>
    <row r="48" spans="1:14" x14ac:dyDescent="0.25">
      <c r="A48" t="s">
        <v>33</v>
      </c>
      <c r="B48">
        <v>2007</v>
      </c>
      <c r="C48">
        <v>4</v>
      </c>
      <c r="D48">
        <v>446</v>
      </c>
      <c r="E48">
        <v>18</v>
      </c>
      <c r="F48">
        <v>733</v>
      </c>
      <c r="G48">
        <v>0.37</v>
      </c>
      <c r="H48">
        <v>0.12</v>
      </c>
      <c r="I48">
        <v>1.07</v>
      </c>
      <c r="J48">
        <f t="shared" si="2"/>
        <v>0.54931064825628007</v>
      </c>
      <c r="K48">
        <f t="shared" si="5"/>
        <v>0.99936265137029956</v>
      </c>
      <c r="L48">
        <f t="shared" si="6"/>
        <v>0.54896054586733412</v>
      </c>
      <c r="M48">
        <f t="shared" si="3"/>
        <v>0.30836652732465691</v>
      </c>
      <c r="N48">
        <f t="shared" si="4"/>
        <v>0.30816999034102105</v>
      </c>
    </row>
    <row r="49" spans="1:14" x14ac:dyDescent="0.25">
      <c r="A49" t="s">
        <v>34</v>
      </c>
      <c r="B49">
        <v>2004</v>
      </c>
      <c r="C49">
        <v>832</v>
      </c>
      <c r="D49">
        <v>4957</v>
      </c>
      <c r="E49">
        <v>839</v>
      </c>
      <c r="F49">
        <v>4648</v>
      </c>
      <c r="G49">
        <v>0.93</v>
      </c>
      <c r="H49">
        <v>0.85</v>
      </c>
      <c r="I49">
        <v>1.01</v>
      </c>
      <c r="J49">
        <f t="shared" si="2"/>
        <v>4.00943054336107E-2</v>
      </c>
      <c r="K49">
        <f t="shared" si="5"/>
        <v>0.99992189737314829</v>
      </c>
      <c r="L49">
        <f t="shared" si="6"/>
        <v>4.0091173963034542E-2</v>
      </c>
      <c r="M49">
        <f t="shared" si="3"/>
        <v>2.4307878615252992E-2</v>
      </c>
      <c r="N49">
        <f t="shared" si="4"/>
        <v>2.4305980106079948E-2</v>
      </c>
    </row>
    <row r="50" spans="1:14" x14ac:dyDescent="0.25">
      <c r="A50" t="s">
        <v>35</v>
      </c>
      <c r="B50">
        <v>2006</v>
      </c>
      <c r="C50">
        <v>347</v>
      </c>
      <c r="D50">
        <v>1762</v>
      </c>
      <c r="E50">
        <v>322</v>
      </c>
      <c r="F50">
        <v>1955</v>
      </c>
      <c r="G50">
        <v>1.2</v>
      </c>
      <c r="H50">
        <v>1.04</v>
      </c>
      <c r="I50">
        <v>1.37</v>
      </c>
      <c r="J50">
        <f t="shared" si="2"/>
        <v>-0.10073014187511303</v>
      </c>
      <c r="K50">
        <f t="shared" si="5"/>
        <v>0.99979810216030685</v>
      </c>
      <c r="L50">
        <f t="shared" si="6"/>
        <v>-0.10070980467707646</v>
      </c>
      <c r="M50">
        <f t="shared" si="3"/>
        <v>3.8841755931721761E-2</v>
      </c>
      <c r="N50">
        <f t="shared" si="4"/>
        <v>3.883391386510926E-2</v>
      </c>
    </row>
    <row r="51" spans="1:14" x14ac:dyDescent="0.25">
      <c r="A51" t="s">
        <v>36</v>
      </c>
      <c r="B51">
        <v>2004</v>
      </c>
      <c r="C51">
        <v>0</v>
      </c>
      <c r="D51">
        <v>30</v>
      </c>
      <c r="E51">
        <v>1</v>
      </c>
      <c r="F51">
        <v>25</v>
      </c>
      <c r="G51">
        <v>0.28000000000000003</v>
      </c>
      <c r="H51">
        <v>0.01</v>
      </c>
      <c r="I51">
        <v>6.58</v>
      </c>
      <c r="J51">
        <f t="shared" si="2"/>
        <v>0.70329595348778307</v>
      </c>
      <c r="K51">
        <f t="shared" si="5"/>
        <v>0.98578199052132698</v>
      </c>
      <c r="L51">
        <f t="shared" si="6"/>
        <v>0.69329648495478136</v>
      </c>
      <c r="M51">
        <f t="shared" si="3"/>
        <v>0.9145908404731814</v>
      </c>
      <c r="N51">
        <f t="shared" si="4"/>
        <v>0.90158717923422615</v>
      </c>
    </row>
    <row r="52" spans="1:14" x14ac:dyDescent="0.25">
      <c r="A52" t="s">
        <v>37</v>
      </c>
      <c r="B52">
        <v>2006</v>
      </c>
      <c r="C52">
        <v>0</v>
      </c>
      <c r="D52">
        <v>42</v>
      </c>
      <c r="E52">
        <v>1</v>
      </c>
      <c r="F52">
        <v>70</v>
      </c>
      <c r="G52">
        <v>0.55000000000000004</v>
      </c>
      <c r="H52">
        <v>0.02</v>
      </c>
      <c r="I52">
        <v>13.21</v>
      </c>
      <c r="J52">
        <f t="shared" si="2"/>
        <v>0.33029668550034275</v>
      </c>
      <c r="K52">
        <f t="shared" si="5"/>
        <v>0.99316628701594534</v>
      </c>
      <c r="L52">
        <f t="shared" si="6"/>
        <v>0.32803953275204883</v>
      </c>
      <c r="M52">
        <f t="shared" si="3"/>
        <v>0.9151253134460452</v>
      </c>
      <c r="N52">
        <f t="shared" si="4"/>
        <v>0.90887160970951186</v>
      </c>
    </row>
    <row r="53" spans="1:14" x14ac:dyDescent="0.25">
      <c r="A53" t="s">
        <v>51</v>
      </c>
      <c r="B53">
        <v>1989</v>
      </c>
      <c r="C53">
        <v>0</v>
      </c>
      <c r="D53">
        <v>43</v>
      </c>
      <c r="E53">
        <v>1</v>
      </c>
      <c r="F53">
        <v>43</v>
      </c>
      <c r="G53">
        <v>0.33</v>
      </c>
      <c r="H53">
        <v>0.01</v>
      </c>
      <c r="I53">
        <v>7.96</v>
      </c>
      <c r="J53">
        <f t="shared" si="2"/>
        <v>0.61252078702851442</v>
      </c>
      <c r="K53">
        <f t="shared" si="5"/>
        <v>0.991044776119403</v>
      </c>
      <c r="L53">
        <f t="shared" si="6"/>
        <v>0.60703552624915458</v>
      </c>
      <c r="M53">
        <f t="shared" si="3"/>
        <v>0.94142507411269349</v>
      </c>
      <c r="N53">
        <f t="shared" si="4"/>
        <v>0.93299440180720672</v>
      </c>
    </row>
    <row r="54" spans="1:14" x14ac:dyDescent="0.25">
      <c r="A54" t="s">
        <v>38</v>
      </c>
      <c r="B54">
        <v>2005</v>
      </c>
      <c r="C54">
        <v>57</v>
      </c>
      <c r="D54">
        <v>1321</v>
      </c>
      <c r="E54">
        <v>68</v>
      </c>
      <c r="F54">
        <v>1993</v>
      </c>
      <c r="G54">
        <v>1.26</v>
      </c>
      <c r="H54">
        <v>0.9</v>
      </c>
      <c r="I54">
        <v>1.79</v>
      </c>
      <c r="J54">
        <f t="shared" si="2"/>
        <v>-0.12768603368142908</v>
      </c>
      <c r="K54">
        <f t="shared" si="5"/>
        <v>0.9997735336302559</v>
      </c>
      <c r="L54">
        <f t="shared" si="6"/>
        <v>-0.12765711708891422</v>
      </c>
      <c r="M54">
        <f t="shared" si="3"/>
        <v>9.6907223969795064E-2</v>
      </c>
      <c r="N54">
        <f t="shared" si="4"/>
        <v>9.6885277742580642E-2</v>
      </c>
    </row>
    <row r="55" spans="1:14" x14ac:dyDescent="0.25">
      <c r="A55" t="s">
        <v>20</v>
      </c>
      <c r="B55">
        <v>1997</v>
      </c>
      <c r="C55">
        <v>1</v>
      </c>
      <c r="D55">
        <v>45</v>
      </c>
      <c r="E55">
        <v>1</v>
      </c>
      <c r="F55">
        <v>39</v>
      </c>
      <c r="G55">
        <v>0.87</v>
      </c>
      <c r="H55">
        <v>0.06</v>
      </c>
      <c r="I55">
        <v>13.4</v>
      </c>
      <c r="J55">
        <f t="shared" si="2"/>
        <v>7.6940368692545669E-2</v>
      </c>
      <c r="K55">
        <f t="shared" si="5"/>
        <v>0.99082568807339455</v>
      </c>
      <c r="L55">
        <f t="shared" si="6"/>
        <v>7.6234493750412233E-2</v>
      </c>
      <c r="M55">
        <f t="shared" si="3"/>
        <v>0.76229921971430015</v>
      </c>
      <c r="N55">
        <f t="shared" si="4"/>
        <v>0.75530564889123319</v>
      </c>
    </row>
    <row r="56" spans="1:14" x14ac:dyDescent="0.25">
      <c r="A56" t="s">
        <v>52</v>
      </c>
      <c r="B56">
        <v>1999</v>
      </c>
      <c r="C56">
        <v>1</v>
      </c>
      <c r="D56">
        <v>43</v>
      </c>
      <c r="E56">
        <v>0</v>
      </c>
      <c r="F56">
        <v>43</v>
      </c>
      <c r="G56">
        <v>3</v>
      </c>
      <c r="H56">
        <v>0.13</v>
      </c>
      <c r="I56">
        <v>71.650000000000006</v>
      </c>
      <c r="J56">
        <f t="shared" si="2"/>
        <v>-0.6069681152862485</v>
      </c>
      <c r="K56">
        <f t="shared" si="5"/>
        <v>0.991044776119403</v>
      </c>
      <c r="L56">
        <f t="shared" si="6"/>
        <v>-0.60153257992547615</v>
      </c>
      <c r="M56">
        <f t="shared" si="3"/>
        <v>0.88961748545505903</v>
      </c>
      <c r="N56">
        <f t="shared" si="4"/>
        <v>0.88165076170471524</v>
      </c>
    </row>
    <row r="57" spans="1:14" x14ac:dyDescent="0.25">
      <c r="A57" t="s">
        <v>53</v>
      </c>
      <c r="B57">
        <v>1999</v>
      </c>
      <c r="C57">
        <v>0</v>
      </c>
      <c r="D57">
        <v>34</v>
      </c>
      <c r="E57">
        <v>1</v>
      </c>
      <c r="F57">
        <v>35</v>
      </c>
      <c r="G57">
        <v>0.34</v>
      </c>
      <c r="H57">
        <v>0.01</v>
      </c>
      <c r="I57">
        <v>8.1300000000000008</v>
      </c>
      <c r="J57">
        <f t="shared" si="2"/>
        <v>0.59602743722206064</v>
      </c>
      <c r="K57">
        <f t="shared" si="5"/>
        <v>0.9887640449438202</v>
      </c>
      <c r="L57">
        <f t="shared" si="6"/>
        <v>0.58933049972518359</v>
      </c>
      <c r="M57">
        <f t="shared" si="3"/>
        <v>0.94440341492104662</v>
      </c>
      <c r="N57">
        <f t="shared" si="4"/>
        <v>0.93379214059609106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2025-12-26T21:51:45Z</dcterms:modified>
</cp:coreProperties>
</file>