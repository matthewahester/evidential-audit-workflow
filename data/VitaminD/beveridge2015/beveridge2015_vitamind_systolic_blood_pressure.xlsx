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beveridge2015\"/>
    </mc:Choice>
  </mc:AlternateContent>
  <xr:revisionPtr revIDLastSave="0" documentId="13_ncr:1_{0016BF20-4A5D-4FEF-8E5D-4CAFB68911E9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2" i="1"/>
  <c r="J38" i="1"/>
  <c r="J26" i="1"/>
  <c r="J14" i="1"/>
  <c r="H3" i="1"/>
  <c r="I3" i="1" s="1"/>
  <c r="J3" i="1" s="1"/>
  <c r="K3" i="1"/>
  <c r="H4" i="1"/>
  <c r="I4" i="1" s="1"/>
  <c r="J4" i="1" s="1"/>
  <c r="K4" i="1"/>
  <c r="H5" i="1"/>
  <c r="I5" i="1"/>
  <c r="J5" i="1" s="1"/>
  <c r="K5" i="1"/>
  <c r="H6" i="1"/>
  <c r="I6" i="1" s="1"/>
  <c r="J6" i="1" s="1"/>
  <c r="K6" i="1"/>
  <c r="H7" i="1"/>
  <c r="I7" i="1"/>
  <c r="J7" i="1" s="1"/>
  <c r="K7" i="1"/>
  <c r="H8" i="1"/>
  <c r="I8" i="1" s="1"/>
  <c r="J8" i="1" s="1"/>
  <c r="K8" i="1"/>
  <c r="H9" i="1"/>
  <c r="I9" i="1" s="1"/>
  <c r="J9" i="1" s="1"/>
  <c r="K9" i="1"/>
  <c r="H10" i="1"/>
  <c r="I10" i="1" s="1"/>
  <c r="K10" i="1"/>
  <c r="H11" i="1"/>
  <c r="I11" i="1" s="1"/>
  <c r="J11" i="1" s="1"/>
  <c r="K11" i="1"/>
  <c r="H12" i="1"/>
  <c r="I12" i="1" s="1"/>
  <c r="J12" i="1" s="1"/>
  <c r="K12" i="1"/>
  <c r="H13" i="1"/>
  <c r="I13" i="1" s="1"/>
  <c r="J13" i="1" s="1"/>
  <c r="K13" i="1"/>
  <c r="H14" i="1"/>
  <c r="I14" i="1" s="1"/>
  <c r="K14" i="1"/>
  <c r="H15" i="1"/>
  <c r="I15" i="1" s="1"/>
  <c r="J15" i="1" s="1"/>
  <c r="K15" i="1"/>
  <c r="H16" i="1"/>
  <c r="I16" i="1" s="1"/>
  <c r="K16" i="1"/>
  <c r="H17" i="1"/>
  <c r="I17" i="1"/>
  <c r="J17" i="1" s="1"/>
  <c r="K17" i="1"/>
  <c r="H18" i="1"/>
  <c r="I18" i="1" s="1"/>
  <c r="J18" i="1" s="1"/>
  <c r="K18" i="1"/>
  <c r="H19" i="1"/>
  <c r="I19" i="1" s="1"/>
  <c r="J19" i="1" s="1"/>
  <c r="K19" i="1"/>
  <c r="H20" i="1"/>
  <c r="I20" i="1" s="1"/>
  <c r="K20" i="1"/>
  <c r="H21" i="1"/>
  <c r="I21" i="1" s="1"/>
  <c r="J21" i="1" s="1"/>
  <c r="K21" i="1"/>
  <c r="H22" i="1"/>
  <c r="I22" i="1" s="1"/>
  <c r="K22" i="1"/>
  <c r="H23" i="1"/>
  <c r="I23" i="1" s="1"/>
  <c r="J23" i="1" s="1"/>
  <c r="K23" i="1"/>
  <c r="H24" i="1"/>
  <c r="I24" i="1" s="1"/>
  <c r="J24" i="1" s="1"/>
  <c r="K24" i="1"/>
  <c r="H25" i="1"/>
  <c r="I25" i="1" s="1"/>
  <c r="J25" i="1" s="1"/>
  <c r="K25" i="1"/>
  <c r="H26" i="1"/>
  <c r="I26" i="1" s="1"/>
  <c r="K26" i="1"/>
  <c r="H27" i="1"/>
  <c r="I27" i="1" s="1"/>
  <c r="J27" i="1" s="1"/>
  <c r="K27" i="1"/>
  <c r="H28" i="1"/>
  <c r="I28" i="1" s="1"/>
  <c r="J28" i="1" s="1"/>
  <c r="K28" i="1"/>
  <c r="H29" i="1"/>
  <c r="I29" i="1"/>
  <c r="J29" i="1" s="1"/>
  <c r="K29" i="1"/>
  <c r="H30" i="1"/>
  <c r="I30" i="1" s="1"/>
  <c r="K30" i="1"/>
  <c r="H31" i="1"/>
  <c r="I31" i="1"/>
  <c r="J31" i="1" s="1"/>
  <c r="K31" i="1"/>
  <c r="H32" i="1"/>
  <c r="I32" i="1" s="1"/>
  <c r="J32" i="1" s="1"/>
  <c r="K32" i="1"/>
  <c r="H33" i="1"/>
  <c r="I33" i="1" s="1"/>
  <c r="J33" i="1" s="1"/>
  <c r="K33" i="1"/>
  <c r="H34" i="1"/>
  <c r="I34" i="1" s="1"/>
  <c r="K34" i="1"/>
  <c r="H35" i="1"/>
  <c r="I35" i="1" s="1"/>
  <c r="J35" i="1" s="1"/>
  <c r="K35" i="1"/>
  <c r="H36" i="1"/>
  <c r="I36" i="1" s="1"/>
  <c r="J36" i="1" s="1"/>
  <c r="K36" i="1"/>
  <c r="H37" i="1"/>
  <c r="I37" i="1" s="1"/>
  <c r="J37" i="1" s="1"/>
  <c r="K37" i="1"/>
  <c r="H38" i="1"/>
  <c r="I38" i="1" s="1"/>
  <c r="K38" i="1"/>
  <c r="H39" i="1"/>
  <c r="I39" i="1"/>
  <c r="J39" i="1" s="1"/>
  <c r="K39" i="1"/>
  <c r="H40" i="1"/>
  <c r="I40" i="1" s="1"/>
  <c r="K40" i="1"/>
  <c r="H41" i="1"/>
  <c r="I41" i="1"/>
  <c r="J41" i="1" s="1"/>
  <c r="K41" i="1"/>
  <c r="H42" i="1"/>
  <c r="I42" i="1" s="1"/>
  <c r="J42" i="1" s="1"/>
  <c r="K42" i="1"/>
  <c r="H43" i="1"/>
  <c r="I43" i="1" s="1"/>
  <c r="J43" i="1" s="1"/>
  <c r="K43" i="1"/>
  <c r="H44" i="1"/>
  <c r="I44" i="1" s="1"/>
  <c r="J44" i="1" s="1"/>
  <c r="K44" i="1"/>
  <c r="H45" i="1"/>
  <c r="I45" i="1" s="1"/>
  <c r="J45" i="1" s="1"/>
  <c r="K45" i="1"/>
  <c r="H46" i="1"/>
  <c r="I46" i="1" s="1"/>
  <c r="K46" i="1"/>
  <c r="H47" i="1"/>
  <c r="I47" i="1" s="1"/>
  <c r="J47" i="1" s="1"/>
  <c r="K47" i="1"/>
  <c r="K2" i="1"/>
  <c r="H2" i="1"/>
  <c r="I2" i="1" s="1"/>
  <c r="J2" i="1" s="1"/>
  <c r="L2" i="1" s="1"/>
  <c r="L31" i="1" l="1"/>
  <c r="L21" i="1"/>
  <c r="J16" i="1"/>
  <c r="L16" i="1" s="1"/>
  <c r="J40" i="1"/>
  <c r="L40" i="1" s="1"/>
  <c r="L7" i="1"/>
  <c r="L45" i="1"/>
  <c r="L39" i="1"/>
  <c r="L30" i="1"/>
  <c r="L29" i="1"/>
  <c r="J30" i="1"/>
  <c r="L19" i="1"/>
  <c r="L46" i="1"/>
  <c r="L43" i="1"/>
  <c r="J20" i="1"/>
  <c r="L20" i="1" s="1"/>
  <c r="L47" i="1"/>
  <c r="L44" i="1"/>
  <c r="J10" i="1"/>
  <c r="L10" i="1" s="1"/>
  <c r="J22" i="1"/>
  <c r="L22" i="1" s="1"/>
  <c r="J34" i="1"/>
  <c r="L34" i="1" s="1"/>
  <c r="J46" i="1"/>
  <c r="L42" i="1"/>
  <c r="L32" i="1"/>
  <c r="L8" i="1"/>
  <c r="L15" i="1"/>
  <c r="L6" i="1"/>
  <c r="L5" i="1"/>
  <c r="L28" i="1"/>
  <c r="L4" i="1"/>
  <c r="L27" i="1"/>
  <c r="L18" i="1"/>
  <c r="L3" i="1"/>
  <c r="L12" i="1"/>
  <c r="L35" i="1"/>
  <c r="L36" i="1"/>
  <c r="L23" i="1"/>
  <c r="L26" i="1"/>
  <c r="L25" i="1"/>
  <c r="L24" i="1"/>
  <c r="L38" i="1"/>
  <c r="L14" i="1"/>
  <c r="L37" i="1"/>
  <c r="L13" i="1"/>
  <c r="L11" i="1"/>
  <c r="L33" i="1"/>
  <c r="L9" i="1"/>
  <c r="L41" i="1"/>
  <c r="L17" i="1"/>
</calcChain>
</file>

<file path=xl/sharedStrings.xml><?xml version="1.0" encoding="utf-8"?>
<sst xmlns="http://schemas.openxmlformats.org/spreadsheetml/2006/main" count="59" uniqueCount="48">
  <si>
    <t>author</t>
  </si>
  <si>
    <t>year</t>
  </si>
  <si>
    <t>n_treat</t>
  </si>
  <si>
    <t>n_control</t>
  </si>
  <si>
    <t>md</t>
  </si>
  <si>
    <t>lCI</t>
  </si>
  <si>
    <t>uCI</t>
  </si>
  <si>
    <t>Lind</t>
  </si>
  <si>
    <t>Scragg</t>
  </si>
  <si>
    <t>Pfeifer</t>
  </si>
  <si>
    <t>Sugden</t>
  </si>
  <si>
    <t>Nagpal</t>
  </si>
  <si>
    <t>Zittermann</t>
  </si>
  <si>
    <t>de Zeeuw</t>
  </si>
  <si>
    <t>Jorde</t>
  </si>
  <si>
    <t>Witham</t>
  </si>
  <si>
    <t>Harris</t>
  </si>
  <si>
    <t>Shab-Bidar</t>
  </si>
  <si>
    <t>Alvarez</t>
  </si>
  <si>
    <t>Bonakdaran</t>
  </si>
  <si>
    <t>Gepner</t>
  </si>
  <si>
    <t>Heshmat</t>
  </si>
  <si>
    <t>Kjaergaard</t>
  </si>
  <si>
    <t>Muldowney</t>
  </si>
  <si>
    <t>Salehpour</t>
  </si>
  <si>
    <t>Toffler</t>
  </si>
  <si>
    <t>Wood</t>
  </si>
  <si>
    <t>Asemi</t>
  </si>
  <si>
    <t>Boxer</t>
  </si>
  <si>
    <t>Breslavsky</t>
  </si>
  <si>
    <t>Chai</t>
  </si>
  <si>
    <t>Forman</t>
  </si>
  <si>
    <t>Larsen</t>
  </si>
  <si>
    <t>Petchey</t>
  </si>
  <si>
    <t>Roth</t>
  </si>
  <si>
    <t>Toxqui</t>
  </si>
  <si>
    <t>Wamberg</t>
  </si>
  <si>
    <t>Wu</t>
  </si>
  <si>
    <t>Dalbeni</t>
  </si>
  <si>
    <t>Sollid</t>
  </si>
  <si>
    <t>Strobel</t>
  </si>
  <si>
    <t>Wang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</si>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</sst>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H10" sqref="H10"/>
    </sheetView>
  </sheetViews>
  <sheetFormatPr defaultRowHeight="15" x14ac:dyDescent="0.25"/>
  <cols>
    <col min="1" max="1" width="16.5703125" bestFit="1" customWidth="1"/>
    <col min="2" max="2" width="5" bestFit="1" customWidth="1"/>
    <col min="3" max="3" width="7.42578125" bestFit="1" customWidth="1"/>
    <col min="4" max="4" width="9.42578125" bestFit="1" customWidth="1"/>
    <col min="5" max="6" width="5.7109375" bestFit="1" customWidth="1"/>
    <col min="7" max="7" width="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25">
      <c r="A2" t="s">
        <v>7</v>
      </c>
      <c r="B2">
        <v>1987</v>
      </c>
      <c r="C2">
        <v>15</v>
      </c>
      <c r="D2">
        <v>10</v>
      </c>
      <c r="E2">
        <v>-4</v>
      </c>
      <c r="F2">
        <v>-21.8</v>
      </c>
      <c r="G2">
        <v>13.8</v>
      </c>
      <c r="H2">
        <f>(G2-F2)/2/1.96</f>
        <v>9.0816326530612255</v>
      </c>
      <c r="I2">
        <f>H2/SQRT(1/D2+1/C2)</f>
        <v>22.245366031398252</v>
      </c>
      <c r="J2">
        <f>-E2/I2</f>
        <v>0.17981273018183627</v>
      </c>
      <c r="K2">
        <f>1-3/(4*(C2+D2-2)-1)</f>
        <v>0.96703296703296704</v>
      </c>
      <c r="L2">
        <f>K2*J2</f>
        <v>0.17388483797803947</v>
      </c>
      <c r="M2">
        <f>K2*H2/I2</f>
        <v>0.39478955561340595</v>
      </c>
    </row>
    <row r="3" spans="1:13" x14ac:dyDescent="0.25">
      <c r="A3" t="s">
        <v>7</v>
      </c>
      <c r="B3">
        <v>1988</v>
      </c>
      <c r="C3">
        <v>15</v>
      </c>
      <c r="D3">
        <v>16</v>
      </c>
      <c r="E3">
        <v>3</v>
      </c>
      <c r="F3">
        <v>-7.7</v>
      </c>
      <c r="G3">
        <v>13.7</v>
      </c>
      <c r="H3">
        <f t="shared" ref="H3:H47" si="0">(G3-F3)/2/1.96</f>
        <v>5.4591836734693873</v>
      </c>
      <c r="I3">
        <f t="shared" ref="I3:I47" si="1">H3/SQRT(1/D3+1/C3)</f>
        <v>15.189814850919797</v>
      </c>
      <c r="J3">
        <f t="shared" ref="J3:J47" si="2">-E3/I3</f>
        <v>-0.19750076149337262</v>
      </c>
      <c r="K3">
        <f t="shared" ref="K3:K47" si="3">1-3/(4*(C3+D3-2)-1)</f>
        <v>0.97391304347826091</v>
      </c>
      <c r="L3">
        <f t="shared" ref="L3:L47" si="4">K3*J3</f>
        <v>-0.19234856771528464</v>
      </c>
      <c r="M3">
        <f>K3*H3/I3</f>
        <v>0.35002205349550092</v>
      </c>
    </row>
    <row r="4" spans="1:13" x14ac:dyDescent="0.25">
      <c r="A4" t="s">
        <v>7</v>
      </c>
      <c r="B4">
        <v>1988</v>
      </c>
      <c r="C4">
        <v>33</v>
      </c>
      <c r="D4">
        <v>32</v>
      </c>
      <c r="E4">
        <v>-4</v>
      </c>
      <c r="F4">
        <v>-13.5</v>
      </c>
      <c r="G4">
        <v>5.6</v>
      </c>
      <c r="H4">
        <f t="shared" si="0"/>
        <v>4.8724489795918373</v>
      </c>
      <c r="I4">
        <f t="shared" si="1"/>
        <v>19.639145197602815</v>
      </c>
      <c r="J4">
        <f t="shared" si="2"/>
        <v>0.2036748524313699</v>
      </c>
      <c r="K4">
        <f t="shared" si="3"/>
        <v>0.98804780876494025</v>
      </c>
      <c r="L4">
        <f t="shared" si="4"/>
        <v>0.20124049164533758</v>
      </c>
      <c r="M4">
        <f>K4*H4/I4</f>
        <v>0.24513350704247119</v>
      </c>
    </row>
    <row r="5" spans="1:13" x14ac:dyDescent="0.25">
      <c r="A5" t="s">
        <v>7</v>
      </c>
      <c r="B5">
        <v>1989</v>
      </c>
      <c r="C5">
        <v>18</v>
      </c>
      <c r="D5">
        <v>21</v>
      </c>
      <c r="E5">
        <v>5</v>
      </c>
      <c r="F5">
        <v>-4.9000000000000004</v>
      </c>
      <c r="G5">
        <v>14.9</v>
      </c>
      <c r="H5">
        <f t="shared" si="0"/>
        <v>5.0510204081632653</v>
      </c>
      <c r="I5">
        <f t="shared" si="1"/>
        <v>15.725074789167646</v>
      </c>
      <c r="J5">
        <f t="shared" si="2"/>
        <v>-0.31796351159132757</v>
      </c>
      <c r="K5">
        <f t="shared" si="3"/>
        <v>0.97959183673469385</v>
      </c>
      <c r="L5">
        <f t="shared" si="4"/>
        <v>-0.31147446033436171</v>
      </c>
      <c r="M5">
        <f>K5*H5/I5</f>
        <v>0.31465277115410012</v>
      </c>
    </row>
    <row r="6" spans="1:13" x14ac:dyDescent="0.25">
      <c r="A6" t="s">
        <v>8</v>
      </c>
      <c r="B6">
        <v>1995</v>
      </c>
      <c r="C6">
        <v>95</v>
      </c>
      <c r="D6">
        <v>94</v>
      </c>
      <c r="E6">
        <v>0</v>
      </c>
      <c r="F6">
        <v>-4.2</v>
      </c>
      <c r="G6">
        <v>4.2</v>
      </c>
      <c r="H6">
        <f t="shared" si="0"/>
        <v>2.1428571428571428</v>
      </c>
      <c r="I6">
        <f t="shared" si="1"/>
        <v>14.729501412341525</v>
      </c>
      <c r="J6">
        <f t="shared" si="2"/>
        <v>0</v>
      </c>
      <c r="K6">
        <f t="shared" si="3"/>
        <v>0.99598393574297184</v>
      </c>
      <c r="L6">
        <f t="shared" si="4"/>
        <v>0</v>
      </c>
      <c r="M6">
        <f>K6*H6/I6</f>
        <v>0.14489637029326427</v>
      </c>
    </row>
    <row r="7" spans="1:13" x14ac:dyDescent="0.25">
      <c r="A7" t="s">
        <v>9</v>
      </c>
      <c r="B7">
        <v>2001</v>
      </c>
      <c r="C7">
        <v>73</v>
      </c>
      <c r="D7">
        <v>72</v>
      </c>
      <c r="E7">
        <v>-6.5</v>
      </c>
      <c r="F7">
        <v>-12.4</v>
      </c>
      <c r="G7">
        <v>-0.6</v>
      </c>
      <c r="H7">
        <f t="shared" si="0"/>
        <v>3.0102040816326534</v>
      </c>
      <c r="I7">
        <f t="shared" si="1"/>
        <v>18.123397563473191</v>
      </c>
      <c r="J7">
        <f t="shared" si="2"/>
        <v>0.3586523982181149</v>
      </c>
      <c r="K7">
        <f t="shared" si="3"/>
        <v>0.99474605954465845</v>
      </c>
      <c r="L7">
        <f t="shared" si="4"/>
        <v>0.35676805987371146</v>
      </c>
      <c r="M7">
        <f>K7*H7/I7</f>
        <v>0.16522225692738601</v>
      </c>
    </row>
    <row r="8" spans="1:13" x14ac:dyDescent="0.25">
      <c r="A8" t="s">
        <v>10</v>
      </c>
      <c r="B8">
        <v>2008</v>
      </c>
      <c r="C8">
        <v>17</v>
      </c>
      <c r="D8">
        <v>17</v>
      </c>
      <c r="E8">
        <v>-13.9</v>
      </c>
      <c r="F8">
        <v>-21.2</v>
      </c>
      <c r="G8">
        <v>-6.6</v>
      </c>
      <c r="H8">
        <f t="shared" si="0"/>
        <v>3.7244897959183674</v>
      </c>
      <c r="I8">
        <f t="shared" si="1"/>
        <v>10.858660416421095</v>
      </c>
      <c r="J8">
        <f t="shared" si="2"/>
        <v>1.2800842338691811</v>
      </c>
      <c r="K8">
        <f t="shared" si="3"/>
        <v>0.97637795275590555</v>
      </c>
      <c r="L8">
        <f t="shared" si="4"/>
        <v>1.2498460236203028</v>
      </c>
      <c r="M8">
        <f>K8*H8/I8</f>
        <v>0.33489487492395426</v>
      </c>
    </row>
    <row r="9" spans="1:13" x14ac:dyDescent="0.25">
      <c r="A9" t="s">
        <v>11</v>
      </c>
      <c r="B9">
        <v>2009</v>
      </c>
      <c r="C9">
        <v>35</v>
      </c>
      <c r="D9">
        <v>36</v>
      </c>
      <c r="E9">
        <v>4</v>
      </c>
      <c r="F9">
        <v>0</v>
      </c>
      <c r="G9">
        <v>7.9</v>
      </c>
      <c r="H9">
        <f t="shared" si="0"/>
        <v>2.0153061224489797</v>
      </c>
      <c r="I9">
        <f t="shared" si="1"/>
        <v>8.4897934136408182</v>
      </c>
      <c r="J9">
        <f t="shared" si="2"/>
        <v>-0.47115398515740964</v>
      </c>
      <c r="K9">
        <f t="shared" si="3"/>
        <v>0.98909090909090913</v>
      </c>
      <c r="L9">
        <f t="shared" si="4"/>
        <v>-0.46601412350114702</v>
      </c>
      <c r="M9">
        <f>K9*H9/I9</f>
        <v>0.23479027905988911</v>
      </c>
    </row>
    <row r="10" spans="1:13" x14ac:dyDescent="0.25">
      <c r="A10" t="s">
        <v>12</v>
      </c>
      <c r="B10">
        <v>2009</v>
      </c>
      <c r="C10">
        <v>82</v>
      </c>
      <c r="D10">
        <v>83</v>
      </c>
      <c r="E10">
        <v>-1</v>
      </c>
      <c r="F10">
        <v>-5.9</v>
      </c>
      <c r="G10">
        <v>3.9</v>
      </c>
      <c r="H10">
        <f t="shared" si="0"/>
        <v>2.5000000000000004</v>
      </c>
      <c r="I10">
        <f t="shared" si="1"/>
        <v>16.056245834659805</v>
      </c>
      <c r="J10">
        <f t="shared" si="2"/>
        <v>6.2281059364534055E-2</v>
      </c>
      <c r="K10">
        <f t="shared" si="3"/>
        <v>0.99539170506912444</v>
      </c>
      <c r="L10">
        <f t="shared" si="4"/>
        <v>6.1994049874374915E-2</v>
      </c>
      <c r="M10">
        <f>K10*H10/I10</f>
        <v>0.15498512468593731</v>
      </c>
    </row>
    <row r="11" spans="1:13" x14ac:dyDescent="0.25">
      <c r="A11" t="s">
        <v>13</v>
      </c>
      <c r="B11">
        <v>2010</v>
      </c>
      <c r="C11">
        <v>92</v>
      </c>
      <c r="D11">
        <v>88</v>
      </c>
      <c r="E11">
        <v>-5</v>
      </c>
      <c r="F11">
        <v>-16.100000000000001</v>
      </c>
      <c r="G11">
        <v>6.1</v>
      </c>
      <c r="H11">
        <f t="shared" si="0"/>
        <v>5.66326530612245</v>
      </c>
      <c r="I11">
        <f t="shared" si="1"/>
        <v>37.980957108448479</v>
      </c>
      <c r="J11">
        <f t="shared" si="2"/>
        <v>0.13164491841854614</v>
      </c>
      <c r="K11">
        <f t="shared" si="3"/>
        <v>0.99578059071729963</v>
      </c>
      <c r="L11">
        <f t="shared" si="4"/>
        <v>0.1310894546277506</v>
      </c>
      <c r="M11">
        <f>K11*H11/I11</f>
        <v>0.1484788720783706</v>
      </c>
    </row>
    <row r="12" spans="1:13" x14ac:dyDescent="0.25">
      <c r="A12" t="s">
        <v>14</v>
      </c>
      <c r="B12">
        <v>2010</v>
      </c>
      <c r="C12">
        <v>114</v>
      </c>
      <c r="D12">
        <v>112</v>
      </c>
      <c r="E12">
        <v>2.2999999999999998</v>
      </c>
      <c r="F12">
        <v>-0.9</v>
      </c>
      <c r="G12">
        <v>5.5</v>
      </c>
      <c r="H12">
        <f t="shared" si="0"/>
        <v>1.6326530612244898</v>
      </c>
      <c r="I12">
        <f t="shared" si="1"/>
        <v>12.271598124928376</v>
      </c>
      <c r="J12">
        <f t="shared" si="2"/>
        <v>-0.18742465134413158</v>
      </c>
      <c r="K12">
        <f t="shared" si="3"/>
        <v>0.99664804469273738</v>
      </c>
      <c r="L12">
        <f t="shared" si="4"/>
        <v>-0.18679641228934676</v>
      </c>
      <c r="M12">
        <f>K12*H12/I12</f>
        <v>0.13259727580432781</v>
      </c>
    </row>
    <row r="13" spans="1:13" x14ac:dyDescent="0.25">
      <c r="A13" t="s">
        <v>15</v>
      </c>
      <c r="B13">
        <v>2010</v>
      </c>
      <c r="C13">
        <v>48</v>
      </c>
      <c r="D13">
        <v>48</v>
      </c>
      <c r="E13">
        <v>2</v>
      </c>
      <c r="F13">
        <v>-6.8</v>
      </c>
      <c r="G13">
        <v>10.8</v>
      </c>
      <c r="H13">
        <f t="shared" si="0"/>
        <v>4.4897959183673475</v>
      </c>
      <c r="I13">
        <f t="shared" si="1"/>
        <v>21.995418098461194</v>
      </c>
      <c r="J13">
        <f t="shared" si="2"/>
        <v>-9.0928028330587662E-2</v>
      </c>
      <c r="K13">
        <f t="shared" si="3"/>
        <v>0.99199999999999999</v>
      </c>
      <c r="L13">
        <f t="shared" si="4"/>
        <v>-9.0200604103942955E-2</v>
      </c>
      <c r="M13">
        <f>K13*H13/I13</f>
        <v>0.20249115207007604</v>
      </c>
    </row>
    <row r="14" spans="1:13" x14ac:dyDescent="0.25">
      <c r="A14" t="s">
        <v>15</v>
      </c>
      <c r="B14">
        <v>2010</v>
      </c>
      <c r="C14">
        <v>19</v>
      </c>
      <c r="D14">
        <v>21</v>
      </c>
      <c r="E14">
        <v>-2.2999999999999998</v>
      </c>
      <c r="F14">
        <v>-14.2</v>
      </c>
      <c r="G14">
        <v>9.6</v>
      </c>
      <c r="H14">
        <f t="shared" si="0"/>
        <v>6.0714285714285712</v>
      </c>
      <c r="I14">
        <f t="shared" si="1"/>
        <v>19.175528489643845</v>
      </c>
      <c r="J14">
        <f t="shared" si="2"/>
        <v>0.11994454292314102</v>
      </c>
      <c r="K14">
        <f t="shared" si="3"/>
        <v>0.98013245033112584</v>
      </c>
      <c r="L14">
        <f t="shared" si="4"/>
        <v>0.11756153875910511</v>
      </c>
      <c r="M14">
        <f>K14*H14/I14</f>
        <v>0.31033325448832094</v>
      </c>
    </row>
    <row r="15" spans="1:13" x14ac:dyDescent="0.25">
      <c r="A15" t="s">
        <v>16</v>
      </c>
      <c r="B15">
        <v>2011</v>
      </c>
      <c r="C15">
        <v>22</v>
      </c>
      <c r="D15">
        <v>23</v>
      </c>
      <c r="E15">
        <v>1.5</v>
      </c>
      <c r="F15">
        <v>-3.6</v>
      </c>
      <c r="G15">
        <v>6.6</v>
      </c>
      <c r="H15">
        <f t="shared" si="0"/>
        <v>2.6020408163265305</v>
      </c>
      <c r="I15">
        <f t="shared" si="1"/>
        <v>8.7253550114003247</v>
      </c>
      <c r="J15">
        <f t="shared" si="2"/>
        <v>-0.17191277581716027</v>
      </c>
      <c r="K15">
        <f t="shared" si="3"/>
        <v>0.98245614035087714</v>
      </c>
      <c r="L15">
        <f t="shared" si="4"/>
        <v>-0.1688967622063329</v>
      </c>
      <c r="M15">
        <f>K15*H15/I15</f>
        <v>0.29298417933751625</v>
      </c>
    </row>
    <row r="16" spans="1:13" x14ac:dyDescent="0.25">
      <c r="A16" t="s">
        <v>17</v>
      </c>
      <c r="B16">
        <v>2011</v>
      </c>
      <c r="C16">
        <v>50</v>
      </c>
      <c r="D16">
        <v>50</v>
      </c>
      <c r="E16">
        <v>-4.8</v>
      </c>
      <c r="F16">
        <v>-11.3</v>
      </c>
      <c r="G16">
        <v>1.7</v>
      </c>
      <c r="H16">
        <f t="shared" si="0"/>
        <v>3.3163265306122449</v>
      </c>
      <c r="I16">
        <f t="shared" si="1"/>
        <v>16.581632653061224</v>
      </c>
      <c r="J16">
        <f t="shared" si="2"/>
        <v>0.28947692307692308</v>
      </c>
      <c r="K16">
        <f t="shared" si="3"/>
        <v>0.99232736572890023</v>
      </c>
      <c r="L16">
        <f t="shared" si="4"/>
        <v>0.28725587251623058</v>
      </c>
      <c r="M16">
        <f>K16*H16/I16</f>
        <v>0.19846547314578006</v>
      </c>
    </row>
    <row r="17" spans="1:13" x14ac:dyDescent="0.25">
      <c r="A17" t="s">
        <v>18</v>
      </c>
      <c r="B17">
        <v>2012</v>
      </c>
      <c r="C17">
        <v>17</v>
      </c>
      <c r="D17">
        <v>20</v>
      </c>
      <c r="E17">
        <v>8.4</v>
      </c>
      <c r="F17">
        <v>-6.6</v>
      </c>
      <c r="G17">
        <v>23.4</v>
      </c>
      <c r="H17">
        <f t="shared" si="0"/>
        <v>7.6530612244897958</v>
      </c>
      <c r="I17">
        <f t="shared" si="1"/>
        <v>23.199241411158223</v>
      </c>
      <c r="J17">
        <f t="shared" si="2"/>
        <v>-0.36208080476113425</v>
      </c>
      <c r="K17">
        <f t="shared" si="3"/>
        <v>0.97841726618705038</v>
      </c>
      <c r="L17">
        <f t="shared" si="4"/>
        <v>-0.35426611113319612</v>
      </c>
      <c r="M17">
        <f>K17*H17/I17</f>
        <v>0.32276431407907802</v>
      </c>
    </row>
    <row r="18" spans="1:13" x14ac:dyDescent="0.25">
      <c r="A18" t="s">
        <v>19</v>
      </c>
      <c r="B18">
        <v>2012</v>
      </c>
      <c r="C18">
        <v>15</v>
      </c>
      <c r="D18">
        <v>16</v>
      </c>
      <c r="E18">
        <v>-6.6</v>
      </c>
      <c r="F18">
        <v>-14.7</v>
      </c>
      <c r="G18">
        <v>1.5</v>
      </c>
      <c r="H18">
        <f t="shared" si="0"/>
        <v>4.1326530612244898</v>
      </c>
      <c r="I18">
        <f t="shared" si="1"/>
        <v>11.498831803032745</v>
      </c>
      <c r="J18">
        <f t="shared" si="2"/>
        <v>0.57397134883382595</v>
      </c>
      <c r="K18">
        <f t="shared" si="3"/>
        <v>0.97391304347826091</v>
      </c>
      <c r="L18">
        <f t="shared" si="4"/>
        <v>0.55899818321207395</v>
      </c>
      <c r="M18">
        <f>K18*H18/I18</f>
        <v>0.35002205349550092</v>
      </c>
    </row>
    <row r="19" spans="1:13" x14ac:dyDescent="0.25">
      <c r="A19" t="s">
        <v>20</v>
      </c>
      <c r="B19">
        <v>2012</v>
      </c>
      <c r="C19">
        <v>55</v>
      </c>
      <c r="D19">
        <v>55</v>
      </c>
      <c r="E19">
        <v>2.2000000000000002</v>
      </c>
      <c r="F19">
        <v>-1.4</v>
      </c>
      <c r="G19">
        <v>5.8</v>
      </c>
      <c r="H19">
        <f t="shared" si="0"/>
        <v>1.8367346938775508</v>
      </c>
      <c r="I19">
        <f t="shared" si="1"/>
        <v>9.63191799339935</v>
      </c>
      <c r="J19">
        <f t="shared" si="2"/>
        <v>-0.22840726026816638</v>
      </c>
      <c r="K19">
        <f t="shared" si="3"/>
        <v>0.99303944315545245</v>
      </c>
      <c r="L19">
        <f t="shared" si="4"/>
        <v>-0.22681741854936244</v>
      </c>
      <c r="M19">
        <f>K19*H19/I19</f>
        <v>0.18936519173879979</v>
      </c>
    </row>
    <row r="20" spans="1:13" x14ac:dyDescent="0.25">
      <c r="A20" t="s">
        <v>21</v>
      </c>
      <c r="B20">
        <v>2012</v>
      </c>
      <c r="C20">
        <v>21</v>
      </c>
      <c r="D20">
        <v>21</v>
      </c>
      <c r="E20">
        <v>0</v>
      </c>
      <c r="F20">
        <v>-0.5</v>
      </c>
      <c r="G20">
        <v>0.5</v>
      </c>
      <c r="H20">
        <f t="shared" si="0"/>
        <v>0.25510204081632654</v>
      </c>
      <c r="I20">
        <f t="shared" si="1"/>
        <v>0.82662508908263521</v>
      </c>
      <c r="J20">
        <f t="shared" si="2"/>
        <v>0</v>
      </c>
      <c r="K20">
        <f t="shared" si="3"/>
        <v>0.98113207547169812</v>
      </c>
      <c r="L20">
        <f t="shared" si="4"/>
        <v>0</v>
      </c>
      <c r="M20">
        <f>K20*H20/I20</f>
        <v>0.30278393200108605</v>
      </c>
    </row>
    <row r="21" spans="1:13" x14ac:dyDescent="0.25">
      <c r="A21" t="s">
        <v>22</v>
      </c>
      <c r="B21">
        <v>2012</v>
      </c>
      <c r="C21">
        <v>120</v>
      </c>
      <c r="D21">
        <v>110</v>
      </c>
      <c r="E21">
        <v>0</v>
      </c>
      <c r="F21">
        <v>-2.8</v>
      </c>
      <c r="G21">
        <v>2.8</v>
      </c>
      <c r="H21">
        <f t="shared" si="0"/>
        <v>1.4285714285714286</v>
      </c>
      <c r="I21">
        <f t="shared" si="1"/>
        <v>10.822435535217142</v>
      </c>
      <c r="J21">
        <f t="shared" si="2"/>
        <v>0</v>
      </c>
      <c r="K21">
        <f t="shared" si="3"/>
        <v>0.99670691547749724</v>
      </c>
      <c r="L21">
        <f t="shared" si="4"/>
        <v>0</v>
      </c>
      <c r="M21">
        <f>K21*H21/I21</f>
        <v>0.13156622808953897</v>
      </c>
    </row>
    <row r="22" spans="1:13" x14ac:dyDescent="0.25">
      <c r="A22" t="s">
        <v>23</v>
      </c>
      <c r="B22">
        <v>2012</v>
      </c>
      <c r="C22">
        <v>51</v>
      </c>
      <c r="D22">
        <v>56</v>
      </c>
      <c r="E22">
        <v>2</v>
      </c>
      <c r="F22">
        <v>-3.6</v>
      </c>
      <c r="G22">
        <v>7.6</v>
      </c>
      <c r="H22">
        <f t="shared" si="0"/>
        <v>2.8571428571428572</v>
      </c>
      <c r="I22">
        <f t="shared" si="1"/>
        <v>14.76111515754345</v>
      </c>
      <c r="J22">
        <f t="shared" si="2"/>
        <v>-0.13549111829656918</v>
      </c>
      <c r="K22">
        <f t="shared" si="3"/>
        <v>0.99284009546539376</v>
      </c>
      <c r="L22">
        <f t="shared" si="4"/>
        <v>-0.1345210148242787</v>
      </c>
      <c r="M22">
        <f>K22*H22/I22</f>
        <v>0.19217287832039814</v>
      </c>
    </row>
    <row r="23" spans="1:13" x14ac:dyDescent="0.25">
      <c r="A23" t="s">
        <v>23</v>
      </c>
      <c r="B23">
        <v>2012</v>
      </c>
      <c r="C23">
        <v>48</v>
      </c>
      <c r="D23">
        <v>52</v>
      </c>
      <c r="E23">
        <v>-1</v>
      </c>
      <c r="F23">
        <v>-8.9</v>
      </c>
      <c r="G23">
        <v>6.9</v>
      </c>
      <c r="H23">
        <f t="shared" si="0"/>
        <v>4.0306122448979593</v>
      </c>
      <c r="I23">
        <f t="shared" si="1"/>
        <v>20.136932321366263</v>
      </c>
      <c r="J23">
        <f t="shared" si="2"/>
        <v>4.9659997066134616E-2</v>
      </c>
      <c r="K23">
        <f t="shared" si="3"/>
        <v>0.99232736572890023</v>
      </c>
      <c r="L23">
        <f t="shared" si="4"/>
        <v>4.9278974070742276E-2</v>
      </c>
      <c r="M23">
        <f>K23*H23/I23</f>
        <v>0.19862443630554288</v>
      </c>
    </row>
    <row r="24" spans="1:13" x14ac:dyDescent="0.25">
      <c r="A24" t="s">
        <v>24</v>
      </c>
      <c r="B24">
        <v>2012</v>
      </c>
      <c r="C24">
        <v>40</v>
      </c>
      <c r="D24">
        <v>37</v>
      </c>
      <c r="E24">
        <v>2.7</v>
      </c>
      <c r="F24">
        <v>-2.5</v>
      </c>
      <c r="G24">
        <v>7.9</v>
      </c>
      <c r="H24">
        <f t="shared" si="0"/>
        <v>2.6530612244897962</v>
      </c>
      <c r="I24">
        <f t="shared" si="1"/>
        <v>11.631420787419502</v>
      </c>
      <c r="J24">
        <f t="shared" si="2"/>
        <v>-0.23212985320936108</v>
      </c>
      <c r="K24">
        <f t="shared" si="3"/>
        <v>0.98996655518394649</v>
      </c>
      <c r="L24">
        <f t="shared" si="4"/>
        <v>-0.22980079113702637</v>
      </c>
      <c r="M24">
        <f>K24*H24/I24</f>
        <v>0.22580576604545297</v>
      </c>
    </row>
    <row r="25" spans="1:13" x14ac:dyDescent="0.25">
      <c r="A25" t="s">
        <v>25</v>
      </c>
      <c r="B25">
        <v>2012</v>
      </c>
      <c r="C25">
        <v>31</v>
      </c>
      <c r="D25">
        <v>31</v>
      </c>
      <c r="E25">
        <v>0</v>
      </c>
      <c r="F25">
        <v>-9.1999999999999993</v>
      </c>
      <c r="G25">
        <v>9.1999999999999993</v>
      </c>
      <c r="H25">
        <f t="shared" si="0"/>
        <v>4.6938775510204076</v>
      </c>
      <c r="I25">
        <f t="shared" si="1"/>
        <v>18.479814398190982</v>
      </c>
      <c r="J25">
        <f t="shared" si="2"/>
        <v>0</v>
      </c>
      <c r="K25">
        <f t="shared" si="3"/>
        <v>0.9874476987447699</v>
      </c>
      <c r="L25">
        <f t="shared" si="4"/>
        <v>0</v>
      </c>
      <c r="M25">
        <f>K25*H25/I25</f>
        <v>0.25081196629326324</v>
      </c>
    </row>
    <row r="26" spans="1:13" x14ac:dyDescent="0.25">
      <c r="A26" t="s">
        <v>15</v>
      </c>
      <c r="B26">
        <v>2012</v>
      </c>
      <c r="C26">
        <v>29</v>
      </c>
      <c r="D26">
        <v>27</v>
      </c>
      <c r="E26">
        <v>-0.4</v>
      </c>
      <c r="F26">
        <v>-7.9</v>
      </c>
      <c r="G26">
        <v>7.1</v>
      </c>
      <c r="H26">
        <f t="shared" si="0"/>
        <v>3.8265306122448979</v>
      </c>
      <c r="I26">
        <f t="shared" si="1"/>
        <v>14.308432516357174</v>
      </c>
      <c r="J26">
        <f t="shared" si="2"/>
        <v>2.7955542966899158E-2</v>
      </c>
      <c r="K26">
        <f t="shared" si="3"/>
        <v>0.98604651162790702</v>
      </c>
      <c r="L26">
        <f t="shared" si="4"/>
        <v>2.7565465623174985E-2</v>
      </c>
      <c r="M26">
        <f>K26*H26/I26</f>
        <v>0.26370024511965862</v>
      </c>
    </row>
    <row r="27" spans="1:13" x14ac:dyDescent="0.25">
      <c r="A27" t="s">
        <v>26</v>
      </c>
      <c r="B27">
        <v>2012</v>
      </c>
      <c r="C27">
        <v>95</v>
      </c>
      <c r="D27">
        <v>98</v>
      </c>
      <c r="E27">
        <v>0.9</v>
      </c>
      <c r="F27">
        <v>-2.2000000000000002</v>
      </c>
      <c r="G27">
        <v>4</v>
      </c>
      <c r="H27">
        <f t="shared" si="0"/>
        <v>1.5816326530612246</v>
      </c>
      <c r="I27">
        <f t="shared" si="1"/>
        <v>10.985044193789832</v>
      </c>
      <c r="J27">
        <f t="shared" si="2"/>
        <v>-8.1929574803968147E-2</v>
      </c>
      <c r="K27">
        <f t="shared" si="3"/>
        <v>0.99606815203145482</v>
      </c>
      <c r="L27">
        <f t="shared" si="4"/>
        <v>-8.1607440171711398E-2</v>
      </c>
      <c r="M27">
        <f>K27*H27/I27</f>
        <v>0.14341443567591006</v>
      </c>
    </row>
    <row r="28" spans="1:13" x14ac:dyDescent="0.25">
      <c r="A28" t="s">
        <v>27</v>
      </c>
      <c r="B28">
        <v>2013</v>
      </c>
      <c r="C28">
        <v>24</v>
      </c>
      <c r="D28">
        <v>24</v>
      </c>
      <c r="E28">
        <v>-5.7</v>
      </c>
      <c r="F28">
        <v>-9.9</v>
      </c>
      <c r="G28">
        <v>-1.5</v>
      </c>
      <c r="H28">
        <f t="shared" si="0"/>
        <v>2.1428571428571428</v>
      </c>
      <c r="I28">
        <f t="shared" si="1"/>
        <v>7.4230748895809029</v>
      </c>
      <c r="J28">
        <f t="shared" si="2"/>
        <v>0.76787585802220226</v>
      </c>
      <c r="K28">
        <f t="shared" si="3"/>
        <v>0.98360655737704916</v>
      </c>
      <c r="L28">
        <f t="shared" si="4"/>
        <v>0.75528772920216614</v>
      </c>
      <c r="M28">
        <f>K28*H28/I28</f>
        <v>0.28394275533916025</v>
      </c>
    </row>
    <row r="29" spans="1:13" x14ac:dyDescent="0.25">
      <c r="A29" t="s">
        <v>28</v>
      </c>
      <c r="B29">
        <v>2013</v>
      </c>
      <c r="C29">
        <v>24</v>
      </c>
      <c r="D29">
        <v>24</v>
      </c>
      <c r="E29">
        <v>-0.3</v>
      </c>
      <c r="F29">
        <v>-8.1</v>
      </c>
      <c r="G29">
        <v>7.5</v>
      </c>
      <c r="H29">
        <f t="shared" si="0"/>
        <v>3.9795918367346941</v>
      </c>
      <c r="I29">
        <f t="shared" si="1"/>
        <v>13.785710509221678</v>
      </c>
      <c r="J29">
        <f t="shared" si="2"/>
        <v>2.1761663992532043E-2</v>
      </c>
      <c r="K29">
        <f t="shared" si="3"/>
        <v>0.98360655737704916</v>
      </c>
      <c r="L29">
        <f t="shared" si="4"/>
        <v>2.1404915402490534E-2</v>
      </c>
      <c r="M29">
        <f>K29*H29/I29</f>
        <v>0.28394275533916019</v>
      </c>
    </row>
    <row r="30" spans="1:13" x14ac:dyDescent="0.25">
      <c r="A30" t="s">
        <v>29</v>
      </c>
      <c r="B30">
        <v>2013</v>
      </c>
      <c r="C30">
        <v>19</v>
      </c>
      <c r="D30">
        <v>13</v>
      </c>
      <c r="E30">
        <v>0.4</v>
      </c>
      <c r="F30">
        <v>-10.4</v>
      </c>
      <c r="G30">
        <v>11.2</v>
      </c>
      <c r="H30">
        <f t="shared" si="0"/>
        <v>5.5102040816326534</v>
      </c>
      <c r="I30">
        <f t="shared" si="1"/>
        <v>15.308800786074169</v>
      </c>
      <c r="J30">
        <f t="shared" si="2"/>
        <v>-2.6128761200149963E-2</v>
      </c>
      <c r="K30">
        <f t="shared" si="3"/>
        <v>0.97478991596638653</v>
      </c>
      <c r="L30">
        <f t="shared" si="4"/>
        <v>-2.5470052934599963E-2</v>
      </c>
      <c r="M30">
        <f>K30*H30/I30</f>
        <v>0.35086297409908113</v>
      </c>
    </row>
    <row r="31" spans="1:13" x14ac:dyDescent="0.25">
      <c r="A31" t="s">
        <v>30</v>
      </c>
      <c r="B31">
        <v>2013</v>
      </c>
      <c r="C31">
        <v>22</v>
      </c>
      <c r="D31">
        <v>21</v>
      </c>
      <c r="E31">
        <v>3.7</v>
      </c>
      <c r="F31">
        <v>-5.5</v>
      </c>
      <c r="G31">
        <v>12.9</v>
      </c>
      <c r="H31">
        <f t="shared" si="0"/>
        <v>4.6938775510204076</v>
      </c>
      <c r="I31">
        <f t="shared" si="1"/>
        <v>15.385744494049636</v>
      </c>
      <c r="J31">
        <f t="shared" si="2"/>
        <v>-0.24048235049210376</v>
      </c>
      <c r="K31">
        <f t="shared" si="3"/>
        <v>0.98159509202453987</v>
      </c>
      <c r="L31">
        <f t="shared" si="4"/>
        <v>-0.23605629496157424</v>
      </c>
      <c r="M31">
        <f>K31*H31/I31</f>
        <v>0.29946468748572569</v>
      </c>
    </row>
    <row r="32" spans="1:13" x14ac:dyDescent="0.25">
      <c r="A32" t="s">
        <v>31</v>
      </c>
      <c r="B32">
        <v>2013</v>
      </c>
      <c r="C32">
        <v>70</v>
      </c>
      <c r="D32">
        <v>72</v>
      </c>
      <c r="E32">
        <v>-5.7</v>
      </c>
      <c r="F32">
        <v>-11.5</v>
      </c>
      <c r="G32">
        <v>0.1</v>
      </c>
      <c r="H32">
        <f t="shared" si="0"/>
        <v>2.9591836734693877</v>
      </c>
      <c r="I32">
        <f t="shared" si="1"/>
        <v>17.62962271555352</v>
      </c>
      <c r="J32">
        <f t="shared" si="2"/>
        <v>0.32331945453212929</v>
      </c>
      <c r="K32">
        <f t="shared" si="3"/>
        <v>0.99463327370304111</v>
      </c>
      <c r="L32">
        <f t="shared" si="4"/>
        <v>0.32158428751317331</v>
      </c>
      <c r="M32">
        <f>K32*H32/I32</f>
        <v>0.16695210057074875</v>
      </c>
    </row>
    <row r="33" spans="1:13" x14ac:dyDescent="0.25">
      <c r="A33" t="s">
        <v>32</v>
      </c>
      <c r="B33">
        <v>2013</v>
      </c>
      <c r="C33">
        <v>26</v>
      </c>
      <c r="D33">
        <v>26</v>
      </c>
      <c r="E33">
        <v>2</v>
      </c>
      <c r="F33">
        <v>-4.5</v>
      </c>
      <c r="G33">
        <v>8.5</v>
      </c>
      <c r="H33">
        <f t="shared" si="0"/>
        <v>3.3163265306122449</v>
      </c>
      <c r="I33">
        <f t="shared" si="1"/>
        <v>11.957185352304046</v>
      </c>
      <c r="J33">
        <f t="shared" si="2"/>
        <v>-0.16726344378483832</v>
      </c>
      <c r="K33">
        <f t="shared" si="3"/>
        <v>0.98492462311557794</v>
      </c>
      <c r="L33">
        <f t="shared" si="4"/>
        <v>-0.16474188433079553</v>
      </c>
      <c r="M33">
        <f>K33*H33/I33</f>
        <v>0.27316894085463544</v>
      </c>
    </row>
    <row r="34" spans="1:13" x14ac:dyDescent="0.25">
      <c r="A34" t="s">
        <v>33</v>
      </c>
      <c r="B34">
        <v>2013</v>
      </c>
      <c r="C34">
        <v>11</v>
      </c>
      <c r="D34">
        <v>14</v>
      </c>
      <c r="E34">
        <v>0.2</v>
      </c>
      <c r="F34">
        <v>-13.5</v>
      </c>
      <c r="G34">
        <v>13.9</v>
      </c>
      <c r="H34">
        <f t="shared" si="0"/>
        <v>6.9897959183673466</v>
      </c>
      <c r="I34">
        <f t="shared" si="1"/>
        <v>17.348217239803542</v>
      </c>
      <c r="J34">
        <f t="shared" si="2"/>
        <v>-1.1528562113063837E-2</v>
      </c>
      <c r="K34">
        <f t="shared" si="3"/>
        <v>0.96703296703296704</v>
      </c>
      <c r="L34">
        <f t="shared" si="4"/>
        <v>-1.1148499625819975E-2</v>
      </c>
      <c r="M34">
        <f>K34*H34/I34</f>
        <v>0.3896286859023817</v>
      </c>
    </row>
    <row r="35" spans="1:13" x14ac:dyDescent="0.25">
      <c r="A35" t="s">
        <v>34</v>
      </c>
      <c r="B35">
        <v>2013</v>
      </c>
      <c r="C35">
        <v>67</v>
      </c>
      <c r="D35">
        <v>65</v>
      </c>
      <c r="E35">
        <v>0.9</v>
      </c>
      <c r="F35">
        <v>-2.9</v>
      </c>
      <c r="G35">
        <v>4.7</v>
      </c>
      <c r="H35">
        <f t="shared" si="0"/>
        <v>1.9387755102040816</v>
      </c>
      <c r="I35">
        <f t="shared" si="1"/>
        <v>11.136138902955638</v>
      </c>
      <c r="J35">
        <f t="shared" si="2"/>
        <v>-8.0817957448531055E-2</v>
      </c>
      <c r="K35">
        <f t="shared" si="3"/>
        <v>0.9942196531791907</v>
      </c>
      <c r="L35">
        <f t="shared" si="4"/>
        <v>-8.0350801625129142E-2</v>
      </c>
      <c r="M35">
        <f>K35*H35/I35</f>
        <v>0.17309129601785186</v>
      </c>
    </row>
    <row r="36" spans="1:13" x14ac:dyDescent="0.25">
      <c r="A36" t="s">
        <v>35</v>
      </c>
      <c r="B36">
        <v>2013</v>
      </c>
      <c r="C36">
        <v>55</v>
      </c>
      <c r="D36">
        <v>54</v>
      </c>
      <c r="E36">
        <v>-4.0999999999999996</v>
      </c>
      <c r="F36">
        <v>-11.7</v>
      </c>
      <c r="G36">
        <v>3.5</v>
      </c>
      <c r="H36">
        <f t="shared" si="0"/>
        <v>3.8775510204081631</v>
      </c>
      <c r="I36">
        <f t="shared" si="1"/>
        <v>20.240558721058914</v>
      </c>
      <c r="J36">
        <f t="shared" si="2"/>
        <v>0.20256357823434146</v>
      </c>
      <c r="K36">
        <f t="shared" si="3"/>
        <v>0.99297423887587821</v>
      </c>
      <c r="L36">
        <f t="shared" si="4"/>
        <v>0.20114041492121962</v>
      </c>
      <c r="M36">
        <f>K36*H36/I36</f>
        <v>0.19022737100563328</v>
      </c>
    </row>
    <row r="37" spans="1:13" x14ac:dyDescent="0.25">
      <c r="A37" t="s">
        <v>36</v>
      </c>
      <c r="B37">
        <v>2013</v>
      </c>
      <c r="C37">
        <v>22</v>
      </c>
      <c r="D37">
        <v>21</v>
      </c>
      <c r="E37">
        <v>-5</v>
      </c>
      <c r="F37">
        <v>-14.6</v>
      </c>
      <c r="G37">
        <v>4.5999999999999996</v>
      </c>
      <c r="H37">
        <f t="shared" si="0"/>
        <v>4.8979591836734695</v>
      </c>
      <c r="I37">
        <f t="shared" si="1"/>
        <v>16.054689906834405</v>
      </c>
      <c r="J37">
        <f t="shared" si="2"/>
        <v>0.31143547642558478</v>
      </c>
      <c r="K37">
        <f t="shared" si="3"/>
        <v>0.98159509202453987</v>
      </c>
      <c r="L37">
        <f t="shared" si="4"/>
        <v>0.30570353514167831</v>
      </c>
      <c r="M37">
        <f>K37*H37/I37</f>
        <v>0.29946468748572569</v>
      </c>
    </row>
    <row r="38" spans="1:13" x14ac:dyDescent="0.25">
      <c r="A38" t="s">
        <v>15</v>
      </c>
      <c r="B38">
        <v>2013</v>
      </c>
      <c r="C38">
        <v>73</v>
      </c>
      <c r="D38">
        <v>69</v>
      </c>
      <c r="E38">
        <v>1.7</v>
      </c>
      <c r="F38">
        <v>-3.2</v>
      </c>
      <c r="G38">
        <v>6.6</v>
      </c>
      <c r="H38">
        <f t="shared" si="0"/>
        <v>2.5000000000000004</v>
      </c>
      <c r="I38">
        <f t="shared" si="1"/>
        <v>14.889558209093105</v>
      </c>
      <c r="J38">
        <f t="shared" si="2"/>
        <v>-0.11417397186182489</v>
      </c>
      <c r="K38">
        <f t="shared" si="3"/>
        <v>0.99463327370304111</v>
      </c>
      <c r="L38">
        <f t="shared" si="4"/>
        <v>-0.11356123140460579</v>
      </c>
      <c r="M38">
        <f>K38*H38/I38</f>
        <v>0.16700181088912622</v>
      </c>
    </row>
    <row r="39" spans="1:13" x14ac:dyDescent="0.25">
      <c r="A39" t="s">
        <v>15</v>
      </c>
      <c r="B39">
        <v>2013</v>
      </c>
      <c r="C39">
        <v>38</v>
      </c>
      <c r="D39">
        <v>36</v>
      </c>
      <c r="E39">
        <v>-0.9</v>
      </c>
      <c r="F39">
        <v>-7.4</v>
      </c>
      <c r="G39">
        <v>5.6</v>
      </c>
      <c r="H39">
        <f t="shared" si="0"/>
        <v>3.3163265306122449</v>
      </c>
      <c r="I39">
        <f t="shared" si="1"/>
        <v>14.258849138415643</v>
      </c>
      <c r="J39">
        <f t="shared" si="2"/>
        <v>6.31186985193114E-2</v>
      </c>
      <c r="K39">
        <f t="shared" si="3"/>
        <v>0.98954703832752611</v>
      </c>
      <c r="L39">
        <f t="shared" si="4"/>
        <v>6.2458921182872607E-2</v>
      </c>
      <c r="M39">
        <f>K39*H39/I39</f>
        <v>0.23014908599131059</v>
      </c>
    </row>
    <row r="40" spans="1:13" x14ac:dyDescent="0.25">
      <c r="A40" t="s">
        <v>15</v>
      </c>
      <c r="B40">
        <v>2013</v>
      </c>
      <c r="C40">
        <v>24</v>
      </c>
      <c r="D40">
        <v>25</v>
      </c>
      <c r="E40">
        <v>2.9</v>
      </c>
      <c r="F40">
        <v>-1.9</v>
      </c>
      <c r="G40">
        <v>7.7</v>
      </c>
      <c r="H40">
        <f t="shared" si="0"/>
        <v>2.4489795918367347</v>
      </c>
      <c r="I40">
        <f t="shared" si="1"/>
        <v>8.5696434149848812</v>
      </c>
      <c r="J40">
        <f t="shared" si="2"/>
        <v>-0.33840381210367038</v>
      </c>
      <c r="K40">
        <f t="shared" si="3"/>
        <v>0.98395721925133695</v>
      </c>
      <c r="L40">
        <f t="shared" si="4"/>
        <v>-0.33297487394157943</v>
      </c>
      <c r="M40">
        <f>K40*H40/I40</f>
        <v>0.28118919685425431</v>
      </c>
    </row>
    <row r="41" spans="1:13" x14ac:dyDescent="0.25">
      <c r="A41" t="s">
        <v>37</v>
      </c>
      <c r="B41">
        <v>2013</v>
      </c>
      <c r="C41">
        <v>50</v>
      </c>
      <c r="D41">
        <v>50</v>
      </c>
      <c r="E41">
        <v>3</v>
      </c>
      <c r="F41">
        <v>-3.3</v>
      </c>
      <c r="G41">
        <v>9.3000000000000007</v>
      </c>
      <c r="H41">
        <f t="shared" si="0"/>
        <v>3.2142857142857149</v>
      </c>
      <c r="I41">
        <f t="shared" si="1"/>
        <v>16.071428571428573</v>
      </c>
      <c r="J41">
        <f t="shared" si="2"/>
        <v>-0.18666666666666665</v>
      </c>
      <c r="K41">
        <f t="shared" si="3"/>
        <v>0.99232736572890023</v>
      </c>
      <c r="L41">
        <f t="shared" si="4"/>
        <v>-0.18523444160272803</v>
      </c>
      <c r="M41">
        <f>K41*H41/I41</f>
        <v>0.19846547314578009</v>
      </c>
    </row>
    <row r="42" spans="1:13" x14ac:dyDescent="0.25">
      <c r="A42" t="s">
        <v>38</v>
      </c>
      <c r="B42">
        <v>2014</v>
      </c>
      <c r="C42">
        <v>13</v>
      </c>
      <c r="D42">
        <v>13</v>
      </c>
      <c r="E42">
        <v>-2.8</v>
      </c>
      <c r="F42">
        <v>-19.899999999999999</v>
      </c>
      <c r="G42">
        <v>14.3</v>
      </c>
      <c r="H42">
        <f t="shared" si="0"/>
        <v>8.7244897959183678</v>
      </c>
      <c r="I42">
        <f t="shared" si="1"/>
        <v>22.243171857764445</v>
      </c>
      <c r="J42">
        <f t="shared" si="2"/>
        <v>0.12588132744308234</v>
      </c>
      <c r="K42">
        <f t="shared" si="3"/>
        <v>0.96842105263157896</v>
      </c>
      <c r="L42">
        <f t="shared" si="4"/>
        <v>0.12190612762909027</v>
      </c>
      <c r="M42">
        <f>K42*H42/I42</f>
        <v>0.37984598805711439</v>
      </c>
    </row>
    <row r="43" spans="1:13" x14ac:dyDescent="0.25">
      <c r="A43" t="s">
        <v>8</v>
      </c>
      <c r="B43">
        <v>2014</v>
      </c>
      <c r="C43">
        <v>149</v>
      </c>
      <c r="D43">
        <v>151</v>
      </c>
      <c r="E43">
        <v>-1</v>
      </c>
      <c r="F43">
        <v>-3.3</v>
      </c>
      <c r="G43">
        <v>1.3</v>
      </c>
      <c r="H43">
        <f t="shared" si="0"/>
        <v>1.1734693877551019</v>
      </c>
      <c r="I43">
        <f t="shared" si="1"/>
        <v>10.162317166794606</v>
      </c>
      <c r="J43">
        <f t="shared" si="2"/>
        <v>9.8402754370578216E-2</v>
      </c>
      <c r="K43">
        <f t="shared" si="3"/>
        <v>0.9974811083123426</v>
      </c>
      <c r="L43">
        <f t="shared" si="4"/>
        <v>9.8154888490551567E-2</v>
      </c>
      <c r="M43">
        <f>K43*H43/I43</f>
        <v>0.11518175690217786</v>
      </c>
    </row>
    <row r="44" spans="1:13" x14ac:dyDescent="0.25">
      <c r="A44" t="s">
        <v>39</v>
      </c>
      <c r="B44">
        <v>2014</v>
      </c>
      <c r="C44">
        <v>242</v>
      </c>
      <c r="D44">
        <v>242</v>
      </c>
      <c r="E44">
        <v>0.6</v>
      </c>
      <c r="F44">
        <v>-2</v>
      </c>
      <c r="G44">
        <v>3.2</v>
      </c>
      <c r="H44">
        <f t="shared" si="0"/>
        <v>1.3265306122448981</v>
      </c>
      <c r="I44">
        <f t="shared" si="1"/>
        <v>14.591836734693878</v>
      </c>
      <c r="J44">
        <f t="shared" si="2"/>
        <v>-4.1118881118881116E-2</v>
      </c>
      <c r="K44">
        <f t="shared" si="3"/>
        <v>0.99844317592112086</v>
      </c>
      <c r="L44">
        <f t="shared" si="4"/>
        <v>-4.1054866254658672E-2</v>
      </c>
      <c r="M44">
        <f>K44*H44/I44</f>
        <v>9.076756144737462E-2</v>
      </c>
    </row>
    <row r="45" spans="1:13" x14ac:dyDescent="0.25">
      <c r="A45" t="s">
        <v>40</v>
      </c>
      <c r="B45">
        <v>2014</v>
      </c>
      <c r="C45">
        <v>39</v>
      </c>
      <c r="D45">
        <v>36</v>
      </c>
      <c r="E45">
        <v>1.3</v>
      </c>
      <c r="F45">
        <v>-6.4</v>
      </c>
      <c r="G45">
        <v>9</v>
      </c>
      <c r="H45">
        <f t="shared" si="0"/>
        <v>3.9285714285714288</v>
      </c>
      <c r="I45">
        <f t="shared" si="1"/>
        <v>16.997598870044524</v>
      </c>
      <c r="J45">
        <f t="shared" si="2"/>
        <v>-7.6481390691660364E-2</v>
      </c>
      <c r="K45">
        <f t="shared" si="3"/>
        <v>0.98969072164948457</v>
      </c>
      <c r="L45">
        <f t="shared" si="4"/>
        <v>-7.5692922746385519E-2</v>
      </c>
      <c r="M45">
        <f>K45*H45/I45</f>
        <v>0.22874234895885737</v>
      </c>
    </row>
    <row r="46" spans="1:13" x14ac:dyDescent="0.25">
      <c r="A46" t="s">
        <v>41</v>
      </c>
      <c r="B46">
        <v>2014</v>
      </c>
      <c r="C46">
        <v>30</v>
      </c>
      <c r="D46">
        <v>30</v>
      </c>
      <c r="E46">
        <v>4</v>
      </c>
      <c r="F46">
        <v>-4.4000000000000004</v>
      </c>
      <c r="G46">
        <v>12.4</v>
      </c>
      <c r="H46">
        <f t="shared" si="0"/>
        <v>4.2857142857142856</v>
      </c>
      <c r="I46">
        <f t="shared" si="1"/>
        <v>16.598500055174647</v>
      </c>
      <c r="J46">
        <f t="shared" si="2"/>
        <v>-0.24098563043068369</v>
      </c>
      <c r="K46">
        <f t="shared" si="3"/>
        <v>0.98701298701298701</v>
      </c>
      <c r="L46">
        <f t="shared" si="4"/>
        <v>-0.23785594691859688</v>
      </c>
      <c r="M46">
        <f>K46*H46/I46</f>
        <v>0.25484565741278237</v>
      </c>
    </row>
    <row r="47" spans="1:13" x14ac:dyDescent="0.25">
      <c r="A47" t="s">
        <v>15</v>
      </c>
      <c r="B47">
        <v>2014</v>
      </c>
      <c r="C47">
        <v>31</v>
      </c>
      <c r="D47">
        <v>30</v>
      </c>
      <c r="E47">
        <v>2.7</v>
      </c>
      <c r="F47">
        <v>-5.2</v>
      </c>
      <c r="G47">
        <v>10.6</v>
      </c>
      <c r="H47">
        <f t="shared" si="0"/>
        <v>4.0306122448979593</v>
      </c>
      <c r="I47">
        <f t="shared" si="1"/>
        <v>15.737928818835586</v>
      </c>
      <c r="J47">
        <f t="shared" si="2"/>
        <v>-0.17156005920986031</v>
      </c>
      <c r="K47">
        <f t="shared" si="3"/>
        <v>0.98723404255319147</v>
      </c>
      <c r="L47">
        <f t="shared" si="4"/>
        <v>-0.16936993079441529</v>
      </c>
      <c r="M47">
        <f>K47*H47/I47</f>
        <v>0.25283870999166302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2025-12-30T22:39:19Z</dcterms:modified>
</cp:coreProperties>
</file>