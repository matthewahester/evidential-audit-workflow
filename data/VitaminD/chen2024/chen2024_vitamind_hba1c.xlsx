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Vitamins\chen2024\"/>
    </mc:Choice>
  </mc:AlternateContent>
  <xr:revisionPtr revIDLastSave="0" documentId="13_ncr:1_{2A43080E-D7B1-48F2-8773-94A42810664A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2" i="1"/>
  <c r="J3" i="1"/>
  <c r="J4" i="1"/>
  <c r="J5" i="1"/>
  <c r="J6" i="1"/>
  <c r="J7" i="1"/>
  <c r="J8" i="1"/>
  <c r="J9" i="1"/>
  <c r="J10" i="1"/>
  <c r="L10" i="1" s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2" i="1"/>
  <c r="H3" i="1"/>
  <c r="I3" i="1" s="1"/>
  <c r="K3" i="1"/>
  <c r="H4" i="1"/>
  <c r="I4" i="1"/>
  <c r="K4" i="1"/>
  <c r="L4" i="1"/>
  <c r="H5" i="1"/>
  <c r="I5" i="1"/>
  <c r="K5" i="1"/>
  <c r="L5" i="1" s="1"/>
  <c r="H6" i="1"/>
  <c r="I6" i="1"/>
  <c r="K6" i="1"/>
  <c r="L6" i="1"/>
  <c r="H7" i="1"/>
  <c r="I7" i="1"/>
  <c r="K7" i="1"/>
  <c r="H8" i="1"/>
  <c r="I8" i="1"/>
  <c r="K8" i="1"/>
  <c r="L8" i="1"/>
  <c r="H9" i="1"/>
  <c r="I9" i="1"/>
  <c r="K9" i="1"/>
  <c r="L9" i="1" s="1"/>
  <c r="H10" i="1"/>
  <c r="I10" i="1"/>
  <c r="K10" i="1"/>
  <c r="H11" i="1"/>
  <c r="I11" i="1"/>
  <c r="K11" i="1"/>
  <c r="H12" i="1"/>
  <c r="I12" i="1"/>
  <c r="K12" i="1"/>
  <c r="L12" i="1"/>
  <c r="H13" i="1"/>
  <c r="I13" i="1"/>
  <c r="K13" i="1"/>
  <c r="H14" i="1"/>
  <c r="I14" i="1"/>
  <c r="K14" i="1"/>
  <c r="L14" i="1"/>
  <c r="H15" i="1"/>
  <c r="I15" i="1"/>
  <c r="K15" i="1"/>
  <c r="L15" i="1" s="1"/>
  <c r="H16" i="1"/>
  <c r="I16" i="1"/>
  <c r="K16" i="1"/>
  <c r="L16" i="1"/>
  <c r="H17" i="1"/>
  <c r="I17" i="1"/>
  <c r="K17" i="1"/>
  <c r="L17" i="1" s="1"/>
  <c r="H18" i="1"/>
  <c r="I18" i="1"/>
  <c r="K18" i="1"/>
  <c r="L18" i="1"/>
  <c r="H19" i="1"/>
  <c r="I19" i="1"/>
  <c r="K19" i="1"/>
  <c r="H20" i="1"/>
  <c r="I20" i="1"/>
  <c r="K20" i="1"/>
  <c r="L20" i="1"/>
  <c r="H21" i="1"/>
  <c r="I21" i="1"/>
  <c r="K21" i="1"/>
  <c r="L21" i="1" s="1"/>
  <c r="H22" i="1"/>
  <c r="I22" i="1"/>
  <c r="K22" i="1"/>
  <c r="L22" i="1"/>
  <c r="H23" i="1"/>
  <c r="I23" i="1"/>
  <c r="K23" i="1"/>
  <c r="L23" i="1" s="1"/>
  <c r="H24" i="1"/>
  <c r="I24" i="1"/>
  <c r="K24" i="1"/>
  <c r="L24" i="1"/>
  <c r="H25" i="1"/>
  <c r="I25" i="1"/>
  <c r="K25" i="1"/>
  <c r="H26" i="1"/>
  <c r="I26" i="1"/>
  <c r="K26" i="1"/>
  <c r="L26" i="1"/>
  <c r="H27" i="1"/>
  <c r="I27" i="1"/>
  <c r="K27" i="1"/>
  <c r="H28" i="1"/>
  <c r="I28" i="1"/>
  <c r="L28" i="1" s="1"/>
  <c r="K28" i="1"/>
  <c r="H29" i="1"/>
  <c r="I29" i="1"/>
  <c r="K29" i="1"/>
  <c r="L29" i="1" s="1"/>
  <c r="H30" i="1"/>
  <c r="I30" i="1"/>
  <c r="K30" i="1"/>
  <c r="L30" i="1"/>
  <c r="H31" i="1"/>
  <c r="I31" i="1"/>
  <c r="K31" i="1"/>
  <c r="L31" i="1" s="1"/>
  <c r="H32" i="1"/>
  <c r="I32" i="1"/>
  <c r="K32" i="1"/>
  <c r="L32" i="1"/>
  <c r="H33" i="1"/>
  <c r="I33" i="1"/>
  <c r="K33" i="1"/>
  <c r="H34" i="1"/>
  <c r="I34" i="1"/>
  <c r="L34" i="1" s="1"/>
  <c r="K34" i="1"/>
  <c r="H35" i="1"/>
  <c r="I35" i="1"/>
  <c r="K35" i="1"/>
  <c r="L35" i="1" s="1"/>
  <c r="H36" i="1"/>
  <c r="I36" i="1"/>
  <c r="K36" i="1"/>
  <c r="L36" i="1"/>
  <c r="H37" i="1"/>
  <c r="I37" i="1"/>
  <c r="K37" i="1"/>
  <c r="K2" i="1"/>
  <c r="H2" i="1"/>
  <c r="I2" i="1" s="1"/>
  <c r="L13" i="1" l="1"/>
  <c r="L25" i="1"/>
  <c r="L37" i="1"/>
  <c r="L7" i="1"/>
  <c r="L33" i="1"/>
  <c r="L27" i="1"/>
  <c r="L19" i="1"/>
  <c r="L11" i="1"/>
  <c r="L3" i="1"/>
  <c r="L2" i="1"/>
</calcChain>
</file>

<file path=xl/sharedStrings.xml><?xml version="1.0" encoding="utf-8"?>
<sst xmlns="http://schemas.openxmlformats.org/spreadsheetml/2006/main" count="49" uniqueCount="48">
  <si>
    <t>Author</t>
  </si>
  <si>
    <t>Year</t>
  </si>
  <si>
    <t>WMD</t>
  </si>
  <si>
    <t>LCI</t>
  </si>
  <si>
    <t>UCI</t>
  </si>
  <si>
    <t>Jorde</t>
  </si>
  <si>
    <t>Eftekhari</t>
  </si>
  <si>
    <t>Shab-Bidar</t>
  </si>
  <si>
    <t>Soric</t>
  </si>
  <si>
    <t>Breslavsky</t>
  </si>
  <si>
    <t>Yiu</t>
  </si>
  <si>
    <t>Ghavamzadeh</t>
  </si>
  <si>
    <t>Kampmann</t>
  </si>
  <si>
    <t>Nasri</t>
  </si>
  <si>
    <t>Nikooyeh</t>
  </si>
  <si>
    <t>Ryu</t>
  </si>
  <si>
    <t>Yousefi Rad</t>
  </si>
  <si>
    <t>Al-Sofiani</t>
  </si>
  <si>
    <t>Sadiya</t>
  </si>
  <si>
    <t>Zhou</t>
  </si>
  <si>
    <t>Anyanwu</t>
  </si>
  <si>
    <t>Dalan</t>
  </si>
  <si>
    <t>Hajimohammadi</t>
  </si>
  <si>
    <t>Momeni</t>
  </si>
  <si>
    <t>Angellotti</t>
  </si>
  <si>
    <t>Salehi</t>
  </si>
  <si>
    <t>Upreti</t>
  </si>
  <si>
    <t>Lo</t>
  </si>
  <si>
    <t>Omidian</t>
  </si>
  <si>
    <t>El Hajj</t>
  </si>
  <si>
    <t>Imanparast</t>
  </si>
  <si>
    <t>Safarpour</t>
  </si>
  <si>
    <t>Cojic</t>
  </si>
  <si>
    <t>Mozaffari</t>
  </si>
  <si>
    <t>Behshad</t>
  </si>
  <si>
    <t>Derosa</t>
  </si>
  <si>
    <t>Mehta</t>
  </si>
  <si>
    <t>Praveenkumar</t>
  </si>
  <si>
    <t>Hu</t>
  </si>
  <si>
    <t>Salarinia</t>
  </si>
  <si>
    <t>n_treat</t>
  </si>
  <si>
    <t>n_control</t>
  </si>
  <si>
    <t>se_md</t>
  </si>
  <si>
    <t>pooled_sd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</si>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</sst>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"/>
  <sheetViews>
    <sheetView tabSelected="1" workbookViewId="0">
      <selection activeCell="L9" sqref="L9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40</v>
      </c>
      <c r="D1" t="s">
        <v>41</v>
      </c>
      <c r="E1" t="s">
        <v>2</v>
      </c>
      <c r="F1" t="s">
        <v>3</v>
      </c>
      <c r="G1" t="s">
        <v>4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</row>
    <row r="2" spans="1:13" x14ac:dyDescent="0.25">
      <c r="A2" t="s">
        <v>5</v>
      </c>
      <c r="B2">
        <v>2009</v>
      </c>
      <c r="C2">
        <v>16</v>
      </c>
      <c r="D2">
        <v>16</v>
      </c>
      <c r="E2">
        <v>0</v>
      </c>
      <c r="F2">
        <v>-0.5</v>
      </c>
      <c r="G2">
        <v>0.5</v>
      </c>
      <c r="H2">
        <f>(G2-F2)/2/1.96</f>
        <v>0.25510204081632654</v>
      </c>
      <c r="I2">
        <f>H2/SQRT(1/D2+1/C2)</f>
        <v>0.72153753182300762</v>
      </c>
      <c r="J2">
        <f>-E2/I2</f>
        <v>0</v>
      </c>
      <c r="K2">
        <f>1-3/(4*(C2+D2-2)-1)</f>
        <v>0.97478991596638653</v>
      </c>
      <c r="L2">
        <f>K2*J2</f>
        <v>0</v>
      </c>
      <c r="M2">
        <f>K2*H2/I2</f>
        <v>0.3446402799060484</v>
      </c>
    </row>
    <row r="3" spans="1:13" x14ac:dyDescent="0.25">
      <c r="A3" t="s">
        <v>6</v>
      </c>
      <c r="B3">
        <v>2011</v>
      </c>
      <c r="C3">
        <v>35</v>
      </c>
      <c r="D3">
        <v>35</v>
      </c>
      <c r="E3">
        <v>-0.74</v>
      </c>
      <c r="F3">
        <v>-1.71</v>
      </c>
      <c r="G3">
        <v>0.23</v>
      </c>
      <c r="H3">
        <f t="shared" ref="H3:H37" si="0">(G3-F3)/2/1.96</f>
        <v>0.49489795918367346</v>
      </c>
      <c r="I3">
        <f t="shared" ref="I3:I37" si="1">H3/SQRT(1/D3+1/C3)</f>
        <v>2.0703066983113603</v>
      </c>
      <c r="J3">
        <f t="shared" ref="J3:J37" si="2">-E3/I3</f>
        <v>0.35743496391311436</v>
      </c>
      <c r="K3">
        <f t="shared" ref="K3:K37" si="3">1-3/(4*(C3+D3-2)-1)</f>
        <v>0.98892988929889303</v>
      </c>
      <c r="L3">
        <f t="shared" ref="L3:L37" si="4">K3*J3</f>
        <v>0.35347811929415002</v>
      </c>
      <c r="M3">
        <f>K3*H3/I3</f>
        <v>0.23639945926318637</v>
      </c>
    </row>
    <row r="4" spans="1:13" x14ac:dyDescent="0.25">
      <c r="A4" t="s">
        <v>7</v>
      </c>
      <c r="B4">
        <v>2011</v>
      </c>
      <c r="C4">
        <v>31</v>
      </c>
      <c r="D4">
        <v>29</v>
      </c>
      <c r="E4">
        <v>-0.5</v>
      </c>
      <c r="F4">
        <v>-1.1299999999999999</v>
      </c>
      <c r="G4">
        <v>0.13</v>
      </c>
      <c r="H4">
        <f t="shared" si="0"/>
        <v>0.3214285714285714</v>
      </c>
      <c r="I4">
        <f t="shared" si="1"/>
        <v>1.2441957077500603</v>
      </c>
      <c r="J4">
        <f t="shared" si="2"/>
        <v>0.40186603834550622</v>
      </c>
      <c r="K4">
        <f t="shared" si="3"/>
        <v>0.98701298701298701</v>
      </c>
      <c r="L4">
        <f t="shared" si="4"/>
        <v>0.39664699888647365</v>
      </c>
      <c r="M4">
        <f>K4*H4/I4</f>
        <v>0.25498735642701881</v>
      </c>
    </row>
    <row r="5" spans="1:13" x14ac:dyDescent="0.25">
      <c r="A5" t="s">
        <v>8</v>
      </c>
      <c r="B5">
        <v>2012</v>
      </c>
      <c r="C5">
        <v>19</v>
      </c>
      <c r="D5">
        <v>18</v>
      </c>
      <c r="E5">
        <v>-0.5</v>
      </c>
      <c r="F5">
        <v>-1.1100000000000001</v>
      </c>
      <c r="G5">
        <v>0.11</v>
      </c>
      <c r="H5">
        <f t="shared" si="0"/>
        <v>0.31122448979591844</v>
      </c>
      <c r="I5">
        <f t="shared" si="1"/>
        <v>0.94620655996779934</v>
      </c>
      <c r="J5">
        <f t="shared" si="2"/>
        <v>0.52842584394787506</v>
      </c>
      <c r="K5">
        <f t="shared" si="3"/>
        <v>0.97841726618705038</v>
      </c>
      <c r="L5">
        <f t="shared" si="4"/>
        <v>0.51702096961806487</v>
      </c>
      <c r="M5">
        <f>K5*H5/I5</f>
        <v>0.32181917496634654</v>
      </c>
    </row>
    <row r="6" spans="1:13" x14ac:dyDescent="0.25">
      <c r="A6" t="s">
        <v>9</v>
      </c>
      <c r="B6">
        <v>2013</v>
      </c>
      <c r="C6">
        <v>24</v>
      </c>
      <c r="D6">
        <v>23</v>
      </c>
      <c r="E6">
        <v>0.6</v>
      </c>
      <c r="F6">
        <v>-0.24</v>
      </c>
      <c r="G6">
        <v>1.44</v>
      </c>
      <c r="H6">
        <f t="shared" si="0"/>
        <v>0.42857142857142855</v>
      </c>
      <c r="I6">
        <f t="shared" si="1"/>
        <v>1.4687362863246847</v>
      </c>
      <c r="J6">
        <f t="shared" si="2"/>
        <v>-0.40851445258523528</v>
      </c>
      <c r="K6">
        <f t="shared" si="3"/>
        <v>0.98324022346368711</v>
      </c>
      <c r="L6">
        <f t="shared" si="4"/>
        <v>-0.40166784164805253</v>
      </c>
      <c r="M6">
        <f>K6*H6/I6</f>
        <v>0.28690560117718039</v>
      </c>
    </row>
    <row r="7" spans="1:13" x14ac:dyDescent="0.25">
      <c r="A7" t="s">
        <v>10</v>
      </c>
      <c r="B7">
        <v>2013</v>
      </c>
      <c r="C7">
        <v>50</v>
      </c>
      <c r="D7">
        <v>50</v>
      </c>
      <c r="E7">
        <v>-0.15</v>
      </c>
      <c r="F7">
        <v>-0.51</v>
      </c>
      <c r="G7">
        <v>0.21</v>
      </c>
      <c r="H7">
        <f t="shared" si="0"/>
        <v>0.18367346938775511</v>
      </c>
      <c r="I7">
        <f t="shared" si="1"/>
        <v>0.91836734693877553</v>
      </c>
      <c r="J7">
        <f t="shared" si="2"/>
        <v>0.16333333333333333</v>
      </c>
      <c r="K7">
        <f t="shared" si="3"/>
        <v>0.99232736572890023</v>
      </c>
      <c r="L7">
        <f t="shared" si="4"/>
        <v>0.16208013640238703</v>
      </c>
      <c r="M7">
        <f>K7*H7/I7</f>
        <v>0.19846547314578003</v>
      </c>
    </row>
    <row r="8" spans="1:13" x14ac:dyDescent="0.25">
      <c r="A8" t="s">
        <v>11</v>
      </c>
      <c r="B8">
        <v>2014</v>
      </c>
      <c r="C8">
        <v>26</v>
      </c>
      <c r="D8">
        <v>25</v>
      </c>
      <c r="E8">
        <v>-1.24</v>
      </c>
      <c r="F8">
        <v>-2.74</v>
      </c>
      <c r="G8">
        <v>0.26</v>
      </c>
      <c r="H8">
        <f t="shared" si="0"/>
        <v>0.76530612244897955</v>
      </c>
      <c r="I8">
        <f t="shared" si="1"/>
        <v>2.7321640840385837</v>
      </c>
      <c r="J8">
        <f t="shared" si="2"/>
        <v>0.45385268302300424</v>
      </c>
      <c r="K8">
        <f t="shared" si="3"/>
        <v>0.98461538461538467</v>
      </c>
      <c r="L8">
        <f t="shared" si="4"/>
        <v>0.44687033405341958</v>
      </c>
      <c r="M8">
        <f>K8*H8/I8</f>
        <v>0.27580048596121187</v>
      </c>
    </row>
    <row r="9" spans="1:13" x14ac:dyDescent="0.25">
      <c r="A9" t="s">
        <v>12</v>
      </c>
      <c r="B9">
        <v>2014</v>
      </c>
      <c r="C9">
        <v>7</v>
      </c>
      <c r="D9">
        <v>8</v>
      </c>
      <c r="E9">
        <v>0.01</v>
      </c>
      <c r="F9">
        <v>0</v>
      </c>
      <c r="G9">
        <v>0.02</v>
      </c>
      <c r="H9">
        <f t="shared" si="0"/>
        <v>5.1020408163265311E-3</v>
      </c>
      <c r="I9">
        <f t="shared" si="1"/>
        <v>9.8580794191764892E-3</v>
      </c>
      <c r="J9">
        <f t="shared" si="2"/>
        <v>-1.0143963722332607</v>
      </c>
      <c r="K9">
        <f t="shared" si="3"/>
        <v>0.94117647058823528</v>
      </c>
      <c r="L9">
        <f t="shared" si="4"/>
        <v>-0.95472599739601005</v>
      </c>
      <c r="M9">
        <f>K9*H9/I9</f>
        <v>0.48710510071225005</v>
      </c>
    </row>
    <row r="10" spans="1:13" x14ac:dyDescent="0.25">
      <c r="A10" t="s">
        <v>13</v>
      </c>
      <c r="B10">
        <v>2014</v>
      </c>
      <c r="C10">
        <v>30</v>
      </c>
      <c r="D10">
        <v>30</v>
      </c>
      <c r="E10">
        <v>-0.32</v>
      </c>
      <c r="F10">
        <v>-0.75</v>
      </c>
      <c r="G10">
        <v>0.11</v>
      </c>
      <c r="H10">
        <f t="shared" si="0"/>
        <v>0.21938775510204081</v>
      </c>
      <c r="I10">
        <f t="shared" si="1"/>
        <v>0.84968512187203538</v>
      </c>
      <c r="J10">
        <f t="shared" si="2"/>
        <v>0.37661010151027779</v>
      </c>
      <c r="K10">
        <f t="shared" si="3"/>
        <v>0.98701298701298701</v>
      </c>
      <c r="L10">
        <f t="shared" si="4"/>
        <v>0.37171906123092352</v>
      </c>
      <c r="M10">
        <f>K10*H10/I10</f>
        <v>0.25484565741278242</v>
      </c>
    </row>
    <row r="11" spans="1:13" x14ac:dyDescent="0.25">
      <c r="A11" t="s">
        <v>14</v>
      </c>
      <c r="B11">
        <v>2014</v>
      </c>
      <c r="C11">
        <v>30</v>
      </c>
      <c r="D11">
        <v>30</v>
      </c>
      <c r="E11">
        <v>-1.7</v>
      </c>
      <c r="F11">
        <v>-2.4</v>
      </c>
      <c r="G11">
        <v>-1</v>
      </c>
      <c r="H11">
        <f t="shared" si="0"/>
        <v>0.35714285714285715</v>
      </c>
      <c r="I11">
        <f t="shared" si="1"/>
        <v>1.3832083379312206</v>
      </c>
      <c r="J11">
        <f t="shared" si="2"/>
        <v>1.2290267151964867</v>
      </c>
      <c r="K11">
        <f t="shared" si="3"/>
        <v>0.98701298701298701</v>
      </c>
      <c r="L11">
        <f t="shared" si="4"/>
        <v>1.2130653292848439</v>
      </c>
      <c r="M11">
        <f>K11*H11/I11</f>
        <v>0.25484565741278237</v>
      </c>
    </row>
    <row r="12" spans="1:13" x14ac:dyDescent="0.25">
      <c r="A12" t="s">
        <v>15</v>
      </c>
      <c r="B12">
        <v>2014</v>
      </c>
      <c r="C12">
        <v>79</v>
      </c>
      <c r="D12">
        <v>79</v>
      </c>
      <c r="E12">
        <v>0.12</v>
      </c>
      <c r="F12">
        <v>-0.15</v>
      </c>
      <c r="G12">
        <v>0.39</v>
      </c>
      <c r="H12">
        <f t="shared" si="0"/>
        <v>0.13775510204081634</v>
      </c>
      <c r="I12">
        <f t="shared" si="1"/>
        <v>0.86577739140144505</v>
      </c>
      <c r="J12">
        <f t="shared" si="2"/>
        <v>-0.13860375795417162</v>
      </c>
      <c r="K12">
        <f t="shared" si="3"/>
        <v>0.9951845906902087</v>
      </c>
      <c r="L12">
        <f t="shared" si="4"/>
        <v>-0.13793632412774703</v>
      </c>
      <c r="M12">
        <f>K12*H12/I12</f>
        <v>0.15834527004460758</v>
      </c>
    </row>
    <row r="13" spans="1:13" x14ac:dyDescent="0.25">
      <c r="A13" t="s">
        <v>16</v>
      </c>
      <c r="B13">
        <v>2014</v>
      </c>
      <c r="C13">
        <v>28</v>
      </c>
      <c r="D13">
        <v>30</v>
      </c>
      <c r="E13">
        <v>-0.42</v>
      </c>
      <c r="F13">
        <v>-0.64</v>
      </c>
      <c r="G13">
        <v>-0.2</v>
      </c>
      <c r="H13">
        <f t="shared" si="0"/>
        <v>0.11224489795918367</v>
      </c>
      <c r="I13">
        <f t="shared" si="1"/>
        <v>0.4271616503153704</v>
      </c>
      <c r="J13">
        <f t="shared" si="2"/>
        <v>0.98323433222508849</v>
      </c>
      <c r="K13">
        <f t="shared" si="3"/>
        <v>0.98654708520179368</v>
      </c>
      <c r="L13">
        <f t="shared" si="4"/>
        <v>0.97000696452699309</v>
      </c>
      <c r="M13">
        <f>K13*H13/I13</f>
        <v>0.25923412560245201</v>
      </c>
    </row>
    <row r="14" spans="1:13" x14ac:dyDescent="0.25">
      <c r="A14" t="s">
        <v>17</v>
      </c>
      <c r="B14">
        <v>2015</v>
      </c>
      <c r="C14">
        <v>10</v>
      </c>
      <c r="D14">
        <v>10</v>
      </c>
      <c r="E14">
        <v>-0.2</v>
      </c>
      <c r="F14">
        <v>-1.81</v>
      </c>
      <c r="G14">
        <v>1.41</v>
      </c>
      <c r="H14">
        <f t="shared" si="0"/>
        <v>0.8214285714285714</v>
      </c>
      <c r="I14">
        <f t="shared" si="1"/>
        <v>1.8367701243748271</v>
      </c>
      <c r="J14">
        <f t="shared" si="2"/>
        <v>0.10888678846955499</v>
      </c>
      <c r="K14">
        <f t="shared" si="3"/>
        <v>0.95774647887323949</v>
      </c>
      <c r="L14">
        <f t="shared" si="4"/>
        <v>0.10428593825253155</v>
      </c>
      <c r="M14">
        <f>K14*H14/I14</f>
        <v>0.42831724639432595</v>
      </c>
    </row>
    <row r="15" spans="1:13" x14ac:dyDescent="0.25">
      <c r="A15" t="s">
        <v>18</v>
      </c>
      <c r="B15">
        <v>2015</v>
      </c>
      <c r="C15">
        <v>45</v>
      </c>
      <c r="D15">
        <v>42</v>
      </c>
      <c r="E15">
        <v>-0.2</v>
      </c>
      <c r="F15">
        <v>-0.92</v>
      </c>
      <c r="G15">
        <v>0.52</v>
      </c>
      <c r="H15">
        <f t="shared" si="0"/>
        <v>0.36734693877551022</v>
      </c>
      <c r="I15">
        <f t="shared" si="1"/>
        <v>1.7121732233855476</v>
      </c>
      <c r="J15">
        <f t="shared" si="2"/>
        <v>0.11681061078886174</v>
      </c>
      <c r="K15">
        <f t="shared" si="3"/>
        <v>0.99115044247787609</v>
      </c>
      <c r="L15">
        <f t="shared" si="4"/>
        <v>0.11577688856949128</v>
      </c>
      <c r="M15">
        <f>K15*H15/I15</f>
        <v>0.21265142798477987</v>
      </c>
    </row>
    <row r="16" spans="1:13" x14ac:dyDescent="0.25">
      <c r="A16" t="s">
        <v>7</v>
      </c>
      <c r="B16">
        <v>2015</v>
      </c>
      <c r="C16">
        <v>31</v>
      </c>
      <c r="D16">
        <v>29</v>
      </c>
      <c r="E16">
        <v>-0.79</v>
      </c>
      <c r="F16">
        <v>-1.73</v>
      </c>
      <c r="G16">
        <v>0.15</v>
      </c>
      <c r="H16">
        <f t="shared" si="0"/>
        <v>0.47959183673469385</v>
      </c>
      <c r="I16">
        <f t="shared" si="1"/>
        <v>1.8564189925159631</v>
      </c>
      <c r="J16">
        <f t="shared" si="2"/>
        <v>0.42555048358416692</v>
      </c>
      <c r="K16">
        <f t="shared" si="3"/>
        <v>0.98701298701298701</v>
      </c>
      <c r="L16">
        <f t="shared" si="4"/>
        <v>0.42002385392722968</v>
      </c>
      <c r="M16">
        <f>K16*H16/I16</f>
        <v>0.25498735642701875</v>
      </c>
    </row>
    <row r="17" spans="1:13" x14ac:dyDescent="0.25">
      <c r="A17" t="s">
        <v>19</v>
      </c>
      <c r="B17">
        <v>2015</v>
      </c>
      <c r="C17">
        <v>27</v>
      </c>
      <c r="D17">
        <v>29</v>
      </c>
      <c r="E17">
        <v>-0.82</v>
      </c>
      <c r="F17">
        <v>-1.1599999999999999</v>
      </c>
      <c r="G17">
        <v>-0.48</v>
      </c>
      <c r="H17">
        <f t="shared" si="0"/>
        <v>0.17346938775510204</v>
      </c>
      <c r="I17">
        <f t="shared" si="1"/>
        <v>0.64864894074152524</v>
      </c>
      <c r="J17">
        <f t="shared" si="2"/>
        <v>1.2641660974002191</v>
      </c>
      <c r="K17">
        <f t="shared" si="3"/>
        <v>0.98604651162790702</v>
      </c>
      <c r="L17">
        <f t="shared" si="4"/>
        <v>1.246526570459751</v>
      </c>
      <c r="M17">
        <f>K17*H17/I17</f>
        <v>0.26370024511965867</v>
      </c>
    </row>
    <row r="18" spans="1:13" x14ac:dyDescent="0.25">
      <c r="A18" t="s">
        <v>20</v>
      </c>
      <c r="B18">
        <v>2016</v>
      </c>
      <c r="C18">
        <v>17</v>
      </c>
      <c r="D18">
        <v>16</v>
      </c>
      <c r="E18">
        <v>-1.04</v>
      </c>
      <c r="F18">
        <v>-2.09</v>
      </c>
      <c r="G18">
        <v>0.01</v>
      </c>
      <c r="H18">
        <f t="shared" si="0"/>
        <v>0.53571428571428559</v>
      </c>
      <c r="I18">
        <f t="shared" si="1"/>
        <v>1.5380154912113</v>
      </c>
      <c r="J18">
        <f t="shared" si="2"/>
        <v>0.6761960500026718</v>
      </c>
      <c r="K18">
        <f t="shared" si="3"/>
        <v>0.97560975609756095</v>
      </c>
      <c r="L18">
        <f t="shared" si="4"/>
        <v>0.65970346341724073</v>
      </c>
      <c r="M18">
        <f>K18*H18/I18</f>
        <v>0.33981977854596868</v>
      </c>
    </row>
    <row r="19" spans="1:13" x14ac:dyDescent="0.25">
      <c r="A19" t="s">
        <v>21</v>
      </c>
      <c r="B19">
        <v>2016</v>
      </c>
      <c r="C19">
        <v>31</v>
      </c>
      <c r="D19">
        <v>30</v>
      </c>
      <c r="E19">
        <v>0</v>
      </c>
      <c r="F19">
        <v>-0.46</v>
      </c>
      <c r="G19">
        <v>0.46</v>
      </c>
      <c r="H19">
        <f t="shared" si="0"/>
        <v>0.23469387755102042</v>
      </c>
      <c r="I19">
        <f t="shared" si="1"/>
        <v>0.91638572869169233</v>
      </c>
      <c r="J19">
        <f t="shared" si="2"/>
        <v>0</v>
      </c>
      <c r="K19">
        <f t="shared" si="3"/>
        <v>0.98723404255319147</v>
      </c>
      <c r="L19">
        <f t="shared" si="4"/>
        <v>0</v>
      </c>
      <c r="M19">
        <f>K19*H19/I19</f>
        <v>0.25283870999166302</v>
      </c>
    </row>
    <row r="20" spans="1:13" x14ac:dyDescent="0.25">
      <c r="A20" t="s">
        <v>22</v>
      </c>
      <c r="B20">
        <v>2017</v>
      </c>
      <c r="C20">
        <v>50</v>
      </c>
      <c r="D20">
        <v>50</v>
      </c>
      <c r="E20">
        <v>-0.5</v>
      </c>
      <c r="F20">
        <v>-1.1299999999999999</v>
      </c>
      <c r="G20">
        <v>0.13</v>
      </c>
      <c r="H20">
        <f t="shared" si="0"/>
        <v>0.3214285714285714</v>
      </c>
      <c r="I20">
        <f t="shared" si="1"/>
        <v>1.607142857142857</v>
      </c>
      <c r="J20">
        <f t="shared" si="2"/>
        <v>0.31111111111111112</v>
      </c>
      <c r="K20">
        <f t="shared" si="3"/>
        <v>0.99232736572890023</v>
      </c>
      <c r="L20">
        <f t="shared" si="4"/>
        <v>0.3087240693378801</v>
      </c>
      <c r="M20">
        <f>K20*H20/I20</f>
        <v>0.19846547314578003</v>
      </c>
    </row>
    <row r="21" spans="1:13" x14ac:dyDescent="0.25">
      <c r="A21" t="s">
        <v>23</v>
      </c>
      <c r="B21">
        <v>2017</v>
      </c>
      <c r="C21">
        <v>29</v>
      </c>
      <c r="D21">
        <v>28</v>
      </c>
      <c r="E21">
        <v>0.16</v>
      </c>
      <c r="F21">
        <v>-0.37</v>
      </c>
      <c r="G21">
        <v>0.69</v>
      </c>
      <c r="H21">
        <f t="shared" si="0"/>
        <v>0.27040816326530615</v>
      </c>
      <c r="I21">
        <f t="shared" si="1"/>
        <v>1.0206113295775696</v>
      </c>
      <c r="J21">
        <f t="shared" si="2"/>
        <v>-0.15676878686642046</v>
      </c>
      <c r="K21">
        <f t="shared" si="3"/>
        <v>0.98630136986301364</v>
      </c>
      <c r="L21">
        <f t="shared" si="4"/>
        <v>-0.15462126923811331</v>
      </c>
      <c r="M21">
        <f>K21*H21/I21</f>
        <v>0.26131783385267876</v>
      </c>
    </row>
    <row r="22" spans="1:13" x14ac:dyDescent="0.25">
      <c r="A22" t="s">
        <v>24</v>
      </c>
      <c r="B22">
        <v>2018</v>
      </c>
      <c r="C22">
        <v>66</v>
      </c>
      <c r="D22">
        <v>61</v>
      </c>
      <c r="E22">
        <v>0</v>
      </c>
      <c r="F22">
        <v>-0.18</v>
      </c>
      <c r="G22">
        <v>0.18</v>
      </c>
      <c r="H22">
        <f t="shared" si="0"/>
        <v>9.1836734693877556E-2</v>
      </c>
      <c r="I22">
        <f t="shared" si="1"/>
        <v>0.51707252106202517</v>
      </c>
      <c r="J22">
        <f t="shared" si="2"/>
        <v>0</v>
      </c>
      <c r="K22">
        <f t="shared" si="3"/>
        <v>0.9939879759519038</v>
      </c>
      <c r="L22">
        <f t="shared" si="4"/>
        <v>0</v>
      </c>
      <c r="M22">
        <f>K22*H22/I22</f>
        <v>0.17654121292098082</v>
      </c>
    </row>
    <row r="23" spans="1:13" x14ac:dyDescent="0.25">
      <c r="A23" t="s">
        <v>25</v>
      </c>
      <c r="B23">
        <v>2018</v>
      </c>
      <c r="C23">
        <v>51</v>
      </c>
      <c r="D23">
        <v>50</v>
      </c>
      <c r="E23">
        <v>0.2</v>
      </c>
      <c r="F23">
        <v>-0.35</v>
      </c>
      <c r="G23">
        <v>0.75</v>
      </c>
      <c r="H23">
        <f t="shared" si="0"/>
        <v>0.28061224489795922</v>
      </c>
      <c r="I23">
        <f t="shared" si="1"/>
        <v>1.4099899640328679</v>
      </c>
      <c r="J23">
        <f t="shared" si="2"/>
        <v>-0.14184498124224795</v>
      </c>
      <c r="K23">
        <f t="shared" si="3"/>
        <v>0.9924050632911392</v>
      </c>
      <c r="L23">
        <f t="shared" si="4"/>
        <v>-0.14076767758724354</v>
      </c>
      <c r="M23">
        <f>K23*H23/I23</f>
        <v>0.19750567008414274</v>
      </c>
    </row>
    <row r="24" spans="1:13" x14ac:dyDescent="0.25">
      <c r="A24" t="s">
        <v>26</v>
      </c>
      <c r="B24">
        <v>2018</v>
      </c>
      <c r="C24">
        <v>30</v>
      </c>
      <c r="D24">
        <v>30</v>
      </c>
      <c r="E24">
        <v>-0.34</v>
      </c>
      <c r="F24">
        <v>-0.61</v>
      </c>
      <c r="G24">
        <v>-7.0000000000000007E-2</v>
      </c>
      <c r="H24">
        <f t="shared" si="0"/>
        <v>0.13775510204081634</v>
      </c>
      <c r="I24">
        <f t="shared" si="1"/>
        <v>0.53352321605918507</v>
      </c>
      <c r="J24">
        <f t="shared" si="2"/>
        <v>0.63727311158336353</v>
      </c>
      <c r="K24">
        <f t="shared" si="3"/>
        <v>0.98701298701298701</v>
      </c>
      <c r="L24">
        <f t="shared" si="4"/>
        <v>0.62899683740695622</v>
      </c>
      <c r="M24">
        <f>K24*H24/I24</f>
        <v>0.25484565741278237</v>
      </c>
    </row>
    <row r="25" spans="1:13" x14ac:dyDescent="0.25">
      <c r="A25" t="s">
        <v>27</v>
      </c>
      <c r="B25">
        <v>2019</v>
      </c>
      <c r="C25">
        <v>14</v>
      </c>
      <c r="D25">
        <v>16</v>
      </c>
      <c r="E25">
        <v>0</v>
      </c>
      <c r="F25">
        <v>-0.87</v>
      </c>
      <c r="G25">
        <v>0.87</v>
      </c>
      <c r="H25">
        <f t="shared" si="0"/>
        <v>0.44387755102040816</v>
      </c>
      <c r="I25">
        <f t="shared" si="1"/>
        <v>1.2129043763788911</v>
      </c>
      <c r="J25">
        <f t="shared" si="2"/>
        <v>0</v>
      </c>
      <c r="K25">
        <f t="shared" si="3"/>
        <v>0.97297297297297303</v>
      </c>
      <c r="L25">
        <f t="shared" si="4"/>
        <v>0</v>
      </c>
      <c r="M25">
        <f>K25*H25/I25</f>
        <v>0.35607164823797832</v>
      </c>
    </row>
    <row r="26" spans="1:13" x14ac:dyDescent="0.25">
      <c r="A26" t="s">
        <v>28</v>
      </c>
      <c r="B26">
        <v>2019</v>
      </c>
      <c r="C26">
        <v>32</v>
      </c>
      <c r="D26">
        <v>34</v>
      </c>
      <c r="E26">
        <v>-0.43</v>
      </c>
      <c r="F26">
        <v>-0.78</v>
      </c>
      <c r="G26">
        <v>-0.08</v>
      </c>
      <c r="H26">
        <f t="shared" si="0"/>
        <v>0.1785714285714286</v>
      </c>
      <c r="I26">
        <f t="shared" si="1"/>
        <v>0.72502745560364623</v>
      </c>
      <c r="J26">
        <f t="shared" si="2"/>
        <v>0.59308098841855428</v>
      </c>
      <c r="K26">
        <f t="shared" si="3"/>
        <v>0.9882352941176471</v>
      </c>
      <c r="L26">
        <f t="shared" si="4"/>
        <v>0.58610356502539485</v>
      </c>
      <c r="M26">
        <f>K26*H26/I26</f>
        <v>0.24339849045905107</v>
      </c>
    </row>
    <row r="27" spans="1:13" x14ac:dyDescent="0.25">
      <c r="A27" t="s">
        <v>29</v>
      </c>
      <c r="B27">
        <v>2020</v>
      </c>
      <c r="C27">
        <v>45</v>
      </c>
      <c r="D27">
        <v>43</v>
      </c>
      <c r="E27">
        <v>0.12</v>
      </c>
      <c r="F27">
        <v>-0.31</v>
      </c>
      <c r="G27">
        <v>0.55000000000000004</v>
      </c>
      <c r="H27">
        <f t="shared" si="0"/>
        <v>0.21938775510204084</v>
      </c>
      <c r="I27">
        <f t="shared" si="1"/>
        <v>1.0287539904741987</v>
      </c>
      <c r="J27">
        <f t="shared" si="2"/>
        <v>-0.11664596308849955</v>
      </c>
      <c r="K27">
        <f t="shared" si="3"/>
        <v>0.99125364431486884</v>
      </c>
      <c r="L27">
        <f t="shared" si="4"/>
        <v>-0.11562573600609286</v>
      </c>
      <c r="M27">
        <f>K27*H27/I27</f>
        <v>0.21139058878664937</v>
      </c>
    </row>
    <row r="28" spans="1:13" x14ac:dyDescent="0.25">
      <c r="A28" t="s">
        <v>30</v>
      </c>
      <c r="B28">
        <v>2020</v>
      </c>
      <c r="C28">
        <v>23</v>
      </c>
      <c r="D28">
        <v>23</v>
      </c>
      <c r="E28">
        <v>-0.2</v>
      </c>
      <c r="F28">
        <v>-1.35</v>
      </c>
      <c r="G28">
        <v>0.95</v>
      </c>
      <c r="H28">
        <f t="shared" si="0"/>
        <v>0.58673469387755095</v>
      </c>
      <c r="I28">
        <f t="shared" si="1"/>
        <v>1.9897141532127698</v>
      </c>
      <c r="J28">
        <f t="shared" si="2"/>
        <v>0.10051695097864292</v>
      </c>
      <c r="K28">
        <f t="shared" si="3"/>
        <v>0.98285714285714287</v>
      </c>
      <c r="L28">
        <f t="shared" si="4"/>
        <v>9.8793803247580469E-2</v>
      </c>
      <c r="M28">
        <f>K28*H28/I28</f>
        <v>0.28982875952734066</v>
      </c>
    </row>
    <row r="29" spans="1:13" x14ac:dyDescent="0.25">
      <c r="A29" t="s">
        <v>31</v>
      </c>
      <c r="B29">
        <v>2020</v>
      </c>
      <c r="C29">
        <v>42</v>
      </c>
      <c r="D29">
        <v>43</v>
      </c>
      <c r="E29">
        <v>-0.81</v>
      </c>
      <c r="F29">
        <v>-1.25</v>
      </c>
      <c r="G29">
        <v>-0.37</v>
      </c>
      <c r="H29">
        <f t="shared" si="0"/>
        <v>0.22448979591836735</v>
      </c>
      <c r="I29">
        <f t="shared" si="1"/>
        <v>1.0347752086634152</v>
      </c>
      <c r="J29">
        <f t="shared" si="2"/>
        <v>0.7827787071225355</v>
      </c>
      <c r="K29">
        <f t="shared" si="3"/>
        <v>0.99093655589123864</v>
      </c>
      <c r="L29">
        <f t="shared" si="4"/>
        <v>0.77568403606100189</v>
      </c>
      <c r="M29">
        <f>K29*H29/I29</f>
        <v>0.21497919870675283</v>
      </c>
    </row>
    <row r="30" spans="1:13" x14ac:dyDescent="0.25">
      <c r="A30" t="s">
        <v>32</v>
      </c>
      <c r="B30">
        <v>2021</v>
      </c>
      <c r="C30">
        <v>49</v>
      </c>
      <c r="D30">
        <v>65</v>
      </c>
      <c r="E30">
        <v>-0.21</v>
      </c>
      <c r="F30">
        <v>-0.54</v>
      </c>
      <c r="G30">
        <v>0.12</v>
      </c>
      <c r="H30">
        <f t="shared" si="0"/>
        <v>0.16836734693877553</v>
      </c>
      <c r="I30">
        <f t="shared" si="1"/>
        <v>0.88993883978658206</v>
      </c>
      <c r="J30">
        <f t="shared" si="2"/>
        <v>0.23597127197006088</v>
      </c>
      <c r="K30">
        <f t="shared" si="3"/>
        <v>0.99328859060402686</v>
      </c>
      <c r="L30">
        <f t="shared" si="4"/>
        <v>0.23438757215818126</v>
      </c>
      <c r="M30">
        <f>K30*H30/I30</f>
        <v>0.187920065141399</v>
      </c>
    </row>
    <row r="31" spans="1:13" x14ac:dyDescent="0.25">
      <c r="A31" t="s">
        <v>33</v>
      </c>
      <c r="B31">
        <v>2021</v>
      </c>
      <c r="C31">
        <v>40</v>
      </c>
      <c r="D31">
        <v>40</v>
      </c>
      <c r="E31">
        <v>-0.41</v>
      </c>
      <c r="F31">
        <v>-0.61</v>
      </c>
      <c r="G31">
        <v>-0.21</v>
      </c>
      <c r="H31">
        <f t="shared" si="0"/>
        <v>0.10204081632653061</v>
      </c>
      <c r="I31">
        <f t="shared" si="1"/>
        <v>0.45634040357138567</v>
      </c>
      <c r="J31">
        <f t="shared" si="2"/>
        <v>0.89845211335941544</v>
      </c>
      <c r="K31">
        <f t="shared" si="3"/>
        <v>0.99035369774919613</v>
      </c>
      <c r="L31">
        <f t="shared" si="4"/>
        <v>0.88978537271607705</v>
      </c>
      <c r="M31">
        <f>K31*H31/I31</f>
        <v>0.22144981899354832</v>
      </c>
    </row>
    <row r="32" spans="1:13" x14ac:dyDescent="0.25">
      <c r="A32" t="s">
        <v>34</v>
      </c>
      <c r="B32">
        <v>2022</v>
      </c>
      <c r="C32">
        <v>30</v>
      </c>
      <c r="D32">
        <v>32</v>
      </c>
      <c r="E32">
        <v>-0.22</v>
      </c>
      <c r="F32">
        <v>-0.89</v>
      </c>
      <c r="G32">
        <v>0.45</v>
      </c>
      <c r="H32">
        <f t="shared" si="0"/>
        <v>0.3418367346938776</v>
      </c>
      <c r="I32">
        <f t="shared" si="1"/>
        <v>1.3451121733936182</v>
      </c>
      <c r="J32">
        <f t="shared" si="2"/>
        <v>0.16355513268826966</v>
      </c>
      <c r="K32">
        <f t="shared" si="3"/>
        <v>0.9874476987447699</v>
      </c>
      <c r="L32">
        <f t="shared" si="4"/>
        <v>0.16150213939092736</v>
      </c>
      <c r="M32">
        <f>K32*H32/I32</f>
        <v>0.25094256352486399</v>
      </c>
    </row>
    <row r="33" spans="1:13" x14ac:dyDescent="0.25">
      <c r="A33" t="s">
        <v>35</v>
      </c>
      <c r="B33">
        <v>2022</v>
      </c>
      <c r="C33">
        <v>122</v>
      </c>
      <c r="D33">
        <v>117</v>
      </c>
      <c r="E33">
        <v>-0.3</v>
      </c>
      <c r="F33">
        <v>-0.46</v>
      </c>
      <c r="G33">
        <v>-0.14000000000000001</v>
      </c>
      <c r="H33">
        <f t="shared" si="0"/>
        <v>8.1632653061224497E-2</v>
      </c>
      <c r="I33">
        <f t="shared" si="1"/>
        <v>0.63086699496038412</v>
      </c>
      <c r="J33">
        <f t="shared" si="2"/>
        <v>0.47553605180889003</v>
      </c>
      <c r="K33">
        <f t="shared" si="3"/>
        <v>0.99683210137275602</v>
      </c>
      <c r="L33">
        <f t="shared" si="4"/>
        <v>0.47402960180315962</v>
      </c>
      <c r="M33">
        <f>K33*H33/I33</f>
        <v>0.12898764674915911</v>
      </c>
    </row>
    <row r="34" spans="1:13" x14ac:dyDescent="0.25">
      <c r="A34" t="s">
        <v>36</v>
      </c>
      <c r="B34">
        <v>2022</v>
      </c>
      <c r="C34">
        <v>50</v>
      </c>
      <c r="D34">
        <v>50</v>
      </c>
      <c r="E34">
        <v>-0.38</v>
      </c>
      <c r="F34">
        <v>-1.59</v>
      </c>
      <c r="G34">
        <v>0.87</v>
      </c>
      <c r="H34">
        <f t="shared" si="0"/>
        <v>0.62755102040816324</v>
      </c>
      <c r="I34">
        <f t="shared" si="1"/>
        <v>3.1377551020408161</v>
      </c>
      <c r="J34">
        <f t="shared" si="2"/>
        <v>0.12110569105691057</v>
      </c>
      <c r="K34">
        <f t="shared" si="3"/>
        <v>0.99232736572890023</v>
      </c>
      <c r="L34">
        <f t="shared" si="4"/>
        <v>0.1201764913812821</v>
      </c>
      <c r="M34">
        <f>K34*H34/I34</f>
        <v>0.19846547314578006</v>
      </c>
    </row>
    <row r="35" spans="1:13" x14ac:dyDescent="0.25">
      <c r="A35" t="s">
        <v>37</v>
      </c>
      <c r="B35">
        <v>2022</v>
      </c>
      <c r="C35">
        <v>34</v>
      </c>
      <c r="D35">
        <v>34</v>
      </c>
      <c r="E35">
        <v>-1.6</v>
      </c>
      <c r="F35">
        <v>-2.57</v>
      </c>
      <c r="G35">
        <v>-0.63</v>
      </c>
      <c r="H35">
        <f t="shared" si="0"/>
        <v>0.49489795918367346</v>
      </c>
      <c r="I35">
        <f t="shared" si="1"/>
        <v>2.0405165596169033</v>
      </c>
      <c r="J35">
        <f t="shared" si="2"/>
        <v>0.78411517537519615</v>
      </c>
      <c r="K35">
        <f t="shared" si="3"/>
        <v>0.98859315589353614</v>
      </c>
      <c r="L35">
        <f t="shared" si="4"/>
        <v>0.77517089580817866</v>
      </c>
      <c r="M35">
        <f>K35*H35/I35</f>
        <v>0.23976905897127976</v>
      </c>
    </row>
    <row r="36" spans="1:13" x14ac:dyDescent="0.25">
      <c r="A36" t="s">
        <v>38</v>
      </c>
      <c r="B36">
        <v>2023</v>
      </c>
      <c r="C36">
        <v>115</v>
      </c>
      <c r="D36">
        <v>105</v>
      </c>
      <c r="E36">
        <v>-0.28999999999999998</v>
      </c>
      <c r="F36">
        <v>-0.68</v>
      </c>
      <c r="G36">
        <v>0.1</v>
      </c>
      <c r="H36">
        <f t="shared" si="0"/>
        <v>0.19897959183673469</v>
      </c>
      <c r="I36">
        <f t="shared" si="1"/>
        <v>1.474146905004762</v>
      </c>
      <c r="J36">
        <f t="shared" si="2"/>
        <v>0.1967239486210251</v>
      </c>
      <c r="K36">
        <f t="shared" si="3"/>
        <v>0.99655568312284726</v>
      </c>
      <c r="L36">
        <f t="shared" si="4"/>
        <v>0.19604636900464958</v>
      </c>
      <c r="M36">
        <f>K36*H36/I36</f>
        <v>0.13451457408834158</v>
      </c>
    </row>
    <row r="37" spans="1:13" x14ac:dyDescent="0.25">
      <c r="A37" t="s">
        <v>39</v>
      </c>
      <c r="B37">
        <v>2023</v>
      </c>
      <c r="C37">
        <v>10</v>
      </c>
      <c r="D37">
        <v>10</v>
      </c>
      <c r="E37">
        <v>-0.89</v>
      </c>
      <c r="F37">
        <v>-1.99</v>
      </c>
      <c r="G37">
        <v>0.21</v>
      </c>
      <c r="H37">
        <f t="shared" si="0"/>
        <v>0.56122448979591844</v>
      </c>
      <c r="I37">
        <f t="shared" si="1"/>
        <v>1.2549361098213108</v>
      </c>
      <c r="J37">
        <f t="shared" si="2"/>
        <v>0.70919945090011505</v>
      </c>
      <c r="K37">
        <f t="shared" si="3"/>
        <v>0.95774647887323949</v>
      </c>
      <c r="L37">
        <f t="shared" si="4"/>
        <v>0.67923327691842006</v>
      </c>
      <c r="M37">
        <f>K37*H37/I37</f>
        <v>0.42831724639432589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2025-12-30T22:42:19Z</dcterms:modified>
</cp:coreProperties>
</file>