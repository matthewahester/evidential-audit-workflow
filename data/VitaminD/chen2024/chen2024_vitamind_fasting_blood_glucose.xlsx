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chen2024\"/>
    </mc:Choice>
  </mc:AlternateContent>
  <xr:revisionPtr revIDLastSave="0" documentId="13_ncr:1_{86B756ED-C1F1-44B5-BD23-6DB4A0D1D992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H4" i="1"/>
  <c r="I4" i="1" s="1"/>
  <c r="K4" i="1"/>
  <c r="H5" i="1"/>
  <c r="I5" i="1" s="1"/>
  <c r="L5" i="1" s="1"/>
  <c r="K5" i="1"/>
  <c r="H6" i="1"/>
  <c r="I6" i="1" s="1"/>
  <c r="K6" i="1"/>
  <c r="L6" i="1" s="1"/>
  <c r="H7" i="1"/>
  <c r="I7" i="1" s="1"/>
  <c r="L7" i="1" s="1"/>
  <c r="K7" i="1"/>
  <c r="H8" i="1"/>
  <c r="I8" i="1" s="1"/>
  <c r="K8" i="1"/>
  <c r="L8" i="1" s="1"/>
  <c r="H9" i="1"/>
  <c r="I9" i="1" s="1"/>
  <c r="L9" i="1" s="1"/>
  <c r="K9" i="1"/>
  <c r="H10" i="1"/>
  <c r="I10" i="1" s="1"/>
  <c r="K10" i="1"/>
  <c r="H11" i="1"/>
  <c r="I11" i="1" s="1"/>
  <c r="L11" i="1" s="1"/>
  <c r="K11" i="1"/>
  <c r="H12" i="1"/>
  <c r="I12" i="1" s="1"/>
  <c r="K12" i="1"/>
  <c r="L12" i="1" s="1"/>
  <c r="H13" i="1"/>
  <c r="I13" i="1" s="1"/>
  <c r="K13" i="1"/>
  <c r="H14" i="1"/>
  <c r="I14" i="1" s="1"/>
  <c r="K14" i="1"/>
  <c r="H15" i="1"/>
  <c r="I15" i="1" s="1"/>
  <c r="L15" i="1" s="1"/>
  <c r="K15" i="1"/>
  <c r="H16" i="1"/>
  <c r="I16" i="1" s="1"/>
  <c r="K16" i="1"/>
  <c r="H17" i="1"/>
  <c r="I17" i="1" s="1"/>
  <c r="L17" i="1" s="1"/>
  <c r="K17" i="1"/>
  <c r="H18" i="1"/>
  <c r="I18" i="1" s="1"/>
  <c r="K18" i="1"/>
  <c r="L18" i="1" s="1"/>
  <c r="H19" i="1"/>
  <c r="I19" i="1" s="1"/>
  <c r="L19" i="1" s="1"/>
  <c r="K19" i="1"/>
  <c r="H20" i="1"/>
  <c r="I20" i="1" s="1"/>
  <c r="K20" i="1"/>
  <c r="L20" i="1" s="1"/>
  <c r="H21" i="1"/>
  <c r="I21" i="1" s="1"/>
  <c r="L21" i="1" s="1"/>
  <c r="K21" i="1"/>
  <c r="H22" i="1"/>
  <c r="I22" i="1" s="1"/>
  <c r="K22" i="1"/>
  <c r="H23" i="1"/>
  <c r="I23" i="1" s="1"/>
  <c r="L23" i="1" s="1"/>
  <c r="K23" i="1"/>
  <c r="H24" i="1"/>
  <c r="I24" i="1" s="1"/>
  <c r="K24" i="1"/>
  <c r="L24" i="1" s="1"/>
  <c r="H25" i="1"/>
  <c r="I25" i="1" s="1"/>
  <c r="L25" i="1" s="1"/>
  <c r="K25" i="1"/>
  <c r="H26" i="1"/>
  <c r="I26" i="1" s="1"/>
  <c r="K26" i="1"/>
  <c r="L26" i="1" s="1"/>
  <c r="H27" i="1"/>
  <c r="I27" i="1" s="1"/>
  <c r="L27" i="1" s="1"/>
  <c r="K27" i="1"/>
  <c r="H28" i="1"/>
  <c r="I28" i="1" s="1"/>
  <c r="K28" i="1"/>
  <c r="H29" i="1"/>
  <c r="I29" i="1" s="1"/>
  <c r="L29" i="1" s="1"/>
  <c r="K29" i="1"/>
  <c r="H30" i="1"/>
  <c r="I30" i="1" s="1"/>
  <c r="K30" i="1"/>
  <c r="L30" i="1" s="1"/>
  <c r="H31" i="1"/>
  <c r="I31" i="1" s="1"/>
  <c r="L31" i="1" s="1"/>
  <c r="K31" i="1"/>
  <c r="K3" i="1"/>
  <c r="I3" i="1"/>
  <c r="L3" i="1" s="1"/>
  <c r="H3" i="1"/>
  <c r="K2" i="1"/>
  <c r="I2" i="1"/>
  <c r="H2" i="1"/>
  <c r="L14" i="1" l="1"/>
  <c r="L13" i="1"/>
  <c r="L2" i="1"/>
  <c r="L28" i="1"/>
  <c r="L22" i="1"/>
  <c r="L16" i="1"/>
  <c r="L10" i="1"/>
  <c r="L4" i="1"/>
</calcChain>
</file>

<file path=xl/sharedStrings.xml><?xml version="1.0" encoding="utf-8"?>
<sst xmlns="http://schemas.openxmlformats.org/spreadsheetml/2006/main" count="43" uniqueCount="42">
  <si>
    <t>Author</t>
  </si>
  <si>
    <t>Year</t>
  </si>
  <si>
    <t>WMD</t>
  </si>
  <si>
    <t>LCI</t>
  </si>
  <si>
    <t>UCI</t>
  </si>
  <si>
    <t>Jorde</t>
  </si>
  <si>
    <t>Eftekhari</t>
  </si>
  <si>
    <t>Shab-Bidar</t>
  </si>
  <si>
    <t>Breslavsky</t>
  </si>
  <si>
    <t>Yiu</t>
  </si>
  <si>
    <t>Baziar</t>
  </si>
  <si>
    <t>Kampmann</t>
  </si>
  <si>
    <t>Nikooyeh</t>
  </si>
  <si>
    <t>Ryu</t>
  </si>
  <si>
    <t>Yousefi Rad</t>
  </si>
  <si>
    <t>Al-Sofiani</t>
  </si>
  <si>
    <t>Sadiya</t>
  </si>
  <si>
    <t>Anyanwu</t>
  </si>
  <si>
    <t>Hajimohammadi</t>
  </si>
  <si>
    <t>Momeni</t>
  </si>
  <si>
    <t>Salehi</t>
  </si>
  <si>
    <t>Upreti</t>
  </si>
  <si>
    <t>Omidian</t>
  </si>
  <si>
    <t>El Hajj</t>
  </si>
  <si>
    <t>Imanparast</t>
  </si>
  <si>
    <t>Safarpour</t>
  </si>
  <si>
    <t>Cojic</t>
  </si>
  <si>
    <t>Mozaffari</t>
  </si>
  <si>
    <t>Behshad</t>
  </si>
  <si>
    <t>Derosa</t>
  </si>
  <si>
    <t>Hoseini</t>
  </si>
  <si>
    <t>Mehta</t>
  </si>
  <si>
    <t>Hu</t>
  </si>
  <si>
    <t>Salarinia</t>
  </si>
  <si>
    <t>n_treat</t>
  </si>
  <si>
    <t>n_control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</si>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</sst>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K14" sqref="K14"/>
    </sheetView>
  </sheetViews>
  <sheetFormatPr defaultRowHeight="15" x14ac:dyDescent="0.25"/>
  <cols>
    <col min="1" max="1" width="15.7109375" bestFit="1" customWidth="1"/>
    <col min="2" max="2" width="5" bestFit="1" customWidth="1"/>
    <col min="3" max="3" width="7.42578125" bestFit="1" customWidth="1"/>
    <col min="4" max="4" width="9.42578125" bestFit="1" customWidth="1"/>
    <col min="5" max="5" width="5.85546875" bestFit="1" customWidth="1"/>
    <col min="6" max="7" width="5.7109375" bestFit="1" customWidth="1"/>
  </cols>
  <sheetData>
    <row r="1" spans="1:13" x14ac:dyDescent="0.25">
      <c r="A1" t="s">
        <v>0</v>
      </c>
      <c r="B1" t="s">
        <v>1</v>
      </c>
      <c r="C1" t="s">
        <v>34</v>
      </c>
      <c r="D1" t="s">
        <v>35</v>
      </c>
      <c r="E1" t="s">
        <v>2</v>
      </c>
      <c r="F1" t="s">
        <v>3</v>
      </c>
      <c r="G1" t="s">
        <v>4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 x14ac:dyDescent="0.25">
      <c r="A2" t="s">
        <v>5</v>
      </c>
      <c r="B2">
        <v>2009</v>
      </c>
      <c r="C2">
        <v>16</v>
      </c>
      <c r="D2">
        <v>16</v>
      </c>
      <c r="E2">
        <v>-0.6</v>
      </c>
      <c r="F2">
        <v>-2.2000000000000002</v>
      </c>
      <c r="G2">
        <v>1</v>
      </c>
      <c r="H2">
        <f>(G2-F2)/2/1.96</f>
        <v>0.81632653061224492</v>
      </c>
      <c r="I2">
        <f>H2/SQRT(1/D2+1/C2)</f>
        <v>2.3089201018336243</v>
      </c>
      <c r="J2">
        <f>-E2/I2</f>
        <v>0.25986174208605622</v>
      </c>
      <c r="K2">
        <f>1-3/(4*(C2+D2-2)-1)</f>
        <v>0.97478991596638653</v>
      </c>
      <c r="L2">
        <f>K2*J2</f>
        <v>0.25331060573094555</v>
      </c>
      <c r="M2">
        <f>K2*H2/I2</f>
        <v>0.34464027990604845</v>
      </c>
    </row>
    <row r="3" spans="1:13" x14ac:dyDescent="0.25">
      <c r="A3" t="s">
        <v>6</v>
      </c>
      <c r="B3">
        <v>2011</v>
      </c>
      <c r="C3">
        <v>35</v>
      </c>
      <c r="D3">
        <v>35</v>
      </c>
      <c r="E3">
        <v>-1</v>
      </c>
      <c r="F3">
        <v>-2.41</v>
      </c>
      <c r="G3">
        <v>0.41</v>
      </c>
      <c r="H3">
        <f t="shared" ref="H3:H4" si="0">(G3-F3)/2/1.96</f>
        <v>0.71938775510204089</v>
      </c>
      <c r="I3">
        <f t="shared" ref="I3:I4" si="1">H3/SQRT(1/D3+1/C3)</f>
        <v>3.0094148913598131</v>
      </c>
      <c r="J3">
        <f t="shared" ref="J3:J31" si="2">-E3/I3</f>
        <v>0.33229050699225687</v>
      </c>
      <c r="K3">
        <f t="shared" ref="K3:K4" si="3">1-3/(4*(C3+D3-2)-1)</f>
        <v>0.98892988929889303</v>
      </c>
      <c r="L3">
        <f t="shared" ref="L3:L4" si="4">K3*J3</f>
        <v>0.32861201429492565</v>
      </c>
      <c r="M3">
        <f>K3*H3/I3</f>
        <v>0.23639945926318634</v>
      </c>
    </row>
    <row r="4" spans="1:13" x14ac:dyDescent="0.25">
      <c r="A4" t="s">
        <v>7</v>
      </c>
      <c r="B4">
        <v>2011</v>
      </c>
      <c r="C4">
        <v>31</v>
      </c>
      <c r="D4">
        <v>29</v>
      </c>
      <c r="E4">
        <v>-1.9</v>
      </c>
      <c r="F4">
        <v>-3.06</v>
      </c>
      <c r="G4">
        <v>-0.74</v>
      </c>
      <c r="H4">
        <f t="shared" si="0"/>
        <v>0.59183673469387765</v>
      </c>
      <c r="I4">
        <f t="shared" si="1"/>
        <v>2.290900033317572</v>
      </c>
      <c r="J4">
        <f t="shared" si="2"/>
        <v>0.82936835844753587</v>
      </c>
      <c r="K4">
        <f t="shared" si="3"/>
        <v>0.98701298701298701</v>
      </c>
      <c r="L4">
        <f t="shared" si="4"/>
        <v>0.81859734080536006</v>
      </c>
      <c r="M4">
        <f>K4*H4/I4</f>
        <v>0.25498735642701875</v>
      </c>
    </row>
    <row r="5" spans="1:13" x14ac:dyDescent="0.25">
      <c r="A5" t="s">
        <v>8</v>
      </c>
      <c r="B5">
        <v>2013</v>
      </c>
      <c r="C5">
        <v>24</v>
      </c>
      <c r="D5">
        <v>23</v>
      </c>
      <c r="E5">
        <v>0.39</v>
      </c>
      <c r="F5">
        <v>-1.68</v>
      </c>
      <c r="G5">
        <v>2.46</v>
      </c>
      <c r="H5">
        <f t="shared" ref="H5:H31" si="5">(G5-F5)/2/1.96</f>
        <v>1.0561224489795917</v>
      </c>
      <c r="I5">
        <f t="shared" ref="I5:I31" si="6">H5/SQRT(1/D5+1/C5)</f>
        <v>3.6193858484429731</v>
      </c>
      <c r="J5">
        <f t="shared" si="2"/>
        <v>-0.10775308749349685</v>
      </c>
      <c r="K5">
        <f t="shared" ref="K5:K31" si="7">1-3/(4*(C5+D5-2)-1)</f>
        <v>0.98324022346368711</v>
      </c>
      <c r="L5">
        <f t="shared" ref="L5:L31" si="8">K5*J5</f>
        <v>-0.10594716982600808</v>
      </c>
      <c r="M5">
        <f>K5*H5/I5</f>
        <v>0.28690560117718039</v>
      </c>
    </row>
    <row r="6" spans="1:13" x14ac:dyDescent="0.25">
      <c r="A6" t="s">
        <v>9</v>
      </c>
      <c r="B6">
        <v>2013</v>
      </c>
      <c r="C6">
        <v>50</v>
      </c>
      <c r="D6">
        <v>50</v>
      </c>
      <c r="E6">
        <v>-0.52</v>
      </c>
      <c r="F6">
        <v>-1.32</v>
      </c>
      <c r="G6">
        <v>0.28000000000000003</v>
      </c>
      <c r="H6">
        <f t="shared" si="5"/>
        <v>0.40816326530612246</v>
      </c>
      <c r="I6">
        <f t="shared" si="6"/>
        <v>2.0408163265306123</v>
      </c>
      <c r="J6">
        <f t="shared" si="2"/>
        <v>0.25480000000000003</v>
      </c>
      <c r="K6">
        <f t="shared" si="7"/>
        <v>0.99232736572890023</v>
      </c>
      <c r="L6">
        <f t="shared" si="8"/>
        <v>0.25284501278772381</v>
      </c>
      <c r="M6">
        <f>K6*H6/I6</f>
        <v>0.19846547314578006</v>
      </c>
    </row>
    <row r="7" spans="1:13" x14ac:dyDescent="0.25">
      <c r="A7" t="s">
        <v>10</v>
      </c>
      <c r="B7">
        <v>2014</v>
      </c>
      <c r="C7">
        <v>41</v>
      </c>
      <c r="D7">
        <v>40</v>
      </c>
      <c r="E7">
        <v>-1.4</v>
      </c>
      <c r="F7">
        <v>-2.46</v>
      </c>
      <c r="G7">
        <v>-0.34</v>
      </c>
      <c r="H7">
        <f t="shared" si="5"/>
        <v>0.54081632653061229</v>
      </c>
      <c r="I7">
        <f t="shared" si="6"/>
        <v>2.4334879971877079</v>
      </c>
      <c r="J7">
        <f t="shared" si="2"/>
        <v>0.57530589902967599</v>
      </c>
      <c r="K7">
        <f t="shared" si="7"/>
        <v>0.99047619047619051</v>
      </c>
      <c r="L7">
        <f t="shared" si="8"/>
        <v>0.56982679522939339</v>
      </c>
      <c r="M7">
        <f>K7*H7/I7</f>
        <v>0.2201225958247657</v>
      </c>
    </row>
    <row r="8" spans="1:13" x14ac:dyDescent="0.25">
      <c r="A8" t="s">
        <v>11</v>
      </c>
      <c r="B8">
        <v>2014</v>
      </c>
      <c r="C8">
        <v>7</v>
      </c>
      <c r="D8">
        <v>8</v>
      </c>
      <c r="E8">
        <v>-0.12</v>
      </c>
      <c r="F8">
        <v>-1.55</v>
      </c>
      <c r="G8">
        <v>1.31</v>
      </c>
      <c r="H8">
        <f t="shared" si="5"/>
        <v>0.72959183673469397</v>
      </c>
      <c r="I8">
        <f t="shared" si="6"/>
        <v>1.409705356942238</v>
      </c>
      <c r="J8">
        <f t="shared" si="2"/>
        <v>8.5124171096497392E-2</v>
      </c>
      <c r="K8">
        <f t="shared" si="7"/>
        <v>0.94117647058823528</v>
      </c>
      <c r="L8">
        <f t="shared" si="8"/>
        <v>8.0116866914350479E-2</v>
      </c>
      <c r="M8">
        <f>K8*H8/I8</f>
        <v>0.48710510071225005</v>
      </c>
    </row>
    <row r="9" spans="1:13" x14ac:dyDescent="0.25">
      <c r="A9" t="s">
        <v>12</v>
      </c>
      <c r="B9">
        <v>2014</v>
      </c>
      <c r="C9">
        <v>30</v>
      </c>
      <c r="D9">
        <v>30</v>
      </c>
      <c r="E9">
        <v>-1.5</v>
      </c>
      <c r="F9">
        <v>-2.96</v>
      </c>
      <c r="G9">
        <v>-0.04</v>
      </c>
      <c r="H9">
        <f t="shared" si="5"/>
        <v>0.74489795918367352</v>
      </c>
      <c r="I9">
        <f t="shared" si="6"/>
        <v>2.88497739054226</v>
      </c>
      <c r="J9">
        <f t="shared" si="2"/>
        <v>0.51993475058674898</v>
      </c>
      <c r="K9">
        <f t="shared" si="7"/>
        <v>0.98701298701298701</v>
      </c>
      <c r="L9">
        <f t="shared" si="8"/>
        <v>0.51318235122847955</v>
      </c>
      <c r="M9">
        <f>K9*H9/I9</f>
        <v>0.25484565741278237</v>
      </c>
    </row>
    <row r="10" spans="1:13" x14ac:dyDescent="0.25">
      <c r="A10" t="s">
        <v>13</v>
      </c>
      <c r="B10">
        <v>2014</v>
      </c>
      <c r="C10">
        <v>79</v>
      </c>
      <c r="D10">
        <v>79</v>
      </c>
      <c r="E10">
        <v>0</v>
      </c>
      <c r="F10">
        <v>-0.41</v>
      </c>
      <c r="G10">
        <v>0.41</v>
      </c>
      <c r="H10">
        <f t="shared" si="5"/>
        <v>0.20918367346938774</v>
      </c>
      <c r="I10">
        <f t="shared" si="6"/>
        <v>1.3146990017577496</v>
      </c>
      <c r="J10">
        <f t="shared" si="2"/>
        <v>0</v>
      </c>
      <c r="K10">
        <f t="shared" si="7"/>
        <v>0.9951845906902087</v>
      </c>
      <c r="L10">
        <f t="shared" si="8"/>
        <v>0</v>
      </c>
      <c r="M10">
        <f>K10*H10/I10</f>
        <v>0.15834527004460761</v>
      </c>
    </row>
    <row r="11" spans="1:13" x14ac:dyDescent="0.25">
      <c r="A11" t="s">
        <v>14</v>
      </c>
      <c r="B11">
        <v>2014</v>
      </c>
      <c r="C11">
        <v>28</v>
      </c>
      <c r="D11">
        <v>30</v>
      </c>
      <c r="E11">
        <v>-0.4</v>
      </c>
      <c r="F11">
        <v>-1.59</v>
      </c>
      <c r="G11">
        <v>0.79</v>
      </c>
      <c r="H11">
        <f t="shared" si="5"/>
        <v>0.6071428571428571</v>
      </c>
      <c r="I11">
        <f t="shared" si="6"/>
        <v>2.3105561994331398</v>
      </c>
      <c r="J11">
        <f t="shared" si="2"/>
        <v>0.17311848986756262</v>
      </c>
      <c r="K11">
        <f t="shared" si="7"/>
        <v>0.98654708520179368</v>
      </c>
      <c r="L11">
        <f t="shared" si="8"/>
        <v>0.17078954157338017</v>
      </c>
      <c r="M11">
        <f>K11*H11/I11</f>
        <v>0.25923412560245201</v>
      </c>
    </row>
    <row r="12" spans="1:13" x14ac:dyDescent="0.25">
      <c r="A12" t="s">
        <v>15</v>
      </c>
      <c r="B12">
        <v>2015</v>
      </c>
      <c r="C12">
        <v>10</v>
      </c>
      <c r="D12">
        <v>10</v>
      </c>
      <c r="E12">
        <v>0</v>
      </c>
      <c r="F12">
        <v>-2.62</v>
      </c>
      <c r="G12">
        <v>2.62</v>
      </c>
      <c r="H12">
        <f t="shared" si="5"/>
        <v>1.3367346938775511</v>
      </c>
      <c r="I12">
        <f t="shared" si="6"/>
        <v>2.989029643392576</v>
      </c>
      <c r="J12">
        <f t="shared" si="2"/>
        <v>0</v>
      </c>
      <c r="K12">
        <f t="shared" si="7"/>
        <v>0.95774647887323949</v>
      </c>
      <c r="L12">
        <f t="shared" si="8"/>
        <v>0</v>
      </c>
      <c r="M12">
        <f>K12*H12/I12</f>
        <v>0.42831724639432595</v>
      </c>
    </row>
    <row r="13" spans="1:13" x14ac:dyDescent="0.25">
      <c r="A13" t="s">
        <v>16</v>
      </c>
      <c r="B13">
        <v>2015</v>
      </c>
      <c r="C13">
        <v>45</v>
      </c>
      <c r="D13">
        <v>42</v>
      </c>
      <c r="E13">
        <v>-0.6</v>
      </c>
      <c r="F13">
        <v>-1.99</v>
      </c>
      <c r="G13">
        <v>0.79</v>
      </c>
      <c r="H13">
        <f t="shared" si="5"/>
        <v>0.70918367346938782</v>
      </c>
      <c r="I13">
        <f t="shared" si="6"/>
        <v>3.305445528480432</v>
      </c>
      <c r="J13">
        <f t="shared" si="2"/>
        <v>0.18151864698125275</v>
      </c>
      <c r="K13">
        <f t="shared" si="7"/>
        <v>0.99115044247787609</v>
      </c>
      <c r="L13">
        <f t="shared" si="8"/>
        <v>0.17991228727345404</v>
      </c>
      <c r="M13">
        <f>K13*H13/I13</f>
        <v>0.2126514279847799</v>
      </c>
    </row>
    <row r="14" spans="1:13" x14ac:dyDescent="0.25">
      <c r="A14" t="s">
        <v>7</v>
      </c>
      <c r="B14">
        <v>2015</v>
      </c>
      <c r="C14">
        <v>31</v>
      </c>
      <c r="D14">
        <v>29</v>
      </c>
      <c r="E14">
        <v>-1.21</v>
      </c>
      <c r="F14">
        <v>-2.59</v>
      </c>
      <c r="G14">
        <v>0.17</v>
      </c>
      <c r="H14">
        <f t="shared" si="5"/>
        <v>0.70408163265306123</v>
      </c>
      <c r="I14">
        <f t="shared" si="6"/>
        <v>2.7253810741191797</v>
      </c>
      <c r="J14">
        <f t="shared" si="2"/>
        <v>0.44397461018953532</v>
      </c>
      <c r="K14">
        <f t="shared" si="7"/>
        <v>0.98701298701298701</v>
      </c>
      <c r="L14">
        <f t="shared" si="8"/>
        <v>0.4382087061610998</v>
      </c>
      <c r="M14">
        <f>K14*H14/I14</f>
        <v>0.25498735642701875</v>
      </c>
    </row>
    <row r="15" spans="1:13" x14ac:dyDescent="0.25">
      <c r="A15" t="s">
        <v>17</v>
      </c>
      <c r="B15">
        <v>2016</v>
      </c>
      <c r="C15">
        <v>17</v>
      </c>
      <c r="D15">
        <v>16</v>
      </c>
      <c r="E15">
        <v>-1.33</v>
      </c>
      <c r="F15">
        <v>-3.56</v>
      </c>
      <c r="G15">
        <v>0.9</v>
      </c>
      <c r="H15">
        <f t="shared" si="5"/>
        <v>1.1377551020408163</v>
      </c>
      <c r="I15">
        <f t="shared" si="6"/>
        <v>3.2664519480011425</v>
      </c>
      <c r="J15">
        <f t="shared" si="2"/>
        <v>0.40716962048496508</v>
      </c>
      <c r="K15">
        <f t="shared" si="7"/>
        <v>0.97560975609756095</v>
      </c>
      <c r="L15">
        <f t="shared" si="8"/>
        <v>0.39723865413167325</v>
      </c>
      <c r="M15">
        <f>K15*H15/I15</f>
        <v>0.33981977854596868</v>
      </c>
    </row>
    <row r="16" spans="1:13" x14ac:dyDescent="0.25">
      <c r="A16" t="s">
        <v>18</v>
      </c>
      <c r="B16">
        <v>2017</v>
      </c>
      <c r="C16">
        <v>50</v>
      </c>
      <c r="D16">
        <v>50</v>
      </c>
      <c r="E16">
        <v>-1.9</v>
      </c>
      <c r="F16">
        <v>-3.06</v>
      </c>
      <c r="G16">
        <v>-0.74</v>
      </c>
      <c r="H16">
        <f t="shared" si="5"/>
        <v>0.59183673469387765</v>
      </c>
      <c r="I16">
        <f t="shared" si="6"/>
        <v>2.9591836734693882</v>
      </c>
      <c r="J16">
        <f t="shared" si="2"/>
        <v>0.64206896551724124</v>
      </c>
      <c r="K16">
        <f t="shared" si="7"/>
        <v>0.99232736572890023</v>
      </c>
      <c r="L16">
        <f t="shared" si="8"/>
        <v>0.63714260516800403</v>
      </c>
      <c r="M16">
        <f>K16*H16/I16</f>
        <v>0.19846547314578006</v>
      </c>
    </row>
    <row r="17" spans="1:13" x14ac:dyDescent="0.25">
      <c r="A17" t="s">
        <v>19</v>
      </c>
      <c r="B17">
        <v>2017</v>
      </c>
      <c r="C17">
        <v>29</v>
      </c>
      <c r="D17">
        <v>28</v>
      </c>
      <c r="E17">
        <v>0.15</v>
      </c>
      <c r="F17">
        <v>-1.28</v>
      </c>
      <c r="G17">
        <v>1.58</v>
      </c>
      <c r="H17">
        <f t="shared" si="5"/>
        <v>0.72959183673469397</v>
      </c>
      <c r="I17">
        <f t="shared" si="6"/>
        <v>2.753724908105518</v>
      </c>
      <c r="J17">
        <f t="shared" si="2"/>
        <v>-5.4471672009966894E-2</v>
      </c>
      <c r="K17">
        <f t="shared" si="7"/>
        <v>0.98630136986301364</v>
      </c>
      <c r="L17">
        <f t="shared" si="8"/>
        <v>-5.3725484722159128E-2</v>
      </c>
      <c r="M17">
        <f>K17*H17/I17</f>
        <v>0.26131783385267876</v>
      </c>
    </row>
    <row r="18" spans="1:13" x14ac:dyDescent="0.25">
      <c r="A18" t="s">
        <v>20</v>
      </c>
      <c r="B18">
        <v>2018</v>
      </c>
      <c r="C18">
        <v>51</v>
      </c>
      <c r="D18">
        <v>50</v>
      </c>
      <c r="E18">
        <v>0</v>
      </c>
      <c r="F18">
        <v>-1.04</v>
      </c>
      <c r="G18">
        <v>1.04</v>
      </c>
      <c r="H18">
        <f t="shared" si="5"/>
        <v>0.53061224489795922</v>
      </c>
      <c r="I18">
        <f t="shared" si="6"/>
        <v>2.6661628410803315</v>
      </c>
      <c r="J18">
        <f t="shared" si="2"/>
        <v>0</v>
      </c>
      <c r="K18">
        <f t="shared" si="7"/>
        <v>0.9924050632911392</v>
      </c>
      <c r="L18">
        <f t="shared" si="8"/>
        <v>0</v>
      </c>
      <c r="M18">
        <f>K18*H18/I18</f>
        <v>0.19750567008414274</v>
      </c>
    </row>
    <row r="19" spans="1:13" x14ac:dyDescent="0.25">
      <c r="A19" t="s">
        <v>21</v>
      </c>
      <c r="B19">
        <v>2018</v>
      </c>
      <c r="C19">
        <v>30</v>
      </c>
      <c r="D19">
        <v>30</v>
      </c>
      <c r="E19">
        <v>-0.8</v>
      </c>
      <c r="F19">
        <v>-1.79</v>
      </c>
      <c r="G19">
        <v>0.19</v>
      </c>
      <c r="H19">
        <f t="shared" si="5"/>
        <v>0.50510204081632648</v>
      </c>
      <c r="I19">
        <f t="shared" si="6"/>
        <v>1.9562517922170115</v>
      </c>
      <c r="J19">
        <f t="shared" si="2"/>
        <v>0.40894531224600877</v>
      </c>
      <c r="K19">
        <f t="shared" si="7"/>
        <v>0.98701298701298701</v>
      </c>
      <c r="L19">
        <f t="shared" si="8"/>
        <v>0.40363433416489175</v>
      </c>
      <c r="M19">
        <f>K19*H19/I19</f>
        <v>0.25484565741278242</v>
      </c>
    </row>
    <row r="20" spans="1:13" x14ac:dyDescent="0.25">
      <c r="A20" t="s">
        <v>22</v>
      </c>
      <c r="B20">
        <v>2019</v>
      </c>
      <c r="C20">
        <v>32</v>
      </c>
      <c r="D20">
        <v>34</v>
      </c>
      <c r="E20">
        <v>-0.9</v>
      </c>
      <c r="F20">
        <v>-1.93</v>
      </c>
      <c r="G20">
        <v>0.13</v>
      </c>
      <c r="H20">
        <f t="shared" si="5"/>
        <v>0.52551020408163263</v>
      </c>
      <c r="I20">
        <f t="shared" si="6"/>
        <v>2.1336522264907298</v>
      </c>
      <c r="J20">
        <f t="shared" si="2"/>
        <v>0.42181194705767588</v>
      </c>
      <c r="K20">
        <f t="shared" si="7"/>
        <v>0.9882352941176471</v>
      </c>
      <c r="L20">
        <f t="shared" si="8"/>
        <v>0.41684945356287972</v>
      </c>
      <c r="M20">
        <f>K20*H20/I20</f>
        <v>0.2433984904590511</v>
      </c>
    </row>
    <row r="21" spans="1:13" x14ac:dyDescent="0.25">
      <c r="A21" t="s">
        <v>23</v>
      </c>
      <c r="B21">
        <v>2020</v>
      </c>
      <c r="C21">
        <v>45</v>
      </c>
      <c r="D21">
        <v>43</v>
      </c>
      <c r="E21">
        <v>-0.01</v>
      </c>
      <c r="F21">
        <v>-0.03</v>
      </c>
      <c r="G21">
        <v>0.01</v>
      </c>
      <c r="H21">
        <f t="shared" si="5"/>
        <v>1.0204081632653062E-2</v>
      </c>
      <c r="I21">
        <f t="shared" si="6"/>
        <v>4.7849022812753432E-2</v>
      </c>
      <c r="J21">
        <f t="shared" si="2"/>
        <v>0.20899068386689501</v>
      </c>
      <c r="K21">
        <f t="shared" si="7"/>
        <v>0.99125364431486884</v>
      </c>
      <c r="L21">
        <f t="shared" si="8"/>
        <v>0.20716277701091634</v>
      </c>
      <c r="M21">
        <f>K21*H21/I21</f>
        <v>0.21139058878664935</v>
      </c>
    </row>
    <row r="22" spans="1:13" x14ac:dyDescent="0.25">
      <c r="A22" t="s">
        <v>24</v>
      </c>
      <c r="B22">
        <v>2020</v>
      </c>
      <c r="C22">
        <v>23</v>
      </c>
      <c r="D22">
        <v>23</v>
      </c>
      <c r="E22">
        <v>0.35</v>
      </c>
      <c r="F22">
        <v>-1.58</v>
      </c>
      <c r="G22">
        <v>2.2799999999999998</v>
      </c>
      <c r="H22">
        <f t="shared" si="5"/>
        <v>0.98469387755102045</v>
      </c>
      <c r="I22">
        <f t="shared" si="6"/>
        <v>3.3392594049570836</v>
      </c>
      <c r="J22">
        <f t="shared" si="2"/>
        <v>-0.10481366002306676</v>
      </c>
      <c r="K22">
        <f t="shared" si="7"/>
        <v>0.98285714285714287</v>
      </c>
      <c r="L22">
        <f t="shared" si="8"/>
        <v>-0.10301685442267133</v>
      </c>
      <c r="M22">
        <f>K22*H22/I22</f>
        <v>0.28982875952734066</v>
      </c>
    </row>
    <row r="23" spans="1:13" x14ac:dyDescent="0.25">
      <c r="A23" t="s">
        <v>25</v>
      </c>
      <c r="B23">
        <v>2020</v>
      </c>
      <c r="C23">
        <v>42</v>
      </c>
      <c r="D23">
        <v>43</v>
      </c>
      <c r="E23">
        <v>1.1000000000000001</v>
      </c>
      <c r="F23">
        <v>-0.45</v>
      </c>
      <c r="G23">
        <v>2.65</v>
      </c>
      <c r="H23">
        <f t="shared" si="5"/>
        <v>0.79081632653061229</v>
      </c>
      <c r="I23">
        <f t="shared" si="6"/>
        <v>3.6452308487006673</v>
      </c>
      <c r="J23">
        <f t="shared" si="2"/>
        <v>-0.30176415312409971</v>
      </c>
      <c r="K23">
        <f t="shared" si="7"/>
        <v>0.99093655589123864</v>
      </c>
      <c r="L23">
        <f t="shared" si="8"/>
        <v>-0.29902913058823172</v>
      </c>
      <c r="M23">
        <f>K23*H23/I23</f>
        <v>0.21497919870675286</v>
      </c>
    </row>
    <row r="24" spans="1:13" x14ac:dyDescent="0.25">
      <c r="A24" t="s">
        <v>26</v>
      </c>
      <c r="B24">
        <v>2021</v>
      </c>
      <c r="C24">
        <v>49</v>
      </c>
      <c r="D24">
        <v>65</v>
      </c>
      <c r="E24">
        <v>-0.49</v>
      </c>
      <c r="F24">
        <v>-1.01</v>
      </c>
      <c r="G24">
        <v>0.03</v>
      </c>
      <c r="H24">
        <f t="shared" si="5"/>
        <v>0.26530612244897961</v>
      </c>
      <c r="I24">
        <f t="shared" si="6"/>
        <v>1.4023278687546141</v>
      </c>
      <c r="J24">
        <f t="shared" si="2"/>
        <v>0.349418998878744</v>
      </c>
      <c r="K24">
        <f t="shared" si="7"/>
        <v>0.99328859060402686</v>
      </c>
      <c r="L24">
        <f t="shared" si="8"/>
        <v>0.34707390492653767</v>
      </c>
      <c r="M24">
        <f>K24*H24/I24</f>
        <v>0.187920065141399</v>
      </c>
    </row>
    <row r="25" spans="1:13" x14ac:dyDescent="0.25">
      <c r="A25" t="s">
        <v>27</v>
      </c>
      <c r="B25">
        <v>2021</v>
      </c>
      <c r="C25">
        <v>40</v>
      </c>
      <c r="D25">
        <v>40</v>
      </c>
      <c r="E25">
        <v>-0.1</v>
      </c>
      <c r="F25">
        <v>-0.91</v>
      </c>
      <c r="G25">
        <v>0.71</v>
      </c>
      <c r="H25">
        <f t="shared" si="5"/>
        <v>0.41326530612244899</v>
      </c>
      <c r="I25">
        <f t="shared" si="6"/>
        <v>1.848178634464112</v>
      </c>
      <c r="J25">
        <f t="shared" si="2"/>
        <v>5.4107323899994911E-2</v>
      </c>
      <c r="K25">
        <f t="shared" si="7"/>
        <v>0.99035369774919613</v>
      </c>
      <c r="L25">
        <f t="shared" si="8"/>
        <v>5.3585388299673416E-2</v>
      </c>
      <c r="M25">
        <f>K25*H25/I25</f>
        <v>0.22144981899354829</v>
      </c>
    </row>
    <row r="26" spans="1:13" x14ac:dyDescent="0.25">
      <c r="A26" t="s">
        <v>28</v>
      </c>
      <c r="B26">
        <v>2022</v>
      </c>
      <c r="C26">
        <v>30</v>
      </c>
      <c r="D26">
        <v>32</v>
      </c>
      <c r="E26">
        <v>-0.7</v>
      </c>
      <c r="F26">
        <v>-1.82</v>
      </c>
      <c r="G26">
        <v>0.42</v>
      </c>
      <c r="H26">
        <f t="shared" si="5"/>
        <v>0.57142857142857151</v>
      </c>
      <c r="I26">
        <f t="shared" si="6"/>
        <v>2.2485457226878394</v>
      </c>
      <c r="J26">
        <f t="shared" si="2"/>
        <v>0.31131232642369505</v>
      </c>
      <c r="K26">
        <f t="shared" si="7"/>
        <v>0.9874476987447699</v>
      </c>
      <c r="L26">
        <f t="shared" si="8"/>
        <v>0.30740464031795828</v>
      </c>
      <c r="M26">
        <f>K26*H26/I26</f>
        <v>0.25094256352486399</v>
      </c>
    </row>
    <row r="27" spans="1:13" x14ac:dyDescent="0.25">
      <c r="A27" t="s">
        <v>29</v>
      </c>
      <c r="B27">
        <v>2022</v>
      </c>
      <c r="C27">
        <v>122</v>
      </c>
      <c r="D27">
        <v>117</v>
      </c>
      <c r="E27">
        <v>-0.08</v>
      </c>
      <c r="F27">
        <v>-0.28999999999999998</v>
      </c>
      <c r="G27">
        <v>0.13</v>
      </c>
      <c r="H27">
        <f t="shared" si="5"/>
        <v>0.10714285714285714</v>
      </c>
      <c r="I27">
        <f t="shared" si="6"/>
        <v>0.82801293088550409</v>
      </c>
      <c r="J27">
        <f t="shared" si="2"/>
        <v>9.6616848621488782E-2</v>
      </c>
      <c r="K27">
        <f t="shared" si="7"/>
        <v>0.99683210137275602</v>
      </c>
      <c r="L27">
        <f t="shared" si="8"/>
        <v>9.6310776239372134E-2</v>
      </c>
      <c r="M27">
        <f>K27*H27/I27</f>
        <v>0.12898764674915911</v>
      </c>
    </row>
    <row r="28" spans="1:13" x14ac:dyDescent="0.25">
      <c r="A28" t="s">
        <v>30</v>
      </c>
      <c r="B28">
        <v>2022</v>
      </c>
      <c r="C28">
        <v>10</v>
      </c>
      <c r="D28">
        <v>10</v>
      </c>
      <c r="E28">
        <v>-0.4</v>
      </c>
      <c r="F28">
        <v>-0.49</v>
      </c>
      <c r="G28">
        <v>-0.31</v>
      </c>
      <c r="H28">
        <f t="shared" si="5"/>
        <v>4.5918367346938778E-2</v>
      </c>
      <c r="I28">
        <f t="shared" si="6"/>
        <v>0.10267659080356178</v>
      </c>
      <c r="J28">
        <f t="shared" si="2"/>
        <v>3.8957273207996335</v>
      </c>
      <c r="K28">
        <f t="shared" si="7"/>
        <v>0.95774647887323949</v>
      </c>
      <c r="L28">
        <f t="shared" si="8"/>
        <v>3.7311191241461281</v>
      </c>
      <c r="M28">
        <f>K28*H28/I28</f>
        <v>0.42831724639432589</v>
      </c>
    </row>
    <row r="29" spans="1:13" x14ac:dyDescent="0.25">
      <c r="A29" t="s">
        <v>31</v>
      </c>
      <c r="B29">
        <v>2022</v>
      </c>
      <c r="C29">
        <v>50</v>
      </c>
      <c r="D29">
        <v>50</v>
      </c>
      <c r="E29">
        <v>0.1</v>
      </c>
      <c r="F29">
        <v>-0.3</v>
      </c>
      <c r="G29">
        <v>0.5</v>
      </c>
      <c r="H29">
        <f t="shared" si="5"/>
        <v>0.20408163265306123</v>
      </c>
      <c r="I29">
        <f t="shared" si="6"/>
        <v>1.0204081632653061</v>
      </c>
      <c r="J29">
        <f t="shared" si="2"/>
        <v>-9.8000000000000004E-2</v>
      </c>
      <c r="K29">
        <f t="shared" si="7"/>
        <v>0.99232736572890023</v>
      </c>
      <c r="L29">
        <f t="shared" si="8"/>
        <v>-9.724808184143223E-2</v>
      </c>
      <c r="M29">
        <f>K29*H29/I29</f>
        <v>0.19846547314578006</v>
      </c>
    </row>
    <row r="30" spans="1:13" x14ac:dyDescent="0.25">
      <c r="A30" t="s">
        <v>32</v>
      </c>
      <c r="B30">
        <v>2023</v>
      </c>
      <c r="C30">
        <v>115</v>
      </c>
      <c r="D30">
        <v>105</v>
      </c>
      <c r="E30">
        <v>-2.3199999999999998</v>
      </c>
      <c r="F30">
        <v>-2.94</v>
      </c>
      <c r="G30">
        <v>-1.7</v>
      </c>
      <c r="H30">
        <f t="shared" si="5"/>
        <v>0.31632653061224492</v>
      </c>
      <c r="I30">
        <f t="shared" si="6"/>
        <v>2.3435155925716731</v>
      </c>
      <c r="J30">
        <f t="shared" si="2"/>
        <v>0.98996567693161019</v>
      </c>
      <c r="K30">
        <f t="shared" si="7"/>
        <v>0.99655568312284726</v>
      </c>
      <c r="L30">
        <f t="shared" si="8"/>
        <v>0.98655592144275273</v>
      </c>
      <c r="M30">
        <f>K30*H30/I30</f>
        <v>0.13451457408834155</v>
      </c>
    </row>
    <row r="31" spans="1:13" x14ac:dyDescent="0.25">
      <c r="A31" t="s">
        <v>33</v>
      </c>
      <c r="B31">
        <v>2023</v>
      </c>
      <c r="C31">
        <v>10</v>
      </c>
      <c r="D31">
        <v>10</v>
      </c>
      <c r="E31">
        <v>0.6</v>
      </c>
      <c r="F31">
        <v>-2.23</v>
      </c>
      <c r="G31">
        <v>3.43</v>
      </c>
      <c r="H31">
        <f t="shared" si="5"/>
        <v>1.4438775510204083</v>
      </c>
      <c r="I31">
        <f t="shared" si="6"/>
        <v>3.228608355267554</v>
      </c>
      <c r="J31">
        <f t="shared" si="2"/>
        <v>-0.1858385824409719</v>
      </c>
      <c r="K31">
        <f t="shared" si="7"/>
        <v>0.95774647887323949</v>
      </c>
      <c r="L31">
        <f t="shared" si="8"/>
        <v>-0.17798624797163506</v>
      </c>
      <c r="M31">
        <f>K31*H31/I31</f>
        <v>0.42831724639432595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2025-12-30T22:43:36Z</dcterms:modified>
</cp:coreProperties>
</file>