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Vitamins\chen2024\"/>
    </mc:Choice>
  </mc:AlternateContent>
  <xr:revisionPtr revIDLastSave="0" documentId="13_ncr:1_{95926A97-56A2-4363-A115-33C961647B84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" i="1"/>
  <c r="H3" i="1"/>
  <c r="H4" i="1"/>
  <c r="H5" i="1"/>
  <c r="H6" i="1"/>
  <c r="H7" i="1"/>
  <c r="I7" i="1" s="1"/>
  <c r="J7" i="1" s="1"/>
  <c r="K7" i="1"/>
  <c r="H8" i="1"/>
  <c r="H9" i="1"/>
  <c r="H10" i="1"/>
  <c r="H11" i="1"/>
  <c r="H12" i="1"/>
  <c r="H13" i="1"/>
  <c r="H14" i="1"/>
  <c r="H15" i="1"/>
  <c r="H16" i="1"/>
  <c r="H17" i="1"/>
  <c r="H18" i="1"/>
  <c r="H19" i="1"/>
  <c r="I19" i="1" s="1"/>
  <c r="J19" i="1" s="1"/>
  <c r="K19" i="1"/>
  <c r="H2" i="1"/>
  <c r="I2" i="1"/>
  <c r="J2" i="1" s="1"/>
  <c r="I6" i="1"/>
  <c r="I8" i="1"/>
  <c r="I10" i="1"/>
  <c r="I12" i="1"/>
  <c r="J12" i="1" s="1"/>
  <c r="I14" i="1"/>
  <c r="J14" i="1" s="1"/>
  <c r="I16" i="1"/>
  <c r="J16" i="1" s="1"/>
  <c r="I18" i="1"/>
  <c r="J18" i="1" s="1"/>
  <c r="K2" i="1"/>
  <c r="K3" i="1"/>
  <c r="K4" i="1"/>
  <c r="K5" i="1"/>
  <c r="K6" i="1"/>
  <c r="K8" i="1"/>
  <c r="K9" i="1"/>
  <c r="K10" i="1"/>
  <c r="K11" i="1"/>
  <c r="K12" i="1"/>
  <c r="K13" i="1"/>
  <c r="K14" i="1"/>
  <c r="K15" i="1"/>
  <c r="K16" i="1"/>
  <c r="K17" i="1"/>
  <c r="K18" i="1"/>
  <c r="L19" i="1" l="1"/>
  <c r="J10" i="1"/>
  <c r="L10" i="1" s="1"/>
  <c r="L16" i="1"/>
  <c r="L18" i="1"/>
  <c r="J8" i="1"/>
  <c r="L8" i="1" s="1"/>
  <c r="J6" i="1"/>
  <c r="L6" i="1" s="1"/>
  <c r="L17" i="1"/>
  <c r="I15" i="1"/>
  <c r="J15" i="1" s="1"/>
  <c r="L15" i="1" s="1"/>
  <c r="I5" i="1"/>
  <c r="J5" i="1" s="1"/>
  <c r="L5" i="1" s="1"/>
  <c r="I9" i="1"/>
  <c r="J9" i="1" s="1"/>
  <c r="L9" i="1" s="1"/>
  <c r="I4" i="1"/>
  <c r="I13" i="1"/>
  <c r="J13" i="1" s="1"/>
  <c r="L13" i="1" s="1"/>
  <c r="I3" i="1"/>
  <c r="J3" i="1" s="1"/>
  <c r="L3" i="1" s="1"/>
  <c r="I17" i="1"/>
  <c r="J17" i="1" s="1"/>
  <c r="I11" i="1"/>
  <c r="J11" i="1" s="1"/>
  <c r="L11" i="1" s="1"/>
  <c r="L14" i="1"/>
  <c r="L12" i="1"/>
  <c r="L7" i="1"/>
  <c r="L2" i="1"/>
  <c r="J4" i="1" l="1"/>
  <c r="L4" i="1" s="1"/>
</calcChain>
</file>

<file path=xl/sharedStrings.xml><?xml version="1.0" encoding="utf-8"?>
<sst xmlns="http://schemas.openxmlformats.org/spreadsheetml/2006/main" count="31" uniqueCount="31">
  <si>
    <t>Author</t>
  </si>
  <si>
    <t>Year</t>
  </si>
  <si>
    <t>WMD</t>
  </si>
  <si>
    <t>LCI</t>
  </si>
  <si>
    <t>UCI</t>
  </si>
  <si>
    <t>Jorde</t>
  </si>
  <si>
    <t>Eftekhari</t>
  </si>
  <si>
    <t>Shab-Bidar</t>
  </si>
  <si>
    <t>Breslavsky</t>
  </si>
  <si>
    <t>Kampmann</t>
  </si>
  <si>
    <t>Yousefi Rad</t>
  </si>
  <si>
    <t>Al-Sofiani</t>
  </si>
  <si>
    <t>Hajimohammadi</t>
  </si>
  <si>
    <t>Salehi</t>
  </si>
  <si>
    <t>Omidian</t>
  </si>
  <si>
    <t>Imanparast</t>
  </si>
  <si>
    <t>Safarpour</t>
  </si>
  <si>
    <t>Cojic</t>
  </si>
  <si>
    <t>Derosa</t>
  </si>
  <si>
    <t>Hoseini</t>
  </si>
  <si>
    <t>Mehta</t>
  </si>
  <si>
    <t>Hu</t>
  </si>
  <si>
    <t>Salarinia</t>
  </si>
  <si>
    <t>se_md</t>
  </si>
  <si>
    <t>pooled_sd</t>
  </si>
  <si>
    <t>d</t>
  </si>
  <si>
    <t>J</t>
  </si>
  <si>
    <t>g</t>
  </si>
  <si>
    <t>se_g</t>
  </si>
  <si>
    <t>n_treat</t>
  </si>
  <si>
    <t>n_control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</si>
</sst>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M10" sqref="M10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29</v>
      </c>
      <c r="D1" t="s">
        <v>30</v>
      </c>
      <c r="E1" t="s">
        <v>2</v>
      </c>
      <c r="F1" t="s">
        <v>3</v>
      </c>
      <c r="G1" t="s">
        <v>4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 x14ac:dyDescent="0.25">
      <c r="A2" t="s">
        <v>5</v>
      </c>
      <c r="B2">
        <v>2009</v>
      </c>
      <c r="C2">
        <v>16</v>
      </c>
      <c r="D2">
        <v>16</v>
      </c>
      <c r="E2">
        <v>0</v>
      </c>
      <c r="F2">
        <v>-19.489999999999998</v>
      </c>
      <c r="G2">
        <v>19.489999999999998</v>
      </c>
      <c r="H2">
        <f>(G2-F2)/2/1.96</f>
        <v>9.9438775510204067</v>
      </c>
      <c r="I2">
        <f>H2/SQRT(1/D2+1/C2)</f>
        <v>28.125532990460833</v>
      </c>
      <c r="J2">
        <f>-E2/I2</f>
        <v>0</v>
      </c>
      <c r="K2">
        <f>1-3/(4*(C2+D2-2)-1)</f>
        <v>0.97478991596638653</v>
      </c>
      <c r="L2">
        <f>K2*J2</f>
        <v>0</v>
      </c>
      <c r="M2">
        <f>K2*H2/I2</f>
        <v>0.3446402799060484</v>
      </c>
    </row>
    <row r="3" spans="1:13" x14ac:dyDescent="0.25">
      <c r="A3" t="s">
        <v>6</v>
      </c>
      <c r="B3">
        <v>2011</v>
      </c>
      <c r="C3">
        <v>35</v>
      </c>
      <c r="D3">
        <v>35</v>
      </c>
      <c r="E3">
        <v>1.1000000000000001</v>
      </c>
      <c r="F3">
        <v>-1.95</v>
      </c>
      <c r="G3">
        <v>4.1500000000000004</v>
      </c>
      <c r="H3">
        <f t="shared" ref="H3:H19" si="0">(G3-F3)/2/1.96</f>
        <v>1.556122448979592</v>
      </c>
      <c r="I3">
        <f t="shared" ref="I3:I19" si="1">H3/SQRT(1/D3+1/C3)</f>
        <v>6.5097272472676799</v>
      </c>
      <c r="J3">
        <f t="shared" ref="J3:J19" si="2">-E3/I3</f>
        <v>-0.16897789388360346</v>
      </c>
      <c r="K3">
        <f t="shared" ref="K3:K19" si="3">1-3/(4*(C3+D3-2)-1)</f>
        <v>0.98892988929889303</v>
      </c>
      <c r="L3">
        <f t="shared" ref="L3:L19" si="4">K3*J3</f>
        <v>-0.16710728989227205</v>
      </c>
      <c r="M3">
        <f>K3*H3/I3</f>
        <v>0.23639945926318637</v>
      </c>
    </row>
    <row r="4" spans="1:13" x14ac:dyDescent="0.25">
      <c r="A4" t="s">
        <v>7</v>
      </c>
      <c r="B4">
        <v>2011</v>
      </c>
      <c r="C4">
        <v>31</v>
      </c>
      <c r="D4">
        <v>29</v>
      </c>
      <c r="E4">
        <v>-8.1999999999999993</v>
      </c>
      <c r="F4">
        <v>-13.92</v>
      </c>
      <c r="G4">
        <v>-2.48</v>
      </c>
      <c r="H4">
        <f t="shared" si="0"/>
        <v>2.9183673469387754</v>
      </c>
      <c r="I4">
        <f t="shared" si="1"/>
        <v>11.296507060841817</v>
      </c>
      <c r="J4">
        <f t="shared" si="2"/>
        <v>0.72588809583667313</v>
      </c>
      <c r="K4">
        <f t="shared" si="3"/>
        <v>0.98701298701298701</v>
      </c>
      <c r="L4">
        <f t="shared" si="4"/>
        <v>0.71646097770892414</v>
      </c>
      <c r="M4">
        <f>K4*H4/I4</f>
        <v>0.25498735642701881</v>
      </c>
    </row>
    <row r="5" spans="1:13" x14ac:dyDescent="0.25">
      <c r="A5" t="s">
        <v>8</v>
      </c>
      <c r="B5">
        <v>2013</v>
      </c>
      <c r="C5">
        <v>24</v>
      </c>
      <c r="D5">
        <v>23</v>
      </c>
      <c r="E5">
        <v>-10.3</v>
      </c>
      <c r="F5">
        <v>-27.09</v>
      </c>
      <c r="G5">
        <v>6.49</v>
      </c>
      <c r="H5">
        <f t="shared" si="0"/>
        <v>8.566326530612244</v>
      </c>
      <c r="I5">
        <f t="shared" si="1"/>
        <v>29.357240770704113</v>
      </c>
      <c r="J5">
        <f t="shared" si="2"/>
        <v>0.35085041133288231</v>
      </c>
      <c r="K5">
        <f t="shared" si="3"/>
        <v>0.98324022346368711</v>
      </c>
      <c r="L5">
        <f t="shared" si="4"/>
        <v>0.34497023684126976</v>
      </c>
      <c r="M5">
        <f>K5*H5/I5</f>
        <v>0.28690560117718039</v>
      </c>
    </row>
    <row r="6" spans="1:13" x14ac:dyDescent="0.25">
      <c r="A6" t="s">
        <v>9</v>
      </c>
      <c r="B6">
        <v>2014</v>
      </c>
      <c r="C6">
        <v>7</v>
      </c>
      <c r="D6">
        <v>8</v>
      </c>
      <c r="E6">
        <v>-9.6999999999999993</v>
      </c>
      <c r="F6">
        <v>-31.05</v>
      </c>
      <c r="G6">
        <v>11.65</v>
      </c>
      <c r="H6">
        <f t="shared" si="0"/>
        <v>10.892857142857144</v>
      </c>
      <c r="I6">
        <f t="shared" si="1"/>
        <v>21.046999559941806</v>
      </c>
      <c r="J6">
        <f t="shared" si="2"/>
        <v>0.4608732932394673</v>
      </c>
      <c r="K6">
        <f t="shared" si="3"/>
        <v>0.94117647058823528</v>
      </c>
      <c r="L6">
        <f t="shared" si="4"/>
        <v>0.43376309951949865</v>
      </c>
      <c r="M6">
        <f>K6*H6/I6</f>
        <v>0.48710510071224999</v>
      </c>
    </row>
    <row r="7" spans="1:13" x14ac:dyDescent="0.25">
      <c r="A7" t="s">
        <v>10</v>
      </c>
      <c r="B7">
        <v>2014</v>
      </c>
      <c r="C7">
        <v>28</v>
      </c>
      <c r="D7">
        <v>30</v>
      </c>
      <c r="E7">
        <v>-2.16</v>
      </c>
      <c r="F7">
        <v>-4.0599999999999996</v>
      </c>
      <c r="G7">
        <v>-0.26</v>
      </c>
      <c r="H7">
        <f t="shared" si="0"/>
        <v>0.96938775510204078</v>
      </c>
      <c r="I7">
        <f t="shared" si="1"/>
        <v>3.6891233436327444</v>
      </c>
      <c r="J7">
        <f t="shared" si="2"/>
        <v>0.58550495573103023</v>
      </c>
      <c r="K7">
        <f t="shared" si="3"/>
        <v>0.98654708520179368</v>
      </c>
      <c r="L7">
        <f t="shared" si="4"/>
        <v>0.57762820744765309</v>
      </c>
      <c r="M7">
        <f>K7*H7/I7</f>
        <v>0.25923412560245196</v>
      </c>
    </row>
    <row r="8" spans="1:13" x14ac:dyDescent="0.25">
      <c r="A8" t="s">
        <v>11</v>
      </c>
      <c r="B8">
        <v>2015</v>
      </c>
      <c r="C8">
        <v>10</v>
      </c>
      <c r="D8">
        <v>10</v>
      </c>
      <c r="E8">
        <v>1.49</v>
      </c>
      <c r="F8">
        <v>-3.7</v>
      </c>
      <c r="G8">
        <v>6.68</v>
      </c>
      <c r="H8">
        <f t="shared" si="0"/>
        <v>2.6479591836734691</v>
      </c>
      <c r="I8">
        <f t="shared" si="1"/>
        <v>5.9210167363387285</v>
      </c>
      <c r="J8">
        <f t="shared" si="2"/>
        <v>-0.25164596999962952</v>
      </c>
      <c r="K8">
        <f t="shared" si="3"/>
        <v>0.95774647887323949</v>
      </c>
      <c r="L8">
        <f t="shared" si="4"/>
        <v>-0.24101304168978602</v>
      </c>
      <c r="M8">
        <f>K8*H8/I8</f>
        <v>0.42831724639432589</v>
      </c>
    </row>
    <row r="9" spans="1:13" x14ac:dyDescent="0.25">
      <c r="A9" t="s">
        <v>12</v>
      </c>
      <c r="B9">
        <v>2017</v>
      </c>
      <c r="C9">
        <v>50</v>
      </c>
      <c r="D9">
        <v>50</v>
      </c>
      <c r="E9">
        <v>-8.1199999999999992</v>
      </c>
      <c r="F9">
        <v>-13.42</v>
      </c>
      <c r="G9">
        <v>-2.82</v>
      </c>
      <c r="H9">
        <f t="shared" si="0"/>
        <v>2.704081632653061</v>
      </c>
      <c r="I9">
        <f t="shared" si="1"/>
        <v>13.520408163265305</v>
      </c>
      <c r="J9">
        <f t="shared" si="2"/>
        <v>0.60057358490566037</v>
      </c>
      <c r="K9">
        <f t="shared" si="3"/>
        <v>0.99232736572890023</v>
      </c>
      <c r="L9">
        <f t="shared" si="4"/>
        <v>0.59596560343579597</v>
      </c>
      <c r="M9">
        <f>K9*H9/I9</f>
        <v>0.19846547314578003</v>
      </c>
    </row>
    <row r="10" spans="1:13" x14ac:dyDescent="0.25">
      <c r="A10" t="s">
        <v>13</v>
      </c>
      <c r="B10">
        <v>2018</v>
      </c>
      <c r="C10">
        <v>51</v>
      </c>
      <c r="D10">
        <v>50</v>
      </c>
      <c r="E10">
        <v>0.4</v>
      </c>
      <c r="F10">
        <v>-2.74</v>
      </c>
      <c r="G10">
        <v>3.54</v>
      </c>
      <c r="H10">
        <f t="shared" si="0"/>
        <v>1.6020408163265307</v>
      </c>
      <c r="I10">
        <f t="shared" si="1"/>
        <v>8.049760885569464</v>
      </c>
      <c r="J10">
        <f t="shared" si="2"/>
        <v>-4.9690916995691954E-2</v>
      </c>
      <c r="K10">
        <f t="shared" si="3"/>
        <v>0.9924050632911392</v>
      </c>
      <c r="L10">
        <f t="shared" si="4"/>
        <v>-4.9313517626104419E-2</v>
      </c>
      <c r="M10">
        <f>K10*H10/I10</f>
        <v>0.19750567008414271</v>
      </c>
    </row>
    <row r="11" spans="1:13" x14ac:dyDescent="0.25">
      <c r="A11" t="s">
        <v>14</v>
      </c>
      <c r="B11">
        <v>2019</v>
      </c>
      <c r="C11">
        <v>32</v>
      </c>
      <c r="D11">
        <v>34</v>
      </c>
      <c r="E11">
        <v>-0.6</v>
      </c>
      <c r="F11">
        <v>-1.21</v>
      </c>
      <c r="G11">
        <v>0.01</v>
      </c>
      <c r="H11">
        <f t="shared" si="0"/>
        <v>0.31122448979591838</v>
      </c>
      <c r="I11">
        <f t="shared" si="1"/>
        <v>1.2636192797663548</v>
      </c>
      <c r="J11">
        <f t="shared" si="2"/>
        <v>0.47482656335454215</v>
      </c>
      <c r="K11">
        <f t="shared" si="3"/>
        <v>0.9882352941176471</v>
      </c>
      <c r="L11">
        <f t="shared" si="4"/>
        <v>0.46924036849154754</v>
      </c>
      <c r="M11">
        <f>K11*H11/I11</f>
        <v>0.24339849045905104</v>
      </c>
    </row>
    <row r="12" spans="1:13" x14ac:dyDescent="0.25">
      <c r="A12" t="s">
        <v>15</v>
      </c>
      <c r="B12">
        <v>2020</v>
      </c>
      <c r="C12">
        <v>23</v>
      </c>
      <c r="D12">
        <v>23</v>
      </c>
      <c r="E12">
        <v>-5.94</v>
      </c>
      <c r="F12">
        <v>-9.4700000000000006</v>
      </c>
      <c r="G12">
        <v>-2.41</v>
      </c>
      <c r="H12">
        <f t="shared" si="0"/>
        <v>1.8010204081632655</v>
      </c>
      <c r="I12">
        <f t="shared" si="1"/>
        <v>6.1075573572531114</v>
      </c>
      <c r="J12">
        <f t="shared" si="2"/>
        <v>0.97256556959647278</v>
      </c>
      <c r="K12">
        <f t="shared" si="3"/>
        <v>0.98285714285714287</v>
      </c>
      <c r="L12">
        <f t="shared" si="4"/>
        <v>0.95589301697481899</v>
      </c>
      <c r="M12">
        <f>K12*H12/I12</f>
        <v>0.28982875952734072</v>
      </c>
    </row>
    <row r="13" spans="1:13" x14ac:dyDescent="0.25">
      <c r="A13" t="s">
        <v>16</v>
      </c>
      <c r="B13">
        <v>2020</v>
      </c>
      <c r="C13">
        <v>42</v>
      </c>
      <c r="D13">
        <v>43</v>
      </c>
      <c r="E13">
        <v>-2.0099999999999998</v>
      </c>
      <c r="F13">
        <v>-5.15</v>
      </c>
      <c r="G13">
        <v>1.1299999999999999</v>
      </c>
      <c r="H13">
        <f t="shared" si="0"/>
        <v>1.6020408163265307</v>
      </c>
      <c r="I13">
        <f t="shared" si="1"/>
        <v>7.3845321709161906</v>
      </c>
      <c r="J13">
        <f t="shared" si="2"/>
        <v>0.27219056718533075</v>
      </c>
      <c r="K13">
        <f t="shared" si="3"/>
        <v>0.99093655589123864</v>
      </c>
      <c r="L13">
        <f t="shared" si="4"/>
        <v>0.26972358319271444</v>
      </c>
      <c r="M13">
        <f>K13*H13/I13</f>
        <v>0.21497919870675286</v>
      </c>
    </row>
    <row r="14" spans="1:13" x14ac:dyDescent="0.25">
      <c r="A14" t="s">
        <v>17</v>
      </c>
      <c r="B14">
        <v>2021</v>
      </c>
      <c r="C14">
        <v>49</v>
      </c>
      <c r="D14">
        <v>65</v>
      </c>
      <c r="E14">
        <v>-1.25</v>
      </c>
      <c r="F14">
        <v>-4.0999999999999996</v>
      </c>
      <c r="G14">
        <v>1.6</v>
      </c>
      <c r="H14">
        <f t="shared" si="0"/>
        <v>1.454081632653061</v>
      </c>
      <c r="I14">
        <f t="shared" si="1"/>
        <v>7.6858354345204791</v>
      </c>
      <c r="J14">
        <f t="shared" si="2"/>
        <v>0.16263684158337535</v>
      </c>
      <c r="K14">
        <f t="shared" si="3"/>
        <v>0.99328859060402686</v>
      </c>
      <c r="L14">
        <f t="shared" si="4"/>
        <v>0.1615453191566413</v>
      </c>
      <c r="M14">
        <f>K14*H14/I14</f>
        <v>0.187920065141399</v>
      </c>
    </row>
    <row r="15" spans="1:13" x14ac:dyDescent="0.25">
      <c r="A15" t="s">
        <v>18</v>
      </c>
      <c r="B15">
        <v>2022</v>
      </c>
      <c r="C15">
        <v>122</v>
      </c>
      <c r="D15">
        <v>117</v>
      </c>
      <c r="E15">
        <v>0.1</v>
      </c>
      <c r="F15">
        <v>-1.83</v>
      </c>
      <c r="G15">
        <v>2.0299999999999998</v>
      </c>
      <c r="H15">
        <f t="shared" si="0"/>
        <v>0.98469387755102045</v>
      </c>
      <c r="I15">
        <f t="shared" si="1"/>
        <v>7.6098331267096331</v>
      </c>
      <c r="J15">
        <f t="shared" si="2"/>
        <v>-1.3140892623389019E-2</v>
      </c>
      <c r="K15">
        <f t="shared" si="3"/>
        <v>0.99683210137275602</v>
      </c>
      <c r="L15">
        <f t="shared" si="4"/>
        <v>-1.3099263607686625E-2</v>
      </c>
      <c r="M15">
        <f>K15*H15/I15</f>
        <v>0.12898764674915911</v>
      </c>
    </row>
    <row r="16" spans="1:13" x14ac:dyDescent="0.25">
      <c r="A16" t="s">
        <v>19</v>
      </c>
      <c r="B16">
        <v>2022</v>
      </c>
      <c r="C16">
        <v>10</v>
      </c>
      <c r="D16">
        <v>10</v>
      </c>
      <c r="E16">
        <v>-0.93</v>
      </c>
      <c r="F16">
        <v>-1.17</v>
      </c>
      <c r="G16">
        <v>-0.69</v>
      </c>
      <c r="H16">
        <f t="shared" si="0"/>
        <v>0.12244897959183673</v>
      </c>
      <c r="I16">
        <f t="shared" si="1"/>
        <v>0.27380424214283139</v>
      </c>
      <c r="J16">
        <f t="shared" si="2"/>
        <v>3.3965872578221807</v>
      </c>
      <c r="K16">
        <f t="shared" si="3"/>
        <v>0.95774647887323949</v>
      </c>
      <c r="L16">
        <f t="shared" si="4"/>
        <v>3.2530694863649057</v>
      </c>
      <c r="M16">
        <f>K16*H16/I16</f>
        <v>0.42831724639432595</v>
      </c>
    </row>
    <row r="17" spans="1:13" x14ac:dyDescent="0.25">
      <c r="A17" t="s">
        <v>20</v>
      </c>
      <c r="B17">
        <v>2022</v>
      </c>
      <c r="C17">
        <v>50</v>
      </c>
      <c r="D17">
        <v>50</v>
      </c>
      <c r="E17">
        <v>-2.33</v>
      </c>
      <c r="F17">
        <v>-7.44</v>
      </c>
      <c r="G17">
        <v>2.78</v>
      </c>
      <c r="H17">
        <f t="shared" si="0"/>
        <v>2.6071428571428572</v>
      </c>
      <c r="I17">
        <f t="shared" si="1"/>
        <v>13.035714285714285</v>
      </c>
      <c r="J17">
        <f t="shared" si="2"/>
        <v>0.17873972602739727</v>
      </c>
      <c r="K17">
        <f t="shared" si="3"/>
        <v>0.99232736572890023</v>
      </c>
      <c r="L17">
        <f t="shared" si="4"/>
        <v>0.17736832147987247</v>
      </c>
      <c r="M17">
        <f>K17*H17/I17</f>
        <v>0.19846547314578009</v>
      </c>
    </row>
    <row r="18" spans="1:13" x14ac:dyDescent="0.25">
      <c r="A18" t="s">
        <v>21</v>
      </c>
      <c r="B18">
        <v>2023</v>
      </c>
      <c r="C18">
        <v>115</v>
      </c>
      <c r="D18">
        <v>105</v>
      </c>
      <c r="E18">
        <v>-3.82</v>
      </c>
      <c r="F18">
        <v>-7.95</v>
      </c>
      <c r="G18">
        <v>0.31</v>
      </c>
      <c r="H18">
        <f t="shared" si="0"/>
        <v>2.1071428571428572</v>
      </c>
      <c r="I18">
        <f t="shared" si="1"/>
        <v>15.61083773761453</v>
      </c>
      <c r="J18">
        <f t="shared" si="2"/>
        <v>0.2447017939848069</v>
      </c>
      <c r="K18">
        <f t="shared" si="3"/>
        <v>0.99655568312284726</v>
      </c>
      <c r="L18">
        <f t="shared" si="4"/>
        <v>0.24385896346591548</v>
      </c>
      <c r="M18">
        <f>K18*H18/I18</f>
        <v>0.13451457408834158</v>
      </c>
    </row>
    <row r="19" spans="1:13" x14ac:dyDescent="0.25">
      <c r="A19" t="s">
        <v>22</v>
      </c>
      <c r="B19">
        <v>2023</v>
      </c>
      <c r="C19">
        <v>10</v>
      </c>
      <c r="D19">
        <v>10</v>
      </c>
      <c r="E19">
        <v>-0.54</v>
      </c>
      <c r="F19">
        <v>-5.57</v>
      </c>
      <c r="G19">
        <v>4.49</v>
      </c>
      <c r="H19">
        <f t="shared" si="0"/>
        <v>2.5663265306122449</v>
      </c>
      <c r="I19">
        <f t="shared" si="1"/>
        <v>5.7384805749101746</v>
      </c>
      <c r="J19">
        <f t="shared" si="2"/>
        <v>9.4101564508380822E-2</v>
      </c>
      <c r="K19">
        <f t="shared" si="3"/>
        <v>0.95774647887323949</v>
      </c>
      <c r="L19">
        <f t="shared" si="4"/>
        <v>9.0125442064364736E-2</v>
      </c>
      <c r="M19">
        <f>K19*H19/I19</f>
        <v>0.42831724639432595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2025-12-30T22:43:05Z</dcterms:modified>
</cp:coreProperties>
</file>