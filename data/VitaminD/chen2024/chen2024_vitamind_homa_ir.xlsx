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chen2024\"/>
    </mc:Choice>
  </mc:AlternateContent>
  <xr:revisionPtr revIDLastSave="0" documentId="13_ncr:1_{DF7BD839-1BDF-418A-8FB7-A7EA0A69F5EA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H4" i="1"/>
  <c r="I4" i="1" s="1"/>
  <c r="K4" i="1"/>
  <c r="L4" i="1" s="1"/>
  <c r="H5" i="1"/>
  <c r="I5" i="1" s="1"/>
  <c r="L5" i="1" s="1"/>
  <c r="K5" i="1"/>
  <c r="H6" i="1"/>
  <c r="I6" i="1" s="1"/>
  <c r="K6" i="1"/>
  <c r="H7" i="1"/>
  <c r="I7" i="1"/>
  <c r="L7" i="1" s="1"/>
  <c r="K7" i="1"/>
  <c r="H8" i="1"/>
  <c r="I8" i="1" s="1"/>
  <c r="K8" i="1"/>
  <c r="H9" i="1"/>
  <c r="I9" i="1"/>
  <c r="K9" i="1"/>
  <c r="H10" i="1"/>
  <c r="I10" i="1" s="1"/>
  <c r="K10" i="1"/>
  <c r="H11" i="1"/>
  <c r="I11" i="1"/>
  <c r="K11" i="1"/>
  <c r="H12" i="1"/>
  <c r="I12" i="1" s="1"/>
  <c r="K12" i="1"/>
  <c r="H13" i="1"/>
  <c r="I13" i="1"/>
  <c r="K13" i="1"/>
  <c r="H14" i="1"/>
  <c r="I14" i="1" s="1"/>
  <c r="K14" i="1"/>
  <c r="H15" i="1"/>
  <c r="I15" i="1"/>
  <c r="L15" i="1" s="1"/>
  <c r="K15" i="1"/>
  <c r="H16" i="1"/>
  <c r="I16" i="1" s="1"/>
  <c r="K16" i="1"/>
  <c r="H17" i="1"/>
  <c r="I17" i="1"/>
  <c r="L17" i="1" s="1"/>
  <c r="K17" i="1"/>
  <c r="H18" i="1"/>
  <c r="I18" i="1" s="1"/>
  <c r="K18" i="1"/>
  <c r="K3" i="1"/>
  <c r="H3" i="1"/>
  <c r="I3" i="1" s="1"/>
  <c r="K2" i="1"/>
  <c r="H2" i="1"/>
  <c r="I2" i="1" s="1"/>
  <c r="L11" i="1" l="1"/>
  <c r="L9" i="1"/>
  <c r="L13" i="1"/>
  <c r="L14" i="1"/>
  <c r="L18" i="1"/>
  <c r="L12" i="1"/>
  <c r="L16" i="1"/>
  <c r="L6" i="1"/>
  <c r="L10" i="1"/>
  <c r="L8" i="1"/>
  <c r="L2" i="1"/>
  <c r="L3" i="1"/>
</calcChain>
</file>

<file path=xl/sharedStrings.xml><?xml version="1.0" encoding="utf-8"?>
<sst xmlns="http://schemas.openxmlformats.org/spreadsheetml/2006/main" count="30" uniqueCount="30">
  <si>
    <t>Author</t>
  </si>
  <si>
    <t>Year</t>
  </si>
  <si>
    <t>WMD</t>
  </si>
  <si>
    <t>LCI</t>
  </si>
  <si>
    <t>UCI</t>
  </si>
  <si>
    <t>Al-Sofiani</t>
  </si>
  <si>
    <t>Breslavsky</t>
  </si>
  <si>
    <t>Jorde</t>
  </si>
  <si>
    <t>Eftekhari</t>
  </si>
  <si>
    <t>Baziar</t>
  </si>
  <si>
    <t>Ryu</t>
  </si>
  <si>
    <t>Salehi</t>
  </si>
  <si>
    <t>El Hajj</t>
  </si>
  <si>
    <t>Imanparast</t>
  </si>
  <si>
    <t>Safarpour</t>
  </si>
  <si>
    <t>Cojic</t>
  </si>
  <si>
    <t>Derosa</t>
  </si>
  <si>
    <t>Hoseini</t>
  </si>
  <si>
    <t>Hu</t>
  </si>
  <si>
    <t>Salarinia</t>
  </si>
  <si>
    <t>n_treat</t>
  </si>
  <si>
    <t>n_control</t>
  </si>
  <si>
    <t>Tabesha</t>
  </si>
  <si>
    <t>Tabeshb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</si>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</sst>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11" sqref="K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20</v>
      </c>
      <c r="D1" t="s">
        <v>21</v>
      </c>
      <c r="E1" t="s">
        <v>2</v>
      </c>
      <c r="F1" t="s">
        <v>3</v>
      </c>
      <c r="G1" t="s">
        <v>4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5">
      <c r="A2" t="s">
        <v>5</v>
      </c>
      <c r="B2">
        <v>2015</v>
      </c>
      <c r="C2">
        <v>10</v>
      </c>
      <c r="D2">
        <v>10</v>
      </c>
      <c r="E2">
        <v>0.62</v>
      </c>
      <c r="F2">
        <v>-1.82</v>
      </c>
      <c r="G2">
        <v>3.06</v>
      </c>
      <c r="H2">
        <f>(G2-F2)/2/1.96</f>
        <v>1.2448979591836735</v>
      </c>
      <c r="I2">
        <f>H2/SQRT(1/D2+1/C2)</f>
        <v>2.7836764617854528</v>
      </c>
      <c r="J2">
        <f>-E2/I2</f>
        <v>-0.22272703329981508</v>
      </c>
      <c r="K2">
        <f>1-3/(4*(C2+D2-2)-1)</f>
        <v>0.95774647887323949</v>
      </c>
      <c r="L2">
        <f>K2*J2</f>
        <v>-0.21331603189278064</v>
      </c>
      <c r="M2">
        <f>K2*H2/I2</f>
        <v>0.42831724639432589</v>
      </c>
    </row>
    <row r="3" spans="1:13" x14ac:dyDescent="0.25">
      <c r="A3" t="s">
        <v>6</v>
      </c>
      <c r="B3">
        <v>2013</v>
      </c>
      <c r="C3">
        <v>24</v>
      </c>
      <c r="D3">
        <v>23</v>
      </c>
      <c r="E3">
        <v>-4.3</v>
      </c>
      <c r="F3">
        <v>-12.57</v>
      </c>
      <c r="G3">
        <v>3.97</v>
      </c>
      <c r="H3">
        <f t="shared" ref="H3" si="0">(G3-F3)/2/1.96</f>
        <v>4.2193877551020407</v>
      </c>
      <c r="I3">
        <f t="shared" ref="I3" si="1">H3/SQRT(1/D3+1/C3)</f>
        <v>14.460058437982314</v>
      </c>
      <c r="J3">
        <f t="shared" ref="J3:J18" si="2">-E3/I3</f>
        <v>0.29737085907655575</v>
      </c>
      <c r="K3">
        <f t="shared" ref="K3" si="3">1-3/(4*(C3+D3-2)-1)</f>
        <v>0.98324022346368711</v>
      </c>
      <c r="L3">
        <f t="shared" ref="L3" si="4">K3*J3</f>
        <v>0.29238698993002127</v>
      </c>
      <c r="M3">
        <f>K3*H3/I3</f>
        <v>0.28690560117718039</v>
      </c>
    </row>
    <row r="4" spans="1:13" x14ac:dyDescent="0.25">
      <c r="A4" t="s">
        <v>7</v>
      </c>
      <c r="B4">
        <v>2009</v>
      </c>
      <c r="C4">
        <v>16</v>
      </c>
      <c r="D4">
        <v>16</v>
      </c>
      <c r="E4">
        <v>0.5</v>
      </c>
      <c r="F4">
        <v>-12.83</v>
      </c>
      <c r="G4">
        <v>13.83</v>
      </c>
      <c r="H4">
        <f t="shared" ref="H4:H18" si="5">(G4-F4)/2/1.96</f>
        <v>6.8010204081632653</v>
      </c>
      <c r="I4">
        <f t="shared" ref="I4:I18" si="6">H4/SQRT(1/D4+1/C4)</f>
        <v>19.236190598401382</v>
      </c>
      <c r="J4">
        <f t="shared" si="2"/>
        <v>-2.5992672376699801E-2</v>
      </c>
      <c r="K4">
        <f t="shared" ref="K4:K18" si="7">1-3/(4*(C4+D4-2)-1)</f>
        <v>0.97478991596638653</v>
      </c>
      <c r="L4">
        <f t="shared" ref="L4:L18" si="8">K4*J4</f>
        <v>-2.5337394921825015E-2</v>
      </c>
      <c r="M4">
        <f>K4*H4/I4</f>
        <v>0.3446402799060484</v>
      </c>
    </row>
    <row r="5" spans="1:13" x14ac:dyDescent="0.25">
      <c r="A5" t="s">
        <v>8</v>
      </c>
      <c r="B5">
        <v>2011</v>
      </c>
      <c r="C5">
        <v>35</v>
      </c>
      <c r="D5">
        <v>35</v>
      </c>
      <c r="E5">
        <v>-0.19</v>
      </c>
      <c r="F5">
        <v>-1.3</v>
      </c>
      <c r="G5">
        <v>0.92</v>
      </c>
      <c r="H5">
        <f t="shared" si="5"/>
        <v>0.56632653061224492</v>
      </c>
      <c r="I5">
        <f t="shared" si="6"/>
        <v>2.3691138506449589</v>
      </c>
      <c r="J5">
        <f t="shared" si="2"/>
        <v>8.0198762903806883E-2</v>
      </c>
      <c r="K5">
        <f t="shared" si="7"/>
        <v>0.98892988929889303</v>
      </c>
      <c r="L5">
        <f t="shared" si="8"/>
        <v>7.9310953720369906E-2</v>
      </c>
      <c r="M5">
        <f>K5*H5/I5</f>
        <v>0.23639945926318634</v>
      </c>
    </row>
    <row r="6" spans="1:13" x14ac:dyDescent="0.25">
      <c r="A6" t="s">
        <v>9</v>
      </c>
      <c r="B6">
        <v>2014</v>
      </c>
      <c r="C6">
        <v>41</v>
      </c>
      <c r="D6">
        <v>40</v>
      </c>
      <c r="E6">
        <v>-1.43</v>
      </c>
      <c r="F6">
        <v>-2.4700000000000002</v>
      </c>
      <c r="G6">
        <v>-0.39</v>
      </c>
      <c r="H6">
        <f t="shared" si="5"/>
        <v>0.53061224489795922</v>
      </c>
      <c r="I6">
        <f t="shared" si="6"/>
        <v>2.3875731293162414</v>
      </c>
      <c r="J6">
        <f t="shared" si="2"/>
        <v>0.59893453416839493</v>
      </c>
      <c r="K6">
        <f t="shared" si="7"/>
        <v>0.99047619047619051</v>
      </c>
      <c r="L6">
        <f t="shared" si="8"/>
        <v>0.59323039574774361</v>
      </c>
      <c r="M6">
        <f>K6*H6/I6</f>
        <v>0.22012259582476573</v>
      </c>
    </row>
    <row r="7" spans="1:13" x14ac:dyDescent="0.25">
      <c r="A7" t="s">
        <v>10</v>
      </c>
      <c r="B7">
        <v>2014</v>
      </c>
      <c r="C7">
        <v>79</v>
      </c>
      <c r="D7">
        <v>79</v>
      </c>
      <c r="E7">
        <v>0.55000000000000004</v>
      </c>
      <c r="F7">
        <v>-0.01</v>
      </c>
      <c r="G7">
        <v>1.1100000000000001</v>
      </c>
      <c r="H7">
        <f t="shared" si="5"/>
        <v>0.28571428571428575</v>
      </c>
      <c r="I7">
        <f t="shared" si="6"/>
        <v>1.7956864414252194</v>
      </c>
      <c r="J7">
        <f t="shared" si="2"/>
        <v>-0.30628955440765609</v>
      </c>
      <c r="K7">
        <f t="shared" si="7"/>
        <v>0.9951845906902087</v>
      </c>
      <c r="L7">
        <f t="shared" si="8"/>
        <v>-0.30481464483586962</v>
      </c>
      <c r="M7">
        <f>K7*H7/I7</f>
        <v>0.15834527004460761</v>
      </c>
    </row>
    <row r="8" spans="1:13" x14ac:dyDescent="0.25">
      <c r="A8" t="s">
        <v>22</v>
      </c>
      <c r="B8">
        <v>2014</v>
      </c>
      <c r="C8">
        <v>15</v>
      </c>
      <c r="D8">
        <v>15</v>
      </c>
      <c r="E8">
        <v>-0.44</v>
      </c>
      <c r="F8">
        <v>-0.51</v>
      </c>
      <c r="G8">
        <v>-0.37</v>
      </c>
      <c r="H8">
        <f t="shared" si="5"/>
        <v>3.5714285714285719E-2</v>
      </c>
      <c r="I8">
        <f t="shared" si="6"/>
        <v>9.7807599554493974E-2</v>
      </c>
      <c r="J8">
        <f t="shared" si="2"/>
        <v>4.4986279389757629</v>
      </c>
      <c r="K8">
        <f t="shared" si="7"/>
        <v>0.97297297297297303</v>
      </c>
      <c r="L8">
        <f t="shared" si="8"/>
        <v>4.377043400084526</v>
      </c>
      <c r="M8">
        <f>K8*H8/I8</f>
        <v>0.35527949676010773</v>
      </c>
    </row>
    <row r="9" spans="1:13" x14ac:dyDescent="0.25">
      <c r="A9" t="s">
        <v>23</v>
      </c>
      <c r="B9">
        <v>2014</v>
      </c>
      <c r="C9">
        <v>15</v>
      </c>
      <c r="D9">
        <v>15</v>
      </c>
      <c r="E9">
        <v>-0.02</v>
      </c>
      <c r="F9">
        <v>-0.1</v>
      </c>
      <c r="G9">
        <v>7.0000000000000007E-2</v>
      </c>
      <c r="H9">
        <f t="shared" si="5"/>
        <v>4.3367346938775517E-2</v>
      </c>
      <c r="I9">
        <f t="shared" si="6"/>
        <v>0.11876637088759982</v>
      </c>
      <c r="J9">
        <f t="shared" si="2"/>
        <v>0.16839783728786281</v>
      </c>
      <c r="K9">
        <f t="shared" si="7"/>
        <v>0.97297297297297303</v>
      </c>
      <c r="L9">
        <f t="shared" si="8"/>
        <v>0.16384654438819085</v>
      </c>
      <c r="M9">
        <f>K9*H9/I9</f>
        <v>0.35527949676010778</v>
      </c>
    </row>
    <row r="10" spans="1:13" x14ac:dyDescent="0.25">
      <c r="A10" t="s">
        <v>11</v>
      </c>
      <c r="B10">
        <v>2018</v>
      </c>
      <c r="C10">
        <v>51</v>
      </c>
      <c r="D10">
        <v>50</v>
      </c>
      <c r="E10">
        <v>-0.9</v>
      </c>
      <c r="F10">
        <v>-2.19</v>
      </c>
      <c r="G10">
        <v>0.39</v>
      </c>
      <c r="H10">
        <f t="shared" si="5"/>
        <v>0.65816326530612246</v>
      </c>
      <c r="I10">
        <f t="shared" si="6"/>
        <v>3.3070673701861804</v>
      </c>
      <c r="J10">
        <f t="shared" si="2"/>
        <v>0.27214444075547578</v>
      </c>
      <c r="K10">
        <f t="shared" si="7"/>
        <v>0.9924050632911392</v>
      </c>
      <c r="L10">
        <f t="shared" si="8"/>
        <v>0.27007752095226961</v>
      </c>
      <c r="M10">
        <f>K10*H10/I10</f>
        <v>0.19750567008414271</v>
      </c>
    </row>
    <row r="11" spans="1:13" x14ac:dyDescent="0.25">
      <c r="A11" t="s">
        <v>12</v>
      </c>
      <c r="B11">
        <v>2020</v>
      </c>
      <c r="C11">
        <v>45</v>
      </c>
      <c r="D11">
        <v>43</v>
      </c>
      <c r="E11">
        <v>-0.09</v>
      </c>
      <c r="F11">
        <v>-1.02</v>
      </c>
      <c r="G11">
        <v>0.84</v>
      </c>
      <c r="H11">
        <f t="shared" si="5"/>
        <v>0.47448979591836732</v>
      </c>
      <c r="I11">
        <f t="shared" si="6"/>
        <v>2.2249795607930341</v>
      </c>
      <c r="J11">
        <f t="shared" si="2"/>
        <v>4.0449809780689364E-2</v>
      </c>
      <c r="K11">
        <f t="shared" si="7"/>
        <v>0.99125364431486884</v>
      </c>
      <c r="L11">
        <f t="shared" si="8"/>
        <v>4.0096021356951554E-2</v>
      </c>
      <c r="M11">
        <f>K11*H11/I11</f>
        <v>0.21139058878664935</v>
      </c>
    </row>
    <row r="12" spans="1:13" x14ac:dyDescent="0.25">
      <c r="A12" t="s">
        <v>13</v>
      </c>
      <c r="B12">
        <v>2020</v>
      </c>
      <c r="C12">
        <v>23</v>
      </c>
      <c r="D12">
        <v>23</v>
      </c>
      <c r="E12">
        <v>-3.64</v>
      </c>
      <c r="F12">
        <v>-6</v>
      </c>
      <c r="G12">
        <v>-1.28</v>
      </c>
      <c r="H12">
        <f t="shared" si="5"/>
        <v>1.2040816326530612</v>
      </c>
      <c r="I12">
        <f t="shared" si="6"/>
        <v>4.0832394796366414</v>
      </c>
      <c r="J12">
        <f t="shared" si="2"/>
        <v>0.89144906100974408</v>
      </c>
      <c r="K12">
        <f t="shared" si="7"/>
        <v>0.98285714285714287</v>
      </c>
      <c r="L12">
        <f t="shared" si="8"/>
        <v>0.87616707710671993</v>
      </c>
      <c r="M12">
        <f>K12*H12/I12</f>
        <v>0.28982875952734061</v>
      </c>
    </row>
    <row r="13" spans="1:13" x14ac:dyDescent="0.25">
      <c r="A13" t="s">
        <v>14</v>
      </c>
      <c r="B13">
        <v>2020</v>
      </c>
      <c r="C13">
        <v>42</v>
      </c>
      <c r="D13">
        <v>43</v>
      </c>
      <c r="E13">
        <v>-0.47</v>
      </c>
      <c r="F13">
        <v>-2.08</v>
      </c>
      <c r="G13">
        <v>1.1399999999999999</v>
      </c>
      <c r="H13">
        <f t="shared" si="5"/>
        <v>0.8214285714285714</v>
      </c>
      <c r="I13">
        <f t="shared" si="6"/>
        <v>3.7863365589729505</v>
      </c>
      <c r="J13">
        <f t="shared" si="2"/>
        <v>0.12413053955443627</v>
      </c>
      <c r="K13">
        <f t="shared" si="7"/>
        <v>0.99093655589123864</v>
      </c>
      <c r="L13">
        <f t="shared" si="8"/>
        <v>0.12300548934699425</v>
      </c>
      <c r="M13">
        <f>K13*H13/I13</f>
        <v>0.21497919870675289</v>
      </c>
    </row>
    <row r="14" spans="1:13" x14ac:dyDescent="0.25">
      <c r="A14" t="s">
        <v>15</v>
      </c>
      <c r="B14">
        <v>2021</v>
      </c>
      <c r="C14">
        <v>49</v>
      </c>
      <c r="D14">
        <v>65</v>
      </c>
      <c r="E14">
        <v>-0.02</v>
      </c>
      <c r="F14">
        <v>-1.1399999999999999</v>
      </c>
      <c r="G14">
        <v>1.1000000000000001</v>
      </c>
      <c r="H14">
        <f t="shared" si="5"/>
        <v>0.57142857142857151</v>
      </c>
      <c r="I14">
        <f t="shared" si="6"/>
        <v>3.0203984865483999</v>
      </c>
      <c r="J14">
        <f t="shared" si="2"/>
        <v>6.6216428358945659E-3</v>
      </c>
      <c r="K14">
        <f t="shared" si="7"/>
        <v>0.99328859060402686</v>
      </c>
      <c r="L14">
        <f t="shared" si="8"/>
        <v>6.5772022799489649E-3</v>
      </c>
      <c r="M14">
        <f>K14*H14/I14</f>
        <v>0.18792006514139903</v>
      </c>
    </row>
    <row r="15" spans="1:13" x14ac:dyDescent="0.25">
      <c r="A15" t="s">
        <v>16</v>
      </c>
      <c r="B15">
        <v>2022</v>
      </c>
      <c r="C15">
        <v>122</v>
      </c>
      <c r="D15">
        <v>117</v>
      </c>
      <c r="E15">
        <v>-1.2</v>
      </c>
      <c r="F15">
        <v>-2.02</v>
      </c>
      <c r="G15">
        <v>-0.38</v>
      </c>
      <c r="H15">
        <f t="shared" si="5"/>
        <v>0.41836734693877553</v>
      </c>
      <c r="I15">
        <f t="shared" si="6"/>
        <v>3.2331933491719687</v>
      </c>
      <c r="J15">
        <f t="shared" si="2"/>
        <v>0.37115008921669468</v>
      </c>
      <c r="K15">
        <f t="shared" si="7"/>
        <v>0.99683210137275602</v>
      </c>
      <c r="L15">
        <f t="shared" si="8"/>
        <v>0.36997432335856362</v>
      </c>
      <c r="M15">
        <f>K15*H15/I15</f>
        <v>0.12898764674915911</v>
      </c>
    </row>
    <row r="16" spans="1:13" x14ac:dyDescent="0.25">
      <c r="A16" t="s">
        <v>17</v>
      </c>
      <c r="B16">
        <v>2022</v>
      </c>
      <c r="C16">
        <v>10</v>
      </c>
      <c r="D16">
        <v>10</v>
      </c>
      <c r="E16">
        <v>-0.49</v>
      </c>
      <c r="F16">
        <v>-0.7</v>
      </c>
      <c r="G16">
        <v>-0.28000000000000003</v>
      </c>
      <c r="H16">
        <f t="shared" si="5"/>
        <v>0.10714285714285712</v>
      </c>
      <c r="I16">
        <f t="shared" si="6"/>
        <v>0.23957871187497742</v>
      </c>
      <c r="J16">
        <f t="shared" si="2"/>
        <v>2.045256843419808</v>
      </c>
      <c r="K16">
        <f t="shared" si="7"/>
        <v>0.95774647887323949</v>
      </c>
      <c r="L16">
        <f t="shared" si="8"/>
        <v>1.9588375401767175</v>
      </c>
      <c r="M16">
        <f>K16*H16/I16</f>
        <v>0.42831724639432595</v>
      </c>
    </row>
    <row r="17" spans="1:13" x14ac:dyDescent="0.25">
      <c r="A17" t="s">
        <v>18</v>
      </c>
      <c r="B17">
        <v>2023</v>
      </c>
      <c r="C17">
        <v>115</v>
      </c>
      <c r="D17">
        <v>105</v>
      </c>
      <c r="E17">
        <v>-1.47</v>
      </c>
      <c r="F17">
        <v>-3</v>
      </c>
      <c r="G17">
        <v>0.06</v>
      </c>
      <c r="H17">
        <f t="shared" si="5"/>
        <v>0.78061224489795922</v>
      </c>
      <c r="I17">
        <f t="shared" si="6"/>
        <v>5.7831917042494512</v>
      </c>
      <c r="J17">
        <f t="shared" si="2"/>
        <v>0.25418489913102027</v>
      </c>
      <c r="K17">
        <f t="shared" si="7"/>
        <v>0.99655568312284726</v>
      </c>
      <c r="L17">
        <f t="shared" si="8"/>
        <v>0.25330940579302591</v>
      </c>
      <c r="M17">
        <f>K17*H17/I17</f>
        <v>0.13451457408834155</v>
      </c>
    </row>
    <row r="18" spans="1:13" x14ac:dyDescent="0.25">
      <c r="A18" t="s">
        <v>19</v>
      </c>
      <c r="B18">
        <v>2023</v>
      </c>
      <c r="C18">
        <v>10</v>
      </c>
      <c r="D18">
        <v>10</v>
      </c>
      <c r="E18">
        <v>-0.48</v>
      </c>
      <c r="F18">
        <v>-1.2</v>
      </c>
      <c r="G18">
        <v>0.24</v>
      </c>
      <c r="H18">
        <f t="shared" si="5"/>
        <v>0.36734693877551022</v>
      </c>
      <c r="I18">
        <f t="shared" si="6"/>
        <v>0.82141272642849428</v>
      </c>
      <c r="J18">
        <f t="shared" si="2"/>
        <v>0.58435909811994491</v>
      </c>
      <c r="K18">
        <f t="shared" si="7"/>
        <v>0.95774647887323949</v>
      </c>
      <c r="L18">
        <f t="shared" si="8"/>
        <v>0.55966786862191908</v>
      </c>
      <c r="M18">
        <f>K18*H18/I18</f>
        <v>0.42831724639432589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2025-12-30T22:41:01Z</dcterms:modified>
</cp:coreProperties>
</file>