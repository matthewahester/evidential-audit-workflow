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mayowilson2011\"/>
    </mc:Choice>
  </mc:AlternateContent>
  <xr:revisionPtr revIDLastSave="0" documentId="13_ncr:1_{F89A46A7-0C2E-48E9-A9A7-6AE317C5D4A8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/>
  <c r="K2" i="1"/>
  <c r="J2" i="1"/>
  <c r="G3" i="1"/>
  <c r="H3" i="1"/>
  <c r="I3" i="1" s="1"/>
  <c r="G4" i="1"/>
  <c r="H4" i="1"/>
  <c r="I4" i="1" s="1"/>
  <c r="G5" i="1"/>
  <c r="H5" i="1"/>
  <c r="I5" i="1"/>
  <c r="G6" i="1"/>
  <c r="H6" i="1"/>
  <c r="I6" i="1" s="1"/>
  <c r="G7" i="1"/>
  <c r="H7" i="1"/>
  <c r="I7" i="1" s="1"/>
  <c r="G8" i="1"/>
  <c r="H8" i="1"/>
  <c r="I8" i="1"/>
  <c r="G9" i="1"/>
  <c r="H9" i="1"/>
  <c r="I9" i="1" s="1"/>
  <c r="G10" i="1"/>
  <c r="H10" i="1"/>
  <c r="I10" i="1" s="1"/>
  <c r="G11" i="1"/>
  <c r="H11" i="1"/>
  <c r="I11" i="1"/>
  <c r="G12" i="1"/>
  <c r="H12" i="1"/>
  <c r="I12" i="1" s="1"/>
  <c r="G13" i="1"/>
  <c r="H13" i="1"/>
  <c r="I13" i="1"/>
  <c r="G2" i="1"/>
  <c r="H2" i="1"/>
  <c r="I2" i="1" s="1"/>
</calcChain>
</file>

<file path=xl/sharedStrings.xml><?xml version="1.0" encoding="utf-8"?>
<sst xmlns="http://schemas.openxmlformats.org/spreadsheetml/2006/main" count="23" uniqueCount="23">
  <si>
    <t>Author</t>
  </si>
  <si>
    <t>Year</t>
  </si>
  <si>
    <t>n</t>
  </si>
  <si>
    <t>RR</t>
  </si>
  <si>
    <t>lCI</t>
  </si>
  <si>
    <t>uCI</t>
  </si>
  <si>
    <t>Arya</t>
  </si>
  <si>
    <t>Florentino</t>
  </si>
  <si>
    <t>Cheng</t>
  </si>
  <si>
    <t>Herrera</t>
  </si>
  <si>
    <t>Biswas</t>
  </si>
  <si>
    <t>Venkatarao</t>
  </si>
  <si>
    <t>Long</t>
  </si>
  <si>
    <t>Sempertegui</t>
  </si>
  <si>
    <t>Shankar</t>
  </si>
  <si>
    <t>Dibley</t>
  </si>
  <si>
    <t>Chowdhury</t>
  </si>
  <si>
    <t>Barreto</t>
  </si>
  <si>
    <t>ES</t>
  </si>
  <si>
    <t>J</t>
  </si>
  <si>
    <t>g</t>
  </si>
  <si>
    <t>se_g</t>
  </si>
  <si>
    <t>se_es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</si>
</sst>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J5" sqref="J5"/>
    </sheetView>
  </sheetViews>
  <sheetFormatPr defaultRowHeight="15" x14ac:dyDescent="0.25"/>
  <cols>
    <col min="1" max="1" width="12.42578125" bestFit="1" customWidth="1"/>
    <col min="2" max="2" width="5" bestFit="1" customWidth="1"/>
    <col min="3" max="3" width="6" bestFit="1" customWidth="1"/>
    <col min="4" max="6" width="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22</v>
      </c>
      <c r="K1" t="s">
        <v>21</v>
      </c>
    </row>
    <row r="2" spans="1:11" x14ac:dyDescent="0.25">
      <c r="A2" t="s">
        <v>6</v>
      </c>
      <c r="B2">
        <v>2000</v>
      </c>
      <c r="C2">
        <v>256</v>
      </c>
      <c r="D2">
        <v>0.95</v>
      </c>
      <c r="E2">
        <v>0.46</v>
      </c>
      <c r="F2">
        <v>1.99</v>
      </c>
      <c r="G2">
        <f>-LN(D2)/1.81</f>
        <v>2.8338836678204738E-2</v>
      </c>
      <c r="H2">
        <f>1-3/(4*(C2-2)-1)</f>
        <v>0.99704433497536948</v>
      </c>
      <c r="I2">
        <f>H2*G2</f>
        <v>2.8255076569796252E-2</v>
      </c>
      <c r="J2">
        <f>(LN(F2)-LN(E2))/2/1.96/1.81</f>
        <v>0.20643018212811437</v>
      </c>
      <c r="K2">
        <f>J2*H2</f>
        <v>0.20582004365877019</v>
      </c>
    </row>
    <row r="3" spans="1:11" x14ac:dyDescent="0.25">
      <c r="A3" t="s">
        <v>7</v>
      </c>
      <c r="B3">
        <v>1990</v>
      </c>
      <c r="C3">
        <v>2471</v>
      </c>
      <c r="D3">
        <v>1.07</v>
      </c>
      <c r="E3">
        <v>0.76</v>
      </c>
      <c r="F3">
        <v>1.51</v>
      </c>
      <c r="G3">
        <f t="shared" ref="G3:G13" si="0">-LN(D3)/1.81</f>
        <v>-3.7380468770063457E-2</v>
      </c>
      <c r="H3">
        <f t="shared" ref="H3:H13" si="1">1-3/(4*(C3-2)-1)</f>
        <v>0.99969620253164559</v>
      </c>
      <c r="I3">
        <f t="shared" ref="I3:I13" si="2">H3*G3</f>
        <v>-3.7369112678285209E-2</v>
      </c>
      <c r="J3">
        <f t="shared" ref="J3:J13" si="3">(LN(F3)-LN(E3))/2/1.96/1.81</f>
        <v>9.6762106287150929E-2</v>
      </c>
      <c r="K3">
        <f t="shared" ref="K3:K13" si="4">J3*H3</f>
        <v>9.6732710204228259E-2</v>
      </c>
    </row>
    <row r="4" spans="1:11" x14ac:dyDescent="0.25">
      <c r="A4" t="s">
        <v>8</v>
      </c>
      <c r="B4">
        <v>1993</v>
      </c>
      <c r="C4">
        <v>198</v>
      </c>
      <c r="D4">
        <v>0.4</v>
      </c>
      <c r="E4">
        <v>0.3</v>
      </c>
      <c r="F4">
        <v>0.54</v>
      </c>
      <c r="G4">
        <f t="shared" si="0"/>
        <v>0.5062379734111353</v>
      </c>
      <c r="H4">
        <f t="shared" si="1"/>
        <v>0.99616858237547889</v>
      </c>
      <c r="I4">
        <f t="shared" si="2"/>
        <v>0.504298364317606</v>
      </c>
      <c r="J4">
        <f t="shared" si="3"/>
        <v>8.2842860652570641E-2</v>
      </c>
      <c r="K4">
        <f t="shared" si="4"/>
        <v>8.2525455056200639E-2</v>
      </c>
    </row>
    <row r="5" spans="1:11" x14ac:dyDescent="0.25">
      <c r="A5" t="s">
        <v>9</v>
      </c>
      <c r="B5">
        <v>1992</v>
      </c>
      <c r="C5">
        <v>28753</v>
      </c>
      <c r="D5">
        <v>0.56999999999999995</v>
      </c>
      <c r="E5">
        <v>0.43</v>
      </c>
      <c r="F5">
        <v>0.76</v>
      </c>
      <c r="G5">
        <f t="shared" si="0"/>
        <v>0.31056293820637643</v>
      </c>
      <c r="H5">
        <f t="shared" si="1"/>
        <v>0.9999739137239898</v>
      </c>
      <c r="I5">
        <f t="shared" si="2"/>
        <v>0.31055483677585183</v>
      </c>
      <c r="J5">
        <f t="shared" si="3"/>
        <v>8.027021431288317E-2</v>
      </c>
      <c r="K5">
        <f t="shared" si="4"/>
        <v>8.0268120361917203E-2</v>
      </c>
    </row>
    <row r="6" spans="1:11" x14ac:dyDescent="0.25">
      <c r="A6" t="s">
        <v>10</v>
      </c>
      <c r="B6">
        <v>1994</v>
      </c>
      <c r="C6">
        <v>180</v>
      </c>
      <c r="D6">
        <v>0.78</v>
      </c>
      <c r="E6">
        <v>0.61</v>
      </c>
      <c r="F6">
        <v>0.99</v>
      </c>
      <c r="G6">
        <f t="shared" si="0"/>
        <v>0.13727146922569039</v>
      </c>
      <c r="H6">
        <f t="shared" si="1"/>
        <v>0.99578059071729963</v>
      </c>
      <c r="I6">
        <f t="shared" si="2"/>
        <v>0.1366922647141896</v>
      </c>
      <c r="J6">
        <f t="shared" si="3"/>
        <v>6.8249800704881985E-2</v>
      </c>
      <c r="K6">
        <f t="shared" si="4"/>
        <v>6.7961826862245361E-2</v>
      </c>
    </row>
    <row r="7" spans="1:11" x14ac:dyDescent="0.25">
      <c r="A7" t="s">
        <v>11</v>
      </c>
      <c r="B7">
        <v>1996</v>
      </c>
      <c r="C7">
        <v>612</v>
      </c>
      <c r="D7">
        <v>1.01</v>
      </c>
      <c r="E7">
        <v>0.84</v>
      </c>
      <c r="F7">
        <v>1.21</v>
      </c>
      <c r="G7">
        <f t="shared" si="0"/>
        <v>-5.4974203608663492E-3</v>
      </c>
      <c r="H7">
        <f t="shared" si="1"/>
        <v>0.99876998769987702</v>
      </c>
      <c r="I7">
        <f t="shared" si="2"/>
        <v>-5.4906584662035374E-3</v>
      </c>
      <c r="J7">
        <f t="shared" si="3"/>
        <v>5.1439529083525136E-2</v>
      </c>
      <c r="K7">
        <f t="shared" si="4"/>
        <v>5.1376257830039865E-2</v>
      </c>
    </row>
    <row r="8" spans="1:11" x14ac:dyDescent="0.25">
      <c r="A8" t="s">
        <v>12</v>
      </c>
      <c r="B8">
        <v>2007</v>
      </c>
      <c r="C8">
        <v>195</v>
      </c>
      <c r="D8">
        <v>0.92</v>
      </c>
      <c r="E8">
        <v>0.77</v>
      </c>
      <c r="F8">
        <v>1.1000000000000001</v>
      </c>
      <c r="G8">
        <f t="shared" si="0"/>
        <v>4.6067187259144202E-2</v>
      </c>
      <c r="H8">
        <f t="shared" si="1"/>
        <v>0.99610894941634243</v>
      </c>
      <c r="I8">
        <f t="shared" si="2"/>
        <v>4.5887937503272046E-2</v>
      </c>
      <c r="J8">
        <f t="shared" si="3"/>
        <v>5.0269892876695858E-2</v>
      </c>
      <c r="K8">
        <f t="shared" si="4"/>
        <v>5.0074290180677584E-2</v>
      </c>
    </row>
    <row r="9" spans="1:11" x14ac:dyDescent="0.25">
      <c r="A9" t="s">
        <v>13</v>
      </c>
      <c r="B9">
        <v>1999</v>
      </c>
      <c r="C9">
        <v>400</v>
      </c>
      <c r="D9">
        <v>1.08</v>
      </c>
      <c r="E9">
        <v>0.92</v>
      </c>
      <c r="F9">
        <v>1.27</v>
      </c>
      <c r="G9">
        <f t="shared" si="0"/>
        <v>-4.2519912229905192E-2</v>
      </c>
      <c r="H9">
        <f t="shared" si="1"/>
        <v>0.99811439346323072</v>
      </c>
      <c r="I9">
        <f t="shared" si="2"/>
        <v>-4.2439736405461628E-2</v>
      </c>
      <c r="J9">
        <f t="shared" si="3"/>
        <v>4.5438960058849773E-2</v>
      </c>
      <c r="K9">
        <f t="shared" si="4"/>
        <v>4.5353280058738808E-2</v>
      </c>
    </row>
    <row r="10" spans="1:11" x14ac:dyDescent="0.25">
      <c r="A10" t="s">
        <v>14</v>
      </c>
      <c r="B10">
        <v>1999</v>
      </c>
      <c r="C10">
        <v>480</v>
      </c>
      <c r="D10">
        <v>1.17</v>
      </c>
      <c r="E10">
        <v>1</v>
      </c>
      <c r="F10">
        <v>1.38</v>
      </c>
      <c r="G10">
        <f t="shared" si="0"/>
        <v>-8.6742402657273315E-2</v>
      </c>
      <c r="H10">
        <f t="shared" si="1"/>
        <v>0.99843014128728413</v>
      </c>
      <c r="I10">
        <f t="shared" si="2"/>
        <v>-8.6606229340699892E-2</v>
      </c>
      <c r="J10">
        <f t="shared" si="3"/>
        <v>4.5394562404035575E-2</v>
      </c>
      <c r="K10">
        <f t="shared" si="4"/>
        <v>4.5323299354735676E-2</v>
      </c>
    </row>
    <row r="11" spans="1:11" x14ac:dyDescent="0.25">
      <c r="A11" t="s">
        <v>15</v>
      </c>
      <c r="B11">
        <v>1996</v>
      </c>
      <c r="C11">
        <v>1405</v>
      </c>
      <c r="D11">
        <v>1.06</v>
      </c>
      <c r="E11">
        <v>0.95</v>
      </c>
      <c r="F11">
        <v>1.18</v>
      </c>
      <c r="G11">
        <f t="shared" si="0"/>
        <v>-3.2192766919323657E-2</v>
      </c>
      <c r="H11">
        <f t="shared" si="1"/>
        <v>0.99946533594724651</v>
      </c>
      <c r="I11">
        <f t="shared" si="2"/>
        <v>-3.2175554604093222E-2</v>
      </c>
      <c r="J11">
        <f t="shared" si="3"/>
        <v>3.0556958629090636E-2</v>
      </c>
      <c r="K11">
        <f t="shared" si="4"/>
        <v>3.0540620921750184E-2</v>
      </c>
    </row>
    <row r="12" spans="1:11" x14ac:dyDescent="0.25">
      <c r="A12" t="s">
        <v>16</v>
      </c>
      <c r="B12">
        <v>2002</v>
      </c>
      <c r="C12">
        <v>1520</v>
      </c>
      <c r="D12">
        <v>0.62</v>
      </c>
      <c r="E12">
        <v>0.57999999999999996</v>
      </c>
      <c r="F12">
        <v>0.65</v>
      </c>
      <c r="G12">
        <f t="shared" si="0"/>
        <v>0.26410817731657449</v>
      </c>
      <c r="H12">
        <f t="shared" si="1"/>
        <v>0.99950584747158622</v>
      </c>
      <c r="I12">
        <f t="shared" si="2"/>
        <v>0.26397766759297875</v>
      </c>
      <c r="J12">
        <f t="shared" si="3"/>
        <v>1.605934425375154E-2</v>
      </c>
      <c r="K12">
        <f t="shared" si="4"/>
        <v>1.6051408488183882E-2</v>
      </c>
    </row>
    <row r="13" spans="1:11" x14ac:dyDescent="0.25">
      <c r="A13" t="s">
        <v>17</v>
      </c>
      <c r="B13">
        <v>1994</v>
      </c>
      <c r="C13">
        <v>1240</v>
      </c>
      <c r="D13">
        <v>0.95</v>
      </c>
      <c r="E13">
        <v>0.91</v>
      </c>
      <c r="F13">
        <v>0.99</v>
      </c>
      <c r="G13">
        <f t="shared" si="0"/>
        <v>2.8338836678204738E-2</v>
      </c>
      <c r="H13">
        <f t="shared" si="1"/>
        <v>0.99939406180569579</v>
      </c>
      <c r="I13">
        <f t="shared" si="2"/>
        <v>2.8321665094679264E-2</v>
      </c>
      <c r="J13">
        <f t="shared" si="3"/>
        <v>1.1875682661199097E-2</v>
      </c>
      <c r="K13">
        <f t="shared" si="4"/>
        <v>1.186848673149124E-2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2025-12-26T21:58:33Z</dcterms:modified>
</cp:coreProperties>
</file>