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mayowilson2011\"/>
    </mc:Choice>
  </mc:AlternateContent>
  <xr:revisionPtr revIDLastSave="0" documentId="13_ncr:1_{F4E96EB7-96AF-4160-9364-30BC0C4ED936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 s="1"/>
  <c r="J4" i="1"/>
  <c r="K4" i="1" s="1"/>
  <c r="J5" i="1"/>
  <c r="K5" i="1" s="1"/>
  <c r="J6" i="1"/>
  <c r="K6" i="1" s="1"/>
  <c r="J7" i="1"/>
  <c r="K7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/>
  <c r="J15" i="1"/>
  <c r="K15" i="1" s="1"/>
  <c r="J16" i="1"/>
  <c r="K16" i="1" s="1"/>
  <c r="J17" i="1"/>
  <c r="K17" i="1" s="1"/>
  <c r="J2" i="1"/>
  <c r="K2" i="1"/>
  <c r="G3" i="1"/>
  <c r="H3" i="1"/>
  <c r="I3" i="1" s="1"/>
  <c r="G4" i="1"/>
  <c r="H4" i="1"/>
  <c r="I4" i="1" s="1"/>
  <c r="G5" i="1"/>
  <c r="H5" i="1"/>
  <c r="I5" i="1"/>
  <c r="G6" i="1"/>
  <c r="H6" i="1"/>
  <c r="I6" i="1" s="1"/>
  <c r="G7" i="1"/>
  <c r="H7" i="1"/>
  <c r="I7" i="1"/>
  <c r="G8" i="1"/>
  <c r="H8" i="1"/>
  <c r="I8" i="1"/>
  <c r="G9" i="1"/>
  <c r="H9" i="1"/>
  <c r="I9" i="1" s="1"/>
  <c r="G10" i="1"/>
  <c r="H10" i="1"/>
  <c r="I10" i="1" s="1"/>
  <c r="G11" i="1"/>
  <c r="H11" i="1"/>
  <c r="I11" i="1" s="1"/>
  <c r="G12" i="1"/>
  <c r="H12" i="1"/>
  <c r="I12" i="1" s="1"/>
  <c r="G13" i="1"/>
  <c r="H13" i="1"/>
  <c r="I13" i="1"/>
  <c r="G14" i="1"/>
  <c r="H14" i="1"/>
  <c r="I14" i="1"/>
  <c r="G15" i="1"/>
  <c r="H15" i="1"/>
  <c r="I15" i="1" s="1"/>
  <c r="G16" i="1"/>
  <c r="H16" i="1"/>
  <c r="I16" i="1"/>
  <c r="G17" i="1"/>
  <c r="H17" i="1"/>
  <c r="I17" i="1"/>
  <c r="I2" i="1"/>
  <c r="H2" i="1"/>
  <c r="G2" i="1"/>
</calcChain>
</file>

<file path=xl/sharedStrings.xml><?xml version="1.0" encoding="utf-8"?>
<sst xmlns="http://schemas.openxmlformats.org/spreadsheetml/2006/main" count="27" uniqueCount="27">
  <si>
    <t>Author</t>
  </si>
  <si>
    <t>Year</t>
  </si>
  <si>
    <t>n</t>
  </si>
  <si>
    <t>RR</t>
  </si>
  <si>
    <t>lCI</t>
  </si>
  <si>
    <t>uCI</t>
  </si>
  <si>
    <t>Dibley</t>
  </si>
  <si>
    <t>Barreto</t>
  </si>
  <si>
    <t>Chowdhury</t>
  </si>
  <si>
    <t>Venkatarao</t>
  </si>
  <si>
    <t>Benn</t>
  </si>
  <si>
    <t>Donnen</t>
  </si>
  <si>
    <t>Agarwal</t>
  </si>
  <si>
    <t>Vijayaraghavan</t>
  </si>
  <si>
    <t>Pant</t>
  </si>
  <si>
    <t>Rahmathullah</t>
  </si>
  <si>
    <t>Sommer</t>
  </si>
  <si>
    <t>Daulaire</t>
  </si>
  <si>
    <t>Herrera</t>
  </si>
  <si>
    <t>West</t>
  </si>
  <si>
    <t>Rosss</t>
  </si>
  <si>
    <t>Rossh</t>
  </si>
  <si>
    <t>ES</t>
  </si>
  <si>
    <t>J</t>
  </si>
  <si>
    <t>g</t>
  </si>
  <si>
    <t>se_g</t>
  </si>
  <si>
    <t>se_es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</si>
</sst>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J10" sqref="J10"/>
    </sheetView>
  </sheetViews>
  <sheetFormatPr defaultRowHeight="15" x14ac:dyDescent="0.25"/>
  <cols>
    <col min="1" max="1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23</v>
      </c>
      <c r="I1" t="s">
        <v>24</v>
      </c>
      <c r="J1" t="s">
        <v>26</v>
      </c>
      <c r="K1" t="s">
        <v>25</v>
      </c>
    </row>
    <row r="2" spans="1:11" x14ac:dyDescent="0.25">
      <c r="A2" t="s">
        <v>6</v>
      </c>
      <c r="B2">
        <v>1996</v>
      </c>
      <c r="C2">
        <v>1405</v>
      </c>
      <c r="D2">
        <v>0.33</v>
      </c>
      <c r="E2">
        <v>0.01</v>
      </c>
      <c r="F2">
        <v>7.99</v>
      </c>
      <c r="G2">
        <f>-LN(D2)/1.81</f>
        <v>0.61252078702851442</v>
      </c>
      <c r="H2">
        <f>1-3/(4*(C2-2)-1)</f>
        <v>0.99946533594724651</v>
      </c>
      <c r="I2">
        <f>H2*G2</f>
        <v>0.61219329418212598</v>
      </c>
      <c r="J2">
        <f>(LN(F2)-LN(E2))/2/1.96/1.81</f>
        <v>0.94195525788790646</v>
      </c>
      <c r="K2">
        <f>J2*H2</f>
        <v>0.94145162827221163</v>
      </c>
    </row>
    <row r="3" spans="1:11" x14ac:dyDescent="0.25">
      <c r="A3" t="s">
        <v>7</v>
      </c>
      <c r="B3">
        <v>1994</v>
      </c>
      <c r="C3">
        <v>1240</v>
      </c>
      <c r="D3">
        <v>1</v>
      </c>
      <c r="E3">
        <v>0.14000000000000001</v>
      </c>
      <c r="F3">
        <v>7.08</v>
      </c>
      <c r="G3">
        <f t="shared" ref="G3:G17" si="0">-LN(D3)/1.81</f>
        <v>0</v>
      </c>
      <c r="H3">
        <f t="shared" ref="H3:H17" si="1">1-3/(4*(C3-2)-1)</f>
        <v>0.99939406180569579</v>
      </c>
      <c r="I3">
        <f t="shared" ref="I3:I17" si="2">H3*G3</f>
        <v>0</v>
      </c>
      <c r="J3">
        <f t="shared" ref="J3:J17" si="3">(LN(F3)-LN(E3))/2/1.96/1.81</f>
        <v>0.55296351957357959</v>
      </c>
      <c r="K3">
        <f t="shared" ref="K3:K17" si="4">J3*H3</f>
        <v>0.55262845785701309</v>
      </c>
    </row>
    <row r="4" spans="1:11" x14ac:dyDescent="0.25">
      <c r="A4" t="s">
        <v>8</v>
      </c>
      <c r="B4">
        <v>2002</v>
      </c>
      <c r="C4">
        <v>1520</v>
      </c>
      <c r="D4">
        <v>0.14000000000000001</v>
      </c>
      <c r="E4">
        <v>0.03</v>
      </c>
      <c r="F4">
        <v>0.62</v>
      </c>
      <c r="G4">
        <f t="shared" si="0"/>
        <v>1.0862501968910678</v>
      </c>
      <c r="H4">
        <f t="shared" si="1"/>
        <v>0.99950584747158622</v>
      </c>
      <c r="I4">
        <f t="shared" si="2"/>
        <v>1.0857134236097841</v>
      </c>
      <c r="J4">
        <f t="shared" si="3"/>
        <v>0.42684097648790481</v>
      </c>
      <c r="K4">
        <f t="shared" si="4"/>
        <v>0.4266300519401427</v>
      </c>
    </row>
    <row r="5" spans="1:11" x14ac:dyDescent="0.25">
      <c r="A5" t="s">
        <v>9</v>
      </c>
      <c r="B5">
        <v>1996</v>
      </c>
      <c r="C5">
        <v>612</v>
      </c>
      <c r="D5">
        <v>0.37</v>
      </c>
      <c r="E5">
        <v>0.09</v>
      </c>
      <c r="F5">
        <v>1.37</v>
      </c>
      <c r="G5">
        <f t="shared" si="0"/>
        <v>0.54931064825628007</v>
      </c>
      <c r="H5">
        <f t="shared" si="1"/>
        <v>0.99876998769987702</v>
      </c>
      <c r="I5">
        <f t="shared" si="2"/>
        <v>0.54863498940233635</v>
      </c>
      <c r="J5">
        <f t="shared" si="3"/>
        <v>0.38374624372701349</v>
      </c>
      <c r="K5">
        <f t="shared" si="4"/>
        <v>0.38327423112710329</v>
      </c>
    </row>
    <row r="6" spans="1:11" x14ac:dyDescent="0.25">
      <c r="A6" t="s">
        <v>10</v>
      </c>
      <c r="B6">
        <v>1997</v>
      </c>
      <c r="C6">
        <v>462</v>
      </c>
      <c r="D6">
        <v>0.46</v>
      </c>
      <c r="E6">
        <v>0.14000000000000001</v>
      </c>
      <c r="F6">
        <v>1.47</v>
      </c>
      <c r="G6">
        <f t="shared" si="0"/>
        <v>0.42902143066242887</v>
      </c>
      <c r="H6">
        <f t="shared" si="1"/>
        <v>0.99836867862969003</v>
      </c>
      <c r="I6">
        <f t="shared" si="2"/>
        <v>0.42832155883426831</v>
      </c>
      <c r="J6">
        <f t="shared" si="3"/>
        <v>0.33140366123061754</v>
      </c>
      <c r="K6">
        <f t="shared" si="4"/>
        <v>0.3308630353558531</v>
      </c>
    </row>
    <row r="7" spans="1:11" x14ac:dyDescent="0.25">
      <c r="A7" t="s">
        <v>11</v>
      </c>
      <c r="B7">
        <v>1998</v>
      </c>
      <c r="C7">
        <v>235</v>
      </c>
      <c r="D7">
        <v>0.6</v>
      </c>
      <c r="E7">
        <v>0.23</v>
      </c>
      <c r="F7">
        <v>1.55</v>
      </c>
      <c r="G7">
        <f t="shared" si="0"/>
        <v>0.28222410152817168</v>
      </c>
      <c r="H7">
        <f t="shared" si="1"/>
        <v>0.99677765843179378</v>
      </c>
      <c r="I7">
        <f t="shared" si="2"/>
        <v>0.28131467907426777</v>
      </c>
      <c r="J7">
        <f t="shared" si="3"/>
        <v>0.26890445667353946</v>
      </c>
      <c r="K7">
        <f t="shared" si="4"/>
        <v>0.26803795466492442</v>
      </c>
    </row>
    <row r="8" spans="1:11" x14ac:dyDescent="0.25">
      <c r="A8" t="s">
        <v>21</v>
      </c>
      <c r="B8">
        <v>1993</v>
      </c>
      <c r="C8">
        <v>1455</v>
      </c>
      <c r="D8">
        <v>0.3</v>
      </c>
      <c r="E8">
        <v>0.12</v>
      </c>
      <c r="F8">
        <v>0.74</v>
      </c>
      <c r="G8">
        <f t="shared" si="0"/>
        <v>0.66517834493145644</v>
      </c>
      <c r="H8">
        <f t="shared" si="1"/>
        <v>0.99948373773877131</v>
      </c>
      <c r="I8">
        <f t="shared" si="2"/>
        <v>0.66483493845498176</v>
      </c>
      <c r="J8">
        <f t="shared" si="3"/>
        <v>0.25639283507387661</v>
      </c>
      <c r="K8">
        <f t="shared" si="4"/>
        <v>0.25626046912907852</v>
      </c>
    </row>
    <row r="9" spans="1:11" x14ac:dyDescent="0.25">
      <c r="A9" t="s">
        <v>12</v>
      </c>
      <c r="B9">
        <v>1995</v>
      </c>
      <c r="C9">
        <v>17778</v>
      </c>
      <c r="D9">
        <v>1.22</v>
      </c>
      <c r="E9">
        <v>0.66</v>
      </c>
      <c r="F9">
        <v>2.25</v>
      </c>
      <c r="G9">
        <f t="shared" si="0"/>
        <v>-0.10986235289788131</v>
      </c>
      <c r="H9">
        <f t="shared" si="1"/>
        <v>0.99995780768743936</v>
      </c>
      <c r="I9">
        <f t="shared" si="2"/>
        <v>-0.10985771755114919</v>
      </c>
      <c r="J9">
        <f t="shared" si="3"/>
        <v>0.17285568555896866</v>
      </c>
      <c r="K9">
        <f t="shared" si="4"/>
        <v>0.17284839237785568</v>
      </c>
    </row>
    <row r="10" spans="1:11" x14ac:dyDescent="0.25">
      <c r="A10" t="s">
        <v>13</v>
      </c>
      <c r="B10">
        <v>1990</v>
      </c>
      <c r="C10">
        <v>15775</v>
      </c>
      <c r="D10">
        <v>1.02</v>
      </c>
      <c r="E10">
        <v>0.56999999999999995</v>
      </c>
      <c r="F10">
        <v>1.82</v>
      </c>
      <c r="G10">
        <f t="shared" si="0"/>
        <v>-1.0940678064187696E-2</v>
      </c>
      <c r="H10">
        <f t="shared" si="1"/>
        <v>0.99995244963623975</v>
      </c>
      <c r="I10">
        <f t="shared" si="2"/>
        <v>-1.094015783096596E-2</v>
      </c>
      <c r="J10">
        <f t="shared" si="3"/>
        <v>0.1636254678151772</v>
      </c>
      <c r="K10">
        <f t="shared" si="4"/>
        <v>0.16361768736466215</v>
      </c>
    </row>
    <row r="11" spans="1:11" x14ac:dyDescent="0.25">
      <c r="A11" t="s">
        <v>14</v>
      </c>
      <c r="B11">
        <v>1996</v>
      </c>
      <c r="C11">
        <v>25301</v>
      </c>
      <c r="D11">
        <v>0.56999999999999995</v>
      </c>
      <c r="E11">
        <v>0.37</v>
      </c>
      <c r="F11">
        <v>0.88</v>
      </c>
      <c r="G11">
        <f t="shared" si="0"/>
        <v>0.31056293820637643</v>
      </c>
      <c r="H11">
        <f t="shared" si="1"/>
        <v>0.99997035426651515</v>
      </c>
      <c r="I11">
        <f t="shared" si="2"/>
        <v>0.31055373134028008</v>
      </c>
      <c r="J11">
        <f t="shared" si="3"/>
        <v>0.122113386773309</v>
      </c>
      <c r="K11">
        <f t="shared" si="4"/>
        <v>0.12210976663238979</v>
      </c>
    </row>
    <row r="12" spans="1:11" x14ac:dyDescent="0.25">
      <c r="A12" t="s">
        <v>15</v>
      </c>
      <c r="B12">
        <v>1990</v>
      </c>
      <c r="C12">
        <v>15419</v>
      </c>
      <c r="D12">
        <v>0.46</v>
      </c>
      <c r="E12">
        <v>0.3</v>
      </c>
      <c r="F12">
        <v>0.71</v>
      </c>
      <c r="G12">
        <f t="shared" si="0"/>
        <v>0.42902143066242887</v>
      </c>
      <c r="H12">
        <f t="shared" si="1"/>
        <v>0.99995135161431559</v>
      </c>
      <c r="I12">
        <f t="shared" si="2"/>
        <v>0.42900055946240312</v>
      </c>
      <c r="J12">
        <f t="shared" si="3"/>
        <v>0.12141764789987035</v>
      </c>
      <c r="K12">
        <f t="shared" si="4"/>
        <v>0.12141174112730642</v>
      </c>
    </row>
    <row r="13" spans="1:11" x14ac:dyDescent="0.25">
      <c r="A13" t="s">
        <v>16</v>
      </c>
      <c r="B13">
        <v>1986</v>
      </c>
      <c r="C13">
        <v>29236</v>
      </c>
      <c r="D13">
        <v>0.74</v>
      </c>
      <c r="E13">
        <v>0.54</v>
      </c>
      <c r="F13">
        <v>1</v>
      </c>
      <c r="G13">
        <f t="shared" si="0"/>
        <v>0.16635640485299535</v>
      </c>
      <c r="H13">
        <f t="shared" si="1"/>
        <v>0.99997434472142643</v>
      </c>
      <c r="I13">
        <f t="shared" si="2"/>
        <v>0.16635213693308634</v>
      </c>
      <c r="J13">
        <f t="shared" si="3"/>
        <v>8.6845492646270284E-2</v>
      </c>
      <c r="K13">
        <f t="shared" si="4"/>
        <v>8.6843264600963588E-2</v>
      </c>
    </row>
    <row r="14" spans="1:11" x14ac:dyDescent="0.25">
      <c r="A14" t="s">
        <v>17</v>
      </c>
      <c r="B14">
        <v>1992</v>
      </c>
      <c r="C14">
        <v>7197</v>
      </c>
      <c r="D14">
        <v>0.74</v>
      </c>
      <c r="E14">
        <v>0.55000000000000004</v>
      </c>
      <c r="F14">
        <v>0.99</v>
      </c>
      <c r="G14">
        <f t="shared" si="0"/>
        <v>0.16635640485299535</v>
      </c>
      <c r="H14">
        <f t="shared" si="1"/>
        <v>0.99989575732304803</v>
      </c>
      <c r="I14">
        <f t="shared" si="2"/>
        <v>0.16633906341602536</v>
      </c>
      <c r="J14">
        <f t="shared" si="3"/>
        <v>8.2842860652570613E-2</v>
      </c>
      <c r="K14">
        <f t="shared" si="4"/>
        <v>8.2834224891009833E-2</v>
      </c>
    </row>
    <row r="15" spans="1:11" x14ac:dyDescent="0.25">
      <c r="A15" t="s">
        <v>18</v>
      </c>
      <c r="B15">
        <v>1992</v>
      </c>
      <c r="C15">
        <v>28753</v>
      </c>
      <c r="D15">
        <v>1.06</v>
      </c>
      <c r="E15">
        <v>0.82</v>
      </c>
      <c r="F15">
        <v>1.37</v>
      </c>
      <c r="G15">
        <f t="shared" si="0"/>
        <v>-3.2192766919323657E-2</v>
      </c>
      <c r="H15">
        <f t="shared" si="1"/>
        <v>0.9999739137239898</v>
      </c>
      <c r="I15">
        <f t="shared" si="2"/>
        <v>-3.2191927129920264E-2</v>
      </c>
      <c r="J15">
        <f t="shared" si="3"/>
        <v>7.2339282693070231E-2</v>
      </c>
      <c r="K15">
        <f t="shared" si="4"/>
        <v>7.2337395630575521E-2</v>
      </c>
    </row>
    <row r="16" spans="1:11" x14ac:dyDescent="0.25">
      <c r="A16" t="s">
        <v>19</v>
      </c>
      <c r="B16">
        <v>1991</v>
      </c>
      <c r="C16">
        <v>28630</v>
      </c>
      <c r="D16">
        <v>0.7</v>
      </c>
      <c r="E16">
        <v>0.56000000000000005</v>
      </c>
      <c r="F16">
        <v>0.88</v>
      </c>
      <c r="G16">
        <f t="shared" si="0"/>
        <v>0.19705798007664777</v>
      </c>
      <c r="H16">
        <f t="shared" si="1"/>
        <v>0.99997380164351024</v>
      </c>
      <c r="I16">
        <f t="shared" si="2"/>
        <v>0.19705281748143658</v>
      </c>
      <c r="J16">
        <f t="shared" si="3"/>
        <v>6.3702943362140205E-2</v>
      </c>
      <c r="K16">
        <f t="shared" si="4"/>
        <v>6.3701274449720555E-2</v>
      </c>
    </row>
    <row r="17" spans="1:11" x14ac:dyDescent="0.25">
      <c r="A17" t="s">
        <v>20</v>
      </c>
      <c r="B17">
        <v>1993</v>
      </c>
      <c r="C17">
        <v>21906</v>
      </c>
      <c r="D17">
        <v>0.81</v>
      </c>
      <c r="E17">
        <v>0.67</v>
      </c>
      <c r="F17">
        <v>0.97</v>
      </c>
      <c r="G17">
        <f t="shared" si="0"/>
        <v>0.11642045929041576</v>
      </c>
      <c r="H17">
        <f t="shared" si="1"/>
        <v>0.99996575928779319</v>
      </c>
      <c r="I17">
        <f t="shared" si="2"/>
        <v>0.11641647297097421</v>
      </c>
      <c r="J17">
        <f t="shared" si="3"/>
        <v>5.2150518535406566E-2</v>
      </c>
      <c r="K17">
        <f t="shared" si="4"/>
        <v>5.214873286450996E-2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2025-12-26T21:59:09Z</dcterms:modified>
</cp:coreProperties>
</file>