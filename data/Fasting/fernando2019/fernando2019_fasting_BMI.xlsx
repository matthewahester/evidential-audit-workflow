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asting\fernando2019\"/>
    </mc:Choice>
  </mc:AlternateContent>
  <xr:revisionPtr revIDLastSave="0" documentId="13_ncr:1_{40DB5BCB-6548-44A8-8B9C-0F67253D25C4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J3" i="1"/>
  <c r="K3" i="1" s="1"/>
  <c r="M3" i="1"/>
  <c r="J4" i="1"/>
  <c r="K4" i="1"/>
  <c r="L4" i="1" s="1"/>
  <c r="M4" i="1"/>
  <c r="O4" i="1"/>
  <c r="J5" i="1"/>
  <c r="K5" i="1" s="1"/>
  <c r="M5" i="1"/>
  <c r="J6" i="1"/>
  <c r="K6" i="1"/>
  <c r="L6" i="1" s="1"/>
  <c r="M6" i="1"/>
  <c r="O6" i="1"/>
  <c r="J7" i="1"/>
  <c r="K7" i="1" s="1"/>
  <c r="M7" i="1"/>
  <c r="J8" i="1"/>
  <c r="K8" i="1"/>
  <c r="L8" i="1" s="1"/>
  <c r="M8" i="1"/>
  <c r="O8" i="1"/>
  <c r="J9" i="1"/>
  <c r="K9" i="1" s="1"/>
  <c r="M9" i="1"/>
  <c r="J10" i="1"/>
  <c r="K10" i="1"/>
  <c r="L10" i="1" s="1"/>
  <c r="M10" i="1"/>
  <c r="O10" i="1"/>
  <c r="J11" i="1"/>
  <c r="K11" i="1" s="1"/>
  <c r="M11" i="1"/>
  <c r="J12" i="1"/>
  <c r="K12" i="1"/>
  <c r="L12" i="1"/>
  <c r="M12" i="1"/>
  <c r="O12" i="1"/>
  <c r="J13" i="1"/>
  <c r="K13" i="1" s="1"/>
  <c r="M13" i="1"/>
  <c r="J14" i="1"/>
  <c r="K14" i="1"/>
  <c r="L14" i="1"/>
  <c r="M14" i="1"/>
  <c r="O14" i="1"/>
  <c r="J15" i="1"/>
  <c r="K15" i="1" s="1"/>
  <c r="M15" i="1"/>
  <c r="J16" i="1"/>
  <c r="K16" i="1"/>
  <c r="L16" i="1"/>
  <c r="M16" i="1"/>
  <c r="O16" i="1"/>
  <c r="J17" i="1"/>
  <c r="K17" i="1" s="1"/>
  <c r="M17" i="1"/>
  <c r="J18" i="1"/>
  <c r="K18" i="1"/>
  <c r="L18" i="1"/>
  <c r="M18" i="1"/>
  <c r="O18" i="1"/>
  <c r="J19" i="1"/>
  <c r="K19" i="1" s="1"/>
  <c r="M19" i="1"/>
  <c r="J20" i="1"/>
  <c r="K20" i="1"/>
  <c r="L20" i="1"/>
  <c r="M20" i="1"/>
  <c r="O20" i="1"/>
  <c r="J21" i="1"/>
  <c r="K21" i="1" s="1"/>
  <c r="M21" i="1"/>
  <c r="J22" i="1"/>
  <c r="K22" i="1"/>
  <c r="L22" i="1"/>
  <c r="M22" i="1"/>
  <c r="O22" i="1"/>
  <c r="J23" i="1"/>
  <c r="K23" i="1" s="1"/>
  <c r="L23" i="1" s="1"/>
  <c r="M23" i="1"/>
  <c r="J24" i="1"/>
  <c r="K24" i="1"/>
  <c r="L24" i="1" s="1"/>
  <c r="M24" i="1"/>
  <c r="O24" i="1"/>
  <c r="O2" i="1"/>
  <c r="M2" i="1"/>
  <c r="L2" i="1"/>
  <c r="K2" i="1"/>
  <c r="J2" i="1"/>
  <c r="L5" i="1" l="1"/>
  <c r="O5" i="1"/>
  <c r="L15" i="1"/>
  <c r="O15" i="1"/>
  <c r="O19" i="1"/>
  <c r="L19" i="1"/>
  <c r="L9" i="1"/>
  <c r="O9" i="1"/>
  <c r="O21" i="1"/>
  <c r="L21" i="1"/>
  <c r="L13" i="1"/>
  <c r="O13" i="1"/>
  <c r="L17" i="1"/>
  <c r="O17" i="1"/>
  <c r="L11" i="1"/>
  <c r="O11" i="1"/>
  <c r="L7" i="1"/>
  <c r="O7" i="1"/>
  <c r="L3" i="1"/>
  <c r="O3" i="1"/>
  <c r="O23" i="1"/>
  <c r="E19" i="1" l="1"/>
  <c r="E18" i="1"/>
  <c r="E17" i="1"/>
</calcChain>
</file>

<file path=xl/sharedStrings.xml><?xml version="1.0" encoding="utf-8"?>
<sst xmlns="http://schemas.openxmlformats.org/spreadsheetml/2006/main" count="74" uniqueCount="60">
  <si>
    <t>author</t>
  </si>
  <si>
    <t>year</t>
  </si>
  <si>
    <t>ref</t>
  </si>
  <si>
    <t>subgroup</t>
  </si>
  <si>
    <t>n</t>
  </si>
  <si>
    <t>mean_diff</t>
  </si>
  <si>
    <t>lci</t>
  </si>
  <si>
    <t>uci</t>
  </si>
  <si>
    <t>notes</t>
  </si>
  <si>
    <t>Sweileh</t>
  </si>
  <si>
    <t>M=7,F=1; hydrodensitometry</t>
  </si>
  <si>
    <t>Kassab</t>
  </si>
  <si>
    <t>N-Ob</t>
  </si>
  <si>
    <t>BIA; age 18-45; BMI 22.5±2.0</t>
  </si>
  <si>
    <t>Ob</t>
  </si>
  <si>
    <t>BIA; BMI 33.1±0.4</t>
  </si>
  <si>
    <t>BIA: OMRON BF 302; BMI 25.3±4.8</t>
  </si>
  <si>
    <t>Saleh</t>
  </si>
  <si>
    <t>Equation from Filer et al; M=15,F=88</t>
  </si>
  <si>
    <t>Al-Hourani</t>
  </si>
  <si>
    <t>BIA: Tanita BC-532; all female</t>
  </si>
  <si>
    <t>Stannard</t>
  </si>
  <si>
    <t>Hydrodensitometry; all male</t>
  </si>
  <si>
    <t>Trabelsi</t>
  </si>
  <si>
    <t>Skinfold: Harpenden; all male</t>
  </si>
  <si>
    <t>Faris</t>
  </si>
  <si>
    <t>a</t>
  </si>
  <si>
    <t>BIA: TANITA; M=21,F=29</t>
  </si>
  <si>
    <t>b</t>
  </si>
  <si>
    <t>BIA: GIMA; M=23,F=27</t>
  </si>
  <si>
    <t>Khattak</t>
  </si>
  <si>
    <t>M,Nw</t>
  </si>
  <si>
    <t>BIA: MALTRON; BMI 21.8±1.6</t>
  </si>
  <si>
    <t>M,Ob</t>
  </si>
  <si>
    <t>BIA: MALTRON; BMI 32.5±5.1</t>
  </si>
  <si>
    <t>F,Nw</t>
  </si>
  <si>
    <t>BIA: MALTRON; BMI 23.9±6.6</t>
  </si>
  <si>
    <t>F,Ob</t>
  </si>
  <si>
    <t>BIA: MALTRON; BMI 34.5±2.4</t>
  </si>
  <si>
    <t>Agoumi</t>
  </si>
  <si>
    <t>BIA: Medisana; M=22,F=33</t>
  </si>
  <si>
    <t>Rohin</t>
  </si>
  <si>
    <t>Nw</t>
  </si>
  <si>
    <t>BIA: Omron Karada; 46 total across 3 BMI groups — per-subgroup n not in supplement</t>
  </si>
  <si>
    <t>Ow</t>
  </si>
  <si>
    <t>Lopez-Bueno</t>
  </si>
  <si>
    <t>BIA: TANITA SC-330</t>
  </si>
  <si>
    <t>Sezen</t>
  </si>
  <si>
    <t>BIA: segmental analyser</t>
  </si>
  <si>
    <t>Nugraha</t>
  </si>
  <si>
    <t>BIA: InBody 230; all male</t>
  </si>
  <si>
    <t>Ongsara</t>
  </si>
  <si>
    <t>M</t>
  </si>
  <si>
    <t>F</t>
  </si>
  <si>
    <t>pooled_sd</t>
  </si>
  <si>
    <t>d</t>
  </si>
  <si>
    <t>J</t>
  </si>
  <si>
    <t>g</t>
  </si>
  <si>
    <t>se_g</t>
  </si>
  <si>
    <t>se_md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</si>
</sst>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topLeftCell="B1" workbookViewId="0">
      <selection activeCell="H11" sqref="H1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59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x14ac:dyDescent="0.25">
      <c r="A2" t="s">
        <v>9</v>
      </c>
      <c r="B2">
        <v>1992</v>
      </c>
      <c r="C2">
        <v>31</v>
      </c>
      <c r="E2">
        <v>8</v>
      </c>
      <c r="F2">
        <v>-2.33</v>
      </c>
      <c r="G2">
        <v>-7.02</v>
      </c>
      <c r="H2">
        <v>2.36</v>
      </c>
      <c r="I2" t="s">
        <v>10</v>
      </c>
      <c r="J2">
        <f>(H2-G2)/2/1.96</f>
        <v>2.3928571428571428</v>
      </c>
      <c r="K2">
        <f>J2*SQRT(E2)</f>
        <v>6.7680220484998124</v>
      </c>
      <c r="L2">
        <f>F2/K2</f>
        <v>-0.34426601794485345</v>
      </c>
      <c r="M2">
        <f>1-3/(4*(E2-1)-1)</f>
        <v>0.88888888888888884</v>
      </c>
      <c r="N2">
        <f>-M2*L2</f>
        <v>0.30601423817320306</v>
      </c>
      <c r="O2">
        <f>M2*J2/K2</f>
        <v>0.31426968052735443</v>
      </c>
    </row>
    <row r="3" spans="1:15" x14ac:dyDescent="0.25">
      <c r="A3" t="s">
        <v>11</v>
      </c>
      <c r="B3">
        <v>2003</v>
      </c>
      <c r="C3">
        <v>12</v>
      </c>
      <c r="D3" t="s">
        <v>12</v>
      </c>
      <c r="E3">
        <v>44</v>
      </c>
      <c r="F3">
        <v>0.4</v>
      </c>
      <c r="G3">
        <v>-1.53</v>
      </c>
      <c r="H3">
        <v>2.33</v>
      </c>
      <c r="I3" t="s">
        <v>13</v>
      </c>
      <c r="J3">
        <f t="shared" ref="J3:J24" si="0">(H3-G3)/2/1.96</f>
        <v>0.98469387755102056</v>
      </c>
      <c r="K3">
        <f t="shared" ref="K3:K24" si="1">J3*SQRT(E3)</f>
        <v>6.531720250393799</v>
      </c>
      <c r="L3">
        <f t="shared" ref="L3:L24" si="2">F3/K3</f>
        <v>6.1239609883151983E-2</v>
      </c>
      <c r="M3">
        <f t="shared" ref="M3:M24" si="3">1-3/(4*(E3-1)-1)</f>
        <v>0.98245614035087714</v>
      </c>
      <c r="N3">
        <f t="shared" ref="N3:N24" si="4">-M3*L3</f>
        <v>-6.0165230762394925E-2</v>
      </c>
      <c r="O3">
        <f t="shared" ref="O3:O24" si="5">M3*J3/K3</f>
        <v>0.1481108359329365</v>
      </c>
    </row>
    <row r="4" spans="1:15" x14ac:dyDescent="0.25">
      <c r="A4" t="s">
        <v>11</v>
      </c>
      <c r="B4">
        <v>2003</v>
      </c>
      <c r="C4">
        <v>12</v>
      </c>
      <c r="D4" t="s">
        <v>14</v>
      </c>
      <c r="E4">
        <v>18</v>
      </c>
      <c r="F4">
        <v>-1.4</v>
      </c>
      <c r="G4">
        <v>-3.46</v>
      </c>
      <c r="H4">
        <v>0.66</v>
      </c>
      <c r="I4" t="s">
        <v>15</v>
      </c>
      <c r="J4">
        <f t="shared" si="0"/>
        <v>1.0510204081632653</v>
      </c>
      <c r="K4">
        <f t="shared" si="1"/>
        <v>4.4591019466661868</v>
      </c>
      <c r="L4">
        <f t="shared" si="2"/>
        <v>-0.31396456433266773</v>
      </c>
      <c r="M4">
        <f t="shared" si="3"/>
        <v>0.95522388059701491</v>
      </c>
      <c r="N4">
        <f t="shared" si="4"/>
        <v>0.29990644951180201</v>
      </c>
      <c r="O4">
        <f t="shared" si="5"/>
        <v>0.22514842784049274</v>
      </c>
    </row>
    <row r="5" spans="1:15" x14ac:dyDescent="0.25">
      <c r="A5" t="s">
        <v>11</v>
      </c>
      <c r="B5">
        <v>2004</v>
      </c>
      <c r="C5">
        <v>39</v>
      </c>
      <c r="E5">
        <v>46</v>
      </c>
      <c r="F5">
        <v>-0.3</v>
      </c>
      <c r="G5">
        <v>-1.98</v>
      </c>
      <c r="H5">
        <v>1.38</v>
      </c>
      <c r="I5" t="s">
        <v>16</v>
      </c>
      <c r="J5">
        <f t="shared" si="0"/>
        <v>0.8571428571428571</v>
      </c>
      <c r="K5">
        <f t="shared" si="1"/>
        <v>5.813425699821658</v>
      </c>
      <c r="L5">
        <f t="shared" si="2"/>
        <v>-5.1604684654214E-2</v>
      </c>
      <c r="M5">
        <f t="shared" si="3"/>
        <v>0.98324022346368711</v>
      </c>
      <c r="N5">
        <f t="shared" si="4"/>
        <v>5.0739801671182479E-2</v>
      </c>
      <c r="O5">
        <f t="shared" si="5"/>
        <v>0.14497086191766423</v>
      </c>
    </row>
    <row r="6" spans="1:15" x14ac:dyDescent="0.25">
      <c r="A6" t="s">
        <v>17</v>
      </c>
      <c r="B6">
        <v>2004</v>
      </c>
      <c r="C6">
        <v>18</v>
      </c>
      <c r="E6">
        <v>103</v>
      </c>
      <c r="F6">
        <v>-4.88</v>
      </c>
      <c r="G6">
        <v>-6.2</v>
      </c>
      <c r="H6">
        <v>-3.56</v>
      </c>
      <c r="I6" t="s">
        <v>18</v>
      </c>
      <c r="J6">
        <f t="shared" si="0"/>
        <v>0.67346938775510212</v>
      </c>
      <c r="K6">
        <f t="shared" si="1"/>
        <v>6.8349677887355771</v>
      </c>
      <c r="L6">
        <f t="shared" si="2"/>
        <v>-0.71397556665044171</v>
      </c>
      <c r="M6">
        <f t="shared" si="3"/>
        <v>0.99262899262899262</v>
      </c>
      <c r="N6">
        <f t="shared" si="4"/>
        <v>0.7087128474859421</v>
      </c>
      <c r="O6">
        <f t="shared" si="5"/>
        <v>9.7806640879207471E-2</v>
      </c>
    </row>
    <row r="7" spans="1:15" x14ac:dyDescent="0.25">
      <c r="A7" t="s">
        <v>19</v>
      </c>
      <c r="B7">
        <v>2007</v>
      </c>
      <c r="C7">
        <v>46</v>
      </c>
      <c r="E7">
        <v>47</v>
      </c>
      <c r="F7">
        <v>-0.4</v>
      </c>
      <c r="G7">
        <v>-1.5</v>
      </c>
      <c r="H7">
        <v>0.7</v>
      </c>
      <c r="I7" t="s">
        <v>20</v>
      </c>
      <c r="J7">
        <f t="shared" si="0"/>
        <v>0.56122448979591844</v>
      </c>
      <c r="K7">
        <f t="shared" si="1"/>
        <v>3.847561255327117</v>
      </c>
      <c r="L7">
        <f t="shared" si="2"/>
        <v>-0.10396195757668121</v>
      </c>
      <c r="M7">
        <f t="shared" si="3"/>
        <v>0.98360655737704916</v>
      </c>
      <c r="N7">
        <f t="shared" si="4"/>
        <v>0.10225766319017823</v>
      </c>
      <c r="O7">
        <f t="shared" si="5"/>
        <v>0.14347376212907662</v>
      </c>
    </row>
    <row r="8" spans="1:15" x14ac:dyDescent="0.25">
      <c r="A8" t="s">
        <v>21</v>
      </c>
      <c r="B8">
        <v>2008</v>
      </c>
      <c r="C8">
        <v>51</v>
      </c>
      <c r="E8">
        <v>8</v>
      </c>
      <c r="F8">
        <v>-0.7</v>
      </c>
      <c r="G8">
        <v>-2.1800000000000002</v>
      </c>
      <c r="H8">
        <v>0.78</v>
      </c>
      <c r="I8" t="s">
        <v>22</v>
      </c>
      <c r="J8">
        <f t="shared" si="0"/>
        <v>0.75510204081632648</v>
      </c>
      <c r="K8">
        <f t="shared" si="1"/>
        <v>2.1357510941961029</v>
      </c>
      <c r="L8">
        <f t="shared" si="2"/>
        <v>-0.32775354857700778</v>
      </c>
      <c r="M8">
        <f t="shared" si="3"/>
        <v>0.88888888888888884</v>
      </c>
      <c r="N8">
        <f t="shared" si="4"/>
        <v>0.29133648762400688</v>
      </c>
      <c r="O8">
        <f t="shared" si="5"/>
        <v>0.31426968052735438</v>
      </c>
    </row>
    <row r="9" spans="1:15" x14ac:dyDescent="0.25">
      <c r="A9" t="s">
        <v>23</v>
      </c>
      <c r="B9">
        <v>2011</v>
      </c>
      <c r="C9">
        <v>24</v>
      </c>
      <c r="E9">
        <v>10</v>
      </c>
      <c r="F9">
        <v>-1.2</v>
      </c>
      <c r="G9">
        <v>-1.73</v>
      </c>
      <c r="H9">
        <v>-0.67</v>
      </c>
      <c r="I9" t="s">
        <v>24</v>
      </c>
      <c r="J9">
        <f t="shared" si="0"/>
        <v>0.27040816326530615</v>
      </c>
      <c r="K9">
        <f t="shared" si="1"/>
        <v>0.85510569382104151</v>
      </c>
      <c r="L9">
        <f t="shared" si="2"/>
        <v>-1.403335293720005</v>
      </c>
      <c r="M9">
        <f t="shared" si="3"/>
        <v>0.91428571428571426</v>
      </c>
      <c r="N9">
        <f t="shared" si="4"/>
        <v>1.2830494114011475</v>
      </c>
      <c r="O9">
        <f t="shared" si="5"/>
        <v>0.28912252892968032</v>
      </c>
    </row>
    <row r="10" spans="1:15" x14ac:dyDescent="0.25">
      <c r="A10" t="s">
        <v>25</v>
      </c>
      <c r="B10">
        <v>2012</v>
      </c>
      <c r="C10">
        <v>54</v>
      </c>
      <c r="D10" t="s">
        <v>26</v>
      </c>
      <c r="E10">
        <v>50</v>
      </c>
      <c r="F10">
        <v>-3.74</v>
      </c>
      <c r="G10">
        <v>-5.86</v>
      </c>
      <c r="H10">
        <v>-1.62</v>
      </c>
      <c r="I10" t="s">
        <v>27</v>
      </c>
      <c r="J10">
        <f t="shared" si="0"/>
        <v>1.0816326530612246</v>
      </c>
      <c r="K10">
        <f t="shared" si="1"/>
        <v>7.6482978373238826</v>
      </c>
      <c r="L10">
        <f t="shared" si="2"/>
        <v>-0.48899769328394976</v>
      </c>
      <c r="M10">
        <f t="shared" si="3"/>
        <v>0.98461538461538467</v>
      </c>
      <c r="N10">
        <f t="shared" si="4"/>
        <v>0.48147465184881211</v>
      </c>
      <c r="O10">
        <f t="shared" si="5"/>
        <v>0.13924564306442783</v>
      </c>
    </row>
    <row r="11" spans="1:15" x14ac:dyDescent="0.25">
      <c r="A11" t="s">
        <v>25</v>
      </c>
      <c r="B11">
        <v>2012</v>
      </c>
      <c r="C11">
        <v>55</v>
      </c>
      <c r="D11" t="s">
        <v>28</v>
      </c>
      <c r="E11">
        <v>50</v>
      </c>
      <c r="F11">
        <v>-3.15</v>
      </c>
      <c r="G11">
        <v>-5.21</v>
      </c>
      <c r="H11">
        <v>-1.0900000000000001</v>
      </c>
      <c r="I11" t="s">
        <v>29</v>
      </c>
      <c r="J11">
        <f t="shared" si="0"/>
        <v>1.0510204081632653</v>
      </c>
      <c r="K11">
        <f t="shared" si="1"/>
        <v>7.4318365777769788</v>
      </c>
      <c r="L11">
        <f t="shared" si="2"/>
        <v>-0.42385216184910141</v>
      </c>
      <c r="M11">
        <f t="shared" si="3"/>
        <v>0.98461538461538467</v>
      </c>
      <c r="N11">
        <f t="shared" si="4"/>
        <v>0.41733135935911525</v>
      </c>
      <c r="O11">
        <f t="shared" si="5"/>
        <v>0.13924564306442783</v>
      </c>
    </row>
    <row r="12" spans="1:15" x14ac:dyDescent="0.25">
      <c r="A12" t="s">
        <v>30</v>
      </c>
      <c r="B12">
        <v>2012</v>
      </c>
      <c r="C12">
        <v>14</v>
      </c>
      <c r="D12" t="s">
        <v>31</v>
      </c>
      <c r="E12">
        <v>10</v>
      </c>
      <c r="F12">
        <v>0.39</v>
      </c>
      <c r="G12">
        <v>-1.41</v>
      </c>
      <c r="H12">
        <v>2.19</v>
      </c>
      <c r="I12" t="s">
        <v>32</v>
      </c>
      <c r="J12">
        <f t="shared" si="0"/>
        <v>0.91836734693877542</v>
      </c>
      <c r="K12">
        <f t="shared" si="1"/>
        <v>2.904132545052593</v>
      </c>
      <c r="L12">
        <f t="shared" si="2"/>
        <v>0.13429139130181719</v>
      </c>
      <c r="M12">
        <f t="shared" si="3"/>
        <v>0.91428571428571426</v>
      </c>
      <c r="N12">
        <f t="shared" si="4"/>
        <v>-0.12278070061880429</v>
      </c>
      <c r="O12">
        <f t="shared" si="5"/>
        <v>0.28912252892968038</v>
      </c>
    </row>
    <row r="13" spans="1:15" x14ac:dyDescent="0.25">
      <c r="A13" t="s">
        <v>30</v>
      </c>
      <c r="B13">
        <v>2012</v>
      </c>
      <c r="C13">
        <v>14</v>
      </c>
      <c r="D13" t="s">
        <v>33</v>
      </c>
      <c r="E13">
        <v>10</v>
      </c>
      <c r="F13">
        <v>-0.78</v>
      </c>
      <c r="G13">
        <v>-3.05</v>
      </c>
      <c r="H13">
        <v>1.49</v>
      </c>
      <c r="I13" t="s">
        <v>34</v>
      </c>
      <c r="J13">
        <f t="shared" si="0"/>
        <v>1.1581632653061225</v>
      </c>
      <c r="K13">
        <f t="shared" si="1"/>
        <v>3.6624338207052149</v>
      </c>
      <c r="L13">
        <f t="shared" si="2"/>
        <v>-0.21297313157997438</v>
      </c>
      <c r="M13">
        <f t="shared" si="3"/>
        <v>0.91428571428571426</v>
      </c>
      <c r="N13">
        <f t="shared" si="4"/>
        <v>0.19471829173026228</v>
      </c>
      <c r="O13">
        <f t="shared" si="5"/>
        <v>0.28912252892968038</v>
      </c>
    </row>
    <row r="14" spans="1:15" x14ac:dyDescent="0.25">
      <c r="A14" t="s">
        <v>30</v>
      </c>
      <c r="B14">
        <v>2012</v>
      </c>
      <c r="C14">
        <v>14</v>
      </c>
      <c r="D14" t="s">
        <v>35</v>
      </c>
      <c r="E14">
        <v>10</v>
      </c>
      <c r="F14">
        <v>0.43</v>
      </c>
      <c r="G14">
        <v>-5.71</v>
      </c>
      <c r="H14">
        <v>6.57</v>
      </c>
      <c r="I14" t="s">
        <v>36</v>
      </c>
      <c r="J14">
        <f t="shared" si="0"/>
        <v>3.1326530612244903</v>
      </c>
      <c r="K14">
        <f t="shared" si="1"/>
        <v>9.9063187925682925</v>
      </c>
      <c r="L14">
        <f t="shared" si="2"/>
        <v>4.3406638631757484E-2</v>
      </c>
      <c r="M14">
        <f t="shared" si="3"/>
        <v>0.91428571428571426</v>
      </c>
      <c r="N14">
        <f t="shared" si="4"/>
        <v>-3.9686069606178272E-2</v>
      </c>
      <c r="O14">
        <f t="shared" si="5"/>
        <v>0.28912252892968038</v>
      </c>
    </row>
    <row r="15" spans="1:15" x14ac:dyDescent="0.25">
      <c r="A15" t="s">
        <v>30</v>
      </c>
      <c r="B15">
        <v>2012</v>
      </c>
      <c r="C15">
        <v>14</v>
      </c>
      <c r="D15" t="s">
        <v>37</v>
      </c>
      <c r="E15">
        <v>10</v>
      </c>
      <c r="F15">
        <v>-0.56999999999999995</v>
      </c>
      <c r="G15">
        <v>-1.21</v>
      </c>
      <c r="H15">
        <v>7.0000000000000007E-2</v>
      </c>
      <c r="I15" t="s">
        <v>38</v>
      </c>
      <c r="J15">
        <f t="shared" si="0"/>
        <v>0.32653061224489799</v>
      </c>
      <c r="K15">
        <f t="shared" si="1"/>
        <v>1.0325804604631443</v>
      </c>
      <c r="L15">
        <f t="shared" si="2"/>
        <v>-0.55201509405314264</v>
      </c>
      <c r="M15">
        <f t="shared" si="3"/>
        <v>0.91428571428571426</v>
      </c>
      <c r="N15">
        <f t="shared" si="4"/>
        <v>0.50469951456287321</v>
      </c>
      <c r="O15">
        <f t="shared" si="5"/>
        <v>0.28912252892968038</v>
      </c>
    </row>
    <row r="16" spans="1:15" x14ac:dyDescent="0.25">
      <c r="A16" t="s">
        <v>39</v>
      </c>
      <c r="B16">
        <v>2013</v>
      </c>
      <c r="C16">
        <v>59</v>
      </c>
      <c r="E16">
        <v>55</v>
      </c>
      <c r="F16">
        <v>0.27</v>
      </c>
      <c r="G16">
        <v>-1.67</v>
      </c>
      <c r="H16">
        <v>2.21</v>
      </c>
      <c r="I16" t="s">
        <v>40</v>
      </c>
      <c r="J16">
        <f t="shared" si="0"/>
        <v>0.98979591836734693</v>
      </c>
      <c r="K16">
        <f t="shared" si="1"/>
        <v>7.3405229923293804</v>
      </c>
      <c r="L16">
        <f t="shared" si="2"/>
        <v>3.6782120331499767E-2</v>
      </c>
      <c r="M16">
        <f t="shared" si="3"/>
        <v>0.98604651162790702</v>
      </c>
      <c r="N16">
        <f t="shared" si="4"/>
        <v>-3.626888144315326E-2</v>
      </c>
      <c r="O16">
        <f t="shared" si="5"/>
        <v>0.13295848450437892</v>
      </c>
    </row>
    <row r="17" spans="1:15" x14ac:dyDescent="0.25">
      <c r="A17" t="s">
        <v>41</v>
      </c>
      <c r="B17">
        <v>2013</v>
      </c>
      <c r="C17">
        <v>15</v>
      </c>
      <c r="D17" t="s">
        <v>42</v>
      </c>
      <c r="E17">
        <f>46/3</f>
        <v>15.333333333333334</v>
      </c>
      <c r="F17">
        <v>-1.21</v>
      </c>
      <c r="G17">
        <v>-2.89</v>
      </c>
      <c r="H17">
        <v>0.47</v>
      </c>
      <c r="I17" t="s">
        <v>43</v>
      </c>
      <c r="J17">
        <f t="shared" si="0"/>
        <v>0.85714285714285721</v>
      </c>
      <c r="K17">
        <f t="shared" si="1"/>
        <v>3.3563828927059234</v>
      </c>
      <c r="L17">
        <f t="shared" si="2"/>
        <v>-0.36050714077633</v>
      </c>
      <c r="M17">
        <f t="shared" si="3"/>
        <v>0.94674556213017746</v>
      </c>
      <c r="N17">
        <f t="shared" si="4"/>
        <v>0.34130853564622959</v>
      </c>
      <c r="O17">
        <f t="shared" si="5"/>
        <v>0.24177700281905284</v>
      </c>
    </row>
    <row r="18" spans="1:15" x14ac:dyDescent="0.25">
      <c r="A18" t="s">
        <v>41</v>
      </c>
      <c r="B18">
        <v>2013</v>
      </c>
      <c r="C18">
        <v>15</v>
      </c>
      <c r="D18" t="s">
        <v>44</v>
      </c>
      <c r="E18">
        <f t="shared" ref="E18:E19" si="6">46/3</f>
        <v>15.333333333333334</v>
      </c>
      <c r="F18">
        <v>-0.42</v>
      </c>
      <c r="G18">
        <v>-1.75</v>
      </c>
      <c r="H18">
        <v>0.91</v>
      </c>
      <c r="I18" t="s">
        <v>43</v>
      </c>
      <c r="J18">
        <f t="shared" si="0"/>
        <v>0.6785714285714286</v>
      </c>
      <c r="K18">
        <f t="shared" si="1"/>
        <v>2.6571364567255227</v>
      </c>
      <c r="L18">
        <f t="shared" si="2"/>
        <v>-0.15806489686930866</v>
      </c>
      <c r="M18">
        <f t="shared" si="3"/>
        <v>0.94674556213017746</v>
      </c>
      <c r="N18">
        <f t="shared" si="4"/>
        <v>0.14964723963958215</v>
      </c>
      <c r="O18">
        <f t="shared" si="5"/>
        <v>0.24177700281905282</v>
      </c>
    </row>
    <row r="19" spans="1:15" x14ac:dyDescent="0.25">
      <c r="A19" t="s">
        <v>41</v>
      </c>
      <c r="B19">
        <v>2013</v>
      </c>
      <c r="C19">
        <v>15</v>
      </c>
      <c r="D19" t="s">
        <v>14</v>
      </c>
      <c r="E19">
        <f t="shared" si="6"/>
        <v>15.333333333333334</v>
      </c>
      <c r="F19">
        <v>-1.07</v>
      </c>
      <c r="G19">
        <v>-2.94</v>
      </c>
      <c r="H19">
        <v>0.8</v>
      </c>
      <c r="I19" t="s">
        <v>43</v>
      </c>
      <c r="J19">
        <f t="shared" si="0"/>
        <v>0.95408163265306134</v>
      </c>
      <c r="K19">
        <f t="shared" si="1"/>
        <v>3.7359738150952837</v>
      </c>
      <c r="L19">
        <f t="shared" si="2"/>
        <v>-0.28640457694768678</v>
      </c>
      <c r="M19">
        <f t="shared" si="3"/>
        <v>0.94674556213017746</v>
      </c>
      <c r="N19">
        <f t="shared" si="4"/>
        <v>0.27115226219899341</v>
      </c>
      <c r="O19">
        <f t="shared" si="5"/>
        <v>0.24177700281905284</v>
      </c>
    </row>
    <row r="20" spans="1:15" x14ac:dyDescent="0.25">
      <c r="A20" t="s">
        <v>45</v>
      </c>
      <c r="B20">
        <v>2015</v>
      </c>
      <c r="C20">
        <v>69</v>
      </c>
      <c r="E20">
        <v>62</v>
      </c>
      <c r="F20">
        <v>-0.7</v>
      </c>
      <c r="G20">
        <v>-2.19</v>
      </c>
      <c r="H20">
        <v>0.79</v>
      </c>
      <c r="I20" t="s">
        <v>46</v>
      </c>
      <c r="J20">
        <f t="shared" si="0"/>
        <v>0.76020408163265307</v>
      </c>
      <c r="K20">
        <f t="shared" si="1"/>
        <v>5.9858529246314278</v>
      </c>
      <c r="L20">
        <f t="shared" si="2"/>
        <v>-0.11694239882165192</v>
      </c>
      <c r="M20">
        <f t="shared" si="3"/>
        <v>0.98765432098765427</v>
      </c>
      <c r="N20">
        <f t="shared" si="4"/>
        <v>0.11549866550286608</v>
      </c>
      <c r="O20">
        <f t="shared" si="5"/>
        <v>0.12543222419771902</v>
      </c>
    </row>
    <row r="21" spans="1:15" x14ac:dyDescent="0.25">
      <c r="A21" t="s">
        <v>47</v>
      </c>
      <c r="B21">
        <v>2016</v>
      </c>
      <c r="C21">
        <v>72</v>
      </c>
      <c r="E21">
        <v>70</v>
      </c>
      <c r="F21">
        <v>-0.8</v>
      </c>
      <c r="G21">
        <v>-1.52</v>
      </c>
      <c r="H21">
        <v>-0.08</v>
      </c>
      <c r="I21" t="s">
        <v>48</v>
      </c>
      <c r="J21">
        <f t="shared" si="0"/>
        <v>0.36734693877551022</v>
      </c>
      <c r="K21">
        <f t="shared" si="1"/>
        <v>3.0734449954312981</v>
      </c>
      <c r="L21">
        <f t="shared" si="2"/>
        <v>-0.26029423047726796</v>
      </c>
      <c r="M21">
        <f t="shared" si="3"/>
        <v>0.98909090909090913</v>
      </c>
      <c r="N21">
        <f t="shared" si="4"/>
        <v>0.2574546570538796</v>
      </c>
      <c r="O21">
        <f t="shared" si="5"/>
        <v>0.11821897517780185</v>
      </c>
    </row>
    <row r="22" spans="1:15" x14ac:dyDescent="0.25">
      <c r="A22" t="s">
        <v>49</v>
      </c>
      <c r="B22">
        <v>2017</v>
      </c>
      <c r="C22">
        <v>79</v>
      </c>
      <c r="E22">
        <v>25</v>
      </c>
      <c r="F22">
        <v>-0.46</v>
      </c>
      <c r="G22">
        <v>-2.14</v>
      </c>
      <c r="H22">
        <v>1.22</v>
      </c>
      <c r="I22" t="s">
        <v>50</v>
      </c>
      <c r="J22">
        <f t="shared" si="0"/>
        <v>0.85714285714285721</v>
      </c>
      <c r="K22">
        <f t="shared" si="1"/>
        <v>4.2857142857142865</v>
      </c>
      <c r="L22">
        <f t="shared" si="2"/>
        <v>-0.10733333333333332</v>
      </c>
      <c r="M22">
        <f t="shared" si="3"/>
        <v>0.96842105263157896</v>
      </c>
      <c r="N22">
        <f t="shared" si="4"/>
        <v>0.1039438596491228</v>
      </c>
      <c r="O22">
        <f t="shared" si="5"/>
        <v>0.19368421052631576</v>
      </c>
    </row>
    <row r="23" spans="1:15" x14ac:dyDescent="0.25">
      <c r="A23" t="s">
        <v>51</v>
      </c>
      <c r="B23">
        <v>2017</v>
      </c>
      <c r="C23">
        <v>80</v>
      </c>
      <c r="D23" t="s">
        <v>52</v>
      </c>
      <c r="E23">
        <v>21</v>
      </c>
      <c r="F23">
        <v>-0.56000000000000005</v>
      </c>
      <c r="G23">
        <v>-2.46</v>
      </c>
      <c r="H23">
        <v>1.34</v>
      </c>
      <c r="I23" t="s">
        <v>46</v>
      </c>
      <c r="J23">
        <f t="shared" si="0"/>
        <v>0.96938775510204078</v>
      </c>
      <c r="K23">
        <f t="shared" si="1"/>
        <v>4.4422927655184159</v>
      </c>
      <c r="L23">
        <f t="shared" si="2"/>
        <v>-0.12606102964369753</v>
      </c>
      <c r="M23">
        <f t="shared" si="3"/>
        <v>0.96202531645569622</v>
      </c>
      <c r="N23">
        <f t="shared" si="4"/>
        <v>0.12127390193570901</v>
      </c>
      <c r="O23">
        <f t="shared" si="5"/>
        <v>0.20993113491057497</v>
      </c>
    </row>
    <row r="24" spans="1:15" x14ac:dyDescent="0.25">
      <c r="A24" t="s">
        <v>51</v>
      </c>
      <c r="B24">
        <v>2017</v>
      </c>
      <c r="C24">
        <v>80</v>
      </c>
      <c r="D24" t="s">
        <v>53</v>
      </c>
      <c r="E24">
        <v>44</v>
      </c>
      <c r="F24">
        <v>-1.43</v>
      </c>
      <c r="G24">
        <v>-2.6</v>
      </c>
      <c r="H24">
        <v>-0.26</v>
      </c>
      <c r="I24" t="s">
        <v>46</v>
      </c>
      <c r="J24">
        <f t="shared" si="0"/>
        <v>0.59693877551020402</v>
      </c>
      <c r="K24">
        <f t="shared" si="1"/>
        <v>3.9596438823630788</v>
      </c>
      <c r="L24">
        <f t="shared" si="2"/>
        <v>-0.36114358828314358</v>
      </c>
      <c r="M24">
        <f t="shared" si="3"/>
        <v>0.98245614035087714</v>
      </c>
      <c r="N24">
        <f t="shared" si="4"/>
        <v>0.3548077358571235</v>
      </c>
      <c r="O24">
        <f t="shared" si="5"/>
        <v>0.1481108359329365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2026-03-09T15:17:30Z</dcterms:modified>
</cp:coreProperties>
</file>