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gu2022\"/>
    </mc:Choice>
  </mc:AlternateContent>
  <xr:revisionPtr revIDLastSave="0" documentId="13_ncr:1_{B7F42637-678E-4179-8490-A517075DD06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P2" i="1"/>
  <c r="P3" i="1"/>
  <c r="P4" i="1"/>
  <c r="P5" i="1"/>
  <c r="P6" i="1"/>
  <c r="P7" i="1"/>
  <c r="P8" i="1"/>
  <c r="P9" i="1"/>
  <c r="P10" i="1"/>
  <c r="P11" i="1"/>
  <c r="O2" i="1"/>
  <c r="N2" i="1"/>
  <c r="M3" i="1"/>
  <c r="M4" i="1"/>
  <c r="M5" i="1"/>
  <c r="M6" i="1"/>
  <c r="M7" i="1"/>
  <c r="M8" i="1"/>
  <c r="M9" i="1"/>
  <c r="O9" i="1" s="1"/>
  <c r="R9" i="1" s="1"/>
  <c r="M10" i="1"/>
  <c r="M11" i="1"/>
  <c r="N11" i="1" s="1"/>
  <c r="M2" i="1"/>
  <c r="L3" i="1"/>
  <c r="L4" i="1"/>
  <c r="N4" i="1"/>
  <c r="O4" i="1"/>
  <c r="L5" i="1"/>
  <c r="L6" i="1"/>
  <c r="N6" i="1"/>
  <c r="L7" i="1"/>
  <c r="N7" i="1"/>
  <c r="O7" i="1"/>
  <c r="R7" i="1" s="1"/>
  <c r="L8" i="1"/>
  <c r="L9" i="1"/>
  <c r="L10" i="1"/>
  <c r="N10" i="1"/>
  <c r="L11" i="1"/>
  <c r="L2" i="1"/>
  <c r="R4" i="1" l="1"/>
  <c r="N9" i="1"/>
  <c r="O6" i="1"/>
  <c r="R6" i="1" s="1"/>
  <c r="O11" i="1"/>
  <c r="R11" i="1" s="1"/>
  <c r="N8" i="1"/>
  <c r="N3" i="1"/>
  <c r="O3" i="1"/>
  <c r="R3" i="1" s="1"/>
  <c r="O10" i="1"/>
  <c r="R10" i="1" s="1"/>
  <c r="N5" i="1"/>
  <c r="O8" i="1"/>
  <c r="R8" i="1" s="1"/>
  <c r="O5" i="1" l="1"/>
  <c r="R5" i="1" s="1"/>
  <c r="R2" i="1"/>
</calcChain>
</file>

<file path=xl/sharedStrings.xml><?xml version="1.0" encoding="utf-8"?>
<sst xmlns="http://schemas.openxmlformats.org/spreadsheetml/2006/main" count="28" uniqueCount="26">
  <si>
    <t>Bhutani</t>
  </si>
  <si>
    <t>Cai</t>
  </si>
  <si>
    <t>Gabel</t>
  </si>
  <si>
    <t>Kotarsky</t>
  </si>
  <si>
    <t>Lowe</t>
  </si>
  <si>
    <t>Oh</t>
  </si>
  <si>
    <t>Teng</t>
  </si>
  <si>
    <t>Zouhal</t>
  </si>
  <si>
    <t>Author</t>
  </si>
  <si>
    <t>Year</t>
  </si>
  <si>
    <t>n_treat</t>
  </si>
  <si>
    <t>mean_treat</t>
  </si>
  <si>
    <t>sd_treat</t>
  </si>
  <si>
    <t>n_control</t>
  </si>
  <si>
    <t>mean_control</t>
  </si>
  <si>
    <t>sd_control</t>
  </si>
  <si>
    <t>md</t>
  </si>
  <si>
    <t>lCI_md</t>
  </si>
  <si>
    <t>uCI_md</t>
  </si>
  <si>
    <t>se_md</t>
  </si>
  <si>
    <t>d</t>
  </si>
  <si>
    <t>se_d</t>
  </si>
  <si>
    <t>J</t>
  </si>
  <si>
    <t>g</t>
  </si>
  <si>
    <t>se_g</t>
  </si>
  <si>
    <t>pooled_sd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</si>
</sst>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P2" sqref="P2"/>
    </sheetView>
  </sheetViews>
  <sheetFormatPr defaultRowHeight="15" x14ac:dyDescent="0.25"/>
  <cols>
    <col min="1" max="1" width="8.5703125" bestFit="1" customWidth="1"/>
    <col min="2" max="2" width="5" bestFit="1" customWidth="1"/>
    <col min="3" max="3" width="13.42578125" bestFit="1" customWidth="1"/>
    <col min="4" max="4" width="10.28515625" bestFit="1" customWidth="1"/>
    <col min="5" max="5" width="9.42578125" bestFit="1" customWidth="1"/>
    <col min="6" max="6" width="11.28515625" bestFit="1" customWidth="1"/>
    <col min="7" max="7" width="8.28515625" bestFit="1" customWidth="1"/>
    <col min="8" max="8" width="7.42578125" bestFit="1" customWidth="1"/>
    <col min="9" max="9" width="5" bestFit="1" customWidth="1"/>
    <col min="10" max="10" width="7.140625" bestFit="1" customWidth="1"/>
    <col min="11" max="11" width="7.7109375" bestFit="1" customWidth="1"/>
    <col min="12" max="12" width="12" bestFit="1" customWidth="1"/>
    <col min="13" max="13" width="7" bestFit="1" customWidth="1"/>
    <col min="14" max="15" width="12" bestFit="1" customWidth="1"/>
    <col min="16" max="16" width="12.7109375" bestFit="1" customWidth="1"/>
    <col min="17" max="17" width="11" bestFit="1" customWidth="1"/>
  </cols>
  <sheetData>
    <row r="1" spans="1:18" x14ac:dyDescent="0.25">
      <c r="A1" t="s">
        <v>8</v>
      </c>
      <c r="B1" t="s">
        <v>9</v>
      </c>
      <c r="C1" t="s">
        <v>14</v>
      </c>
      <c r="D1" t="s">
        <v>15</v>
      </c>
      <c r="E1" t="s">
        <v>13</v>
      </c>
      <c r="F1" t="s">
        <v>11</v>
      </c>
      <c r="G1" t="s">
        <v>12</v>
      </c>
      <c r="H1" t="s">
        <v>10</v>
      </c>
      <c r="I1" t="s">
        <v>16</v>
      </c>
      <c r="J1" t="s">
        <v>17</v>
      </c>
      <c r="K1" t="s">
        <v>18</v>
      </c>
      <c r="L1" t="s">
        <v>19</v>
      </c>
      <c r="M1" t="s">
        <v>25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25">
      <c r="A2" t="s">
        <v>0</v>
      </c>
      <c r="B2">
        <v>2013</v>
      </c>
      <c r="C2">
        <v>35</v>
      </c>
      <c r="D2">
        <v>4</v>
      </c>
      <c r="E2">
        <v>16</v>
      </c>
      <c r="F2">
        <v>34</v>
      </c>
      <c r="G2">
        <v>4</v>
      </c>
      <c r="H2">
        <v>16</v>
      </c>
      <c r="I2">
        <v>1</v>
      </c>
      <c r="J2">
        <v>-1.77</v>
      </c>
      <c r="K2">
        <v>3.77</v>
      </c>
      <c r="L2">
        <f>(K2-J2)/2/1.96</f>
        <v>1.4132653061224489</v>
      </c>
      <c r="M2">
        <f>L2/SQRT(1/E2+1/H2)</f>
        <v>3.9973179262994623</v>
      </c>
      <c r="N2">
        <f>I2/M2</f>
        <v>0.25016774208043924</v>
      </c>
      <c r="O2">
        <f>L2/M2</f>
        <v>0.35355339059327379</v>
      </c>
      <c r="P2">
        <f>1-3/(4*(E2+H2-2)-1)</f>
        <v>0.97478991596638653</v>
      </c>
      <c r="Q2">
        <f>N2*P2</f>
        <v>0.24386099228009203</v>
      </c>
      <c r="R2">
        <f>O2*P2</f>
        <v>0.3446402799060484</v>
      </c>
    </row>
    <row r="3" spans="1:18" x14ac:dyDescent="0.25">
      <c r="A3" t="s">
        <v>1</v>
      </c>
      <c r="B3">
        <v>2019</v>
      </c>
      <c r="C3">
        <v>26.64</v>
      </c>
      <c r="D3">
        <v>1.66</v>
      </c>
      <c r="E3">
        <v>79</v>
      </c>
      <c r="F3">
        <v>26.6</v>
      </c>
      <c r="G3">
        <v>1.46</v>
      </c>
      <c r="H3">
        <v>95</v>
      </c>
      <c r="I3">
        <v>0.04</v>
      </c>
      <c r="J3">
        <v>-0.43</v>
      </c>
      <c r="K3">
        <v>0.51</v>
      </c>
      <c r="L3">
        <f t="shared" ref="L3:L11" si="0">(K3-J3)/2/1.96</f>
        <v>0.23979591836734693</v>
      </c>
      <c r="M3">
        <f t="shared" ref="M3:M11" si="1">L3/SQRT(1/E3+1/H3)</f>
        <v>1.5748620244337534</v>
      </c>
      <c r="N3">
        <f t="shared" ref="N3:N11" si="2">I3/M3</f>
        <v>2.5399050443407654E-2</v>
      </c>
      <c r="O3">
        <f t="shared" ref="O3:O11" si="3">L3/M3</f>
        <v>0.1522647156683877</v>
      </c>
      <c r="P3">
        <f t="shared" ref="P3:P11" si="4">1-3/(4*(E3+H3-2)-1)</f>
        <v>0.99563318777292575</v>
      </c>
      <c r="Q3">
        <f t="shared" ref="Q3:Q11" si="5">N3*P3</f>
        <v>2.5288137559375305E-2</v>
      </c>
      <c r="R3">
        <f t="shared" ref="R3:R11" si="6">O3*P3</f>
        <v>0.15159980424625499</v>
      </c>
    </row>
    <row r="4" spans="1:18" x14ac:dyDescent="0.25">
      <c r="A4" t="s">
        <v>1</v>
      </c>
      <c r="B4">
        <v>2019</v>
      </c>
      <c r="C4">
        <v>26.64</v>
      </c>
      <c r="D4">
        <v>1.66</v>
      </c>
      <c r="E4">
        <v>79</v>
      </c>
      <c r="F4">
        <v>26.15</v>
      </c>
      <c r="G4">
        <v>1.58</v>
      </c>
      <c r="H4">
        <v>90</v>
      </c>
      <c r="I4">
        <v>0.49</v>
      </c>
      <c r="J4">
        <v>0</v>
      </c>
      <c r="K4">
        <v>0.98</v>
      </c>
      <c r="L4">
        <f t="shared" si="0"/>
        <v>0.25</v>
      </c>
      <c r="M4">
        <f t="shared" si="1"/>
        <v>1.6215541526025226</v>
      </c>
      <c r="N4">
        <f t="shared" si="2"/>
        <v>0.30217923910439359</v>
      </c>
      <c r="O4">
        <f t="shared" si="3"/>
        <v>0.15417308117571102</v>
      </c>
      <c r="P4">
        <f t="shared" si="4"/>
        <v>0.99550224887556227</v>
      </c>
      <c r="Q4">
        <f t="shared" si="5"/>
        <v>0.30082011209193005</v>
      </c>
      <c r="R4">
        <f t="shared" si="6"/>
        <v>0.15347964902649494</v>
      </c>
    </row>
    <row r="5" spans="1:18" x14ac:dyDescent="0.25">
      <c r="A5" t="s">
        <v>2</v>
      </c>
      <c r="B5">
        <v>2019</v>
      </c>
      <c r="C5">
        <v>35</v>
      </c>
      <c r="D5">
        <v>3.87</v>
      </c>
      <c r="E5">
        <v>15</v>
      </c>
      <c r="F5">
        <v>32</v>
      </c>
      <c r="G5">
        <v>3.32</v>
      </c>
      <c r="H5">
        <v>11</v>
      </c>
      <c r="I5">
        <v>3</v>
      </c>
      <c r="J5">
        <v>0.23</v>
      </c>
      <c r="K5">
        <v>5.77</v>
      </c>
      <c r="L5">
        <f t="shared" si="0"/>
        <v>1.4132653061224487</v>
      </c>
      <c r="M5">
        <f t="shared" si="1"/>
        <v>3.560237709251294</v>
      </c>
      <c r="N5">
        <f t="shared" si="2"/>
        <v>0.84264036421064981</v>
      </c>
      <c r="O5">
        <f t="shared" si="3"/>
        <v>0.39695813075909858</v>
      </c>
      <c r="P5">
        <f t="shared" si="4"/>
        <v>0.96842105263157896</v>
      </c>
      <c r="Q5">
        <f t="shared" si="5"/>
        <v>0.81603066849873451</v>
      </c>
      <c r="R5">
        <f t="shared" si="6"/>
        <v>0.3844226108403902</v>
      </c>
    </row>
    <row r="6" spans="1:18" x14ac:dyDescent="0.25">
      <c r="A6" t="s">
        <v>3</v>
      </c>
      <c r="B6">
        <v>2021</v>
      </c>
      <c r="C6">
        <v>29.3</v>
      </c>
      <c r="D6">
        <v>2.85</v>
      </c>
      <c r="E6">
        <v>10</v>
      </c>
      <c r="F6">
        <v>28.8</v>
      </c>
      <c r="G6">
        <v>2.65</v>
      </c>
      <c r="H6">
        <v>11</v>
      </c>
      <c r="I6">
        <v>0.5</v>
      </c>
      <c r="J6">
        <v>-1.86</v>
      </c>
      <c r="K6">
        <v>2.86</v>
      </c>
      <c r="L6">
        <f t="shared" si="0"/>
        <v>1.2040816326530612</v>
      </c>
      <c r="M6">
        <f t="shared" si="1"/>
        <v>2.7557678351843617</v>
      </c>
      <c r="N6">
        <f t="shared" si="2"/>
        <v>0.1814376354989824</v>
      </c>
      <c r="O6">
        <f t="shared" si="3"/>
        <v>0.43693144875265144</v>
      </c>
      <c r="P6">
        <f t="shared" si="4"/>
        <v>0.96</v>
      </c>
      <c r="Q6">
        <f t="shared" si="5"/>
        <v>0.17418013007902308</v>
      </c>
      <c r="R6">
        <f t="shared" si="6"/>
        <v>0.41945419080254537</v>
      </c>
    </row>
    <row r="7" spans="1:18" x14ac:dyDescent="0.25">
      <c r="A7" t="s">
        <v>4</v>
      </c>
      <c r="B7">
        <v>2020</v>
      </c>
      <c r="C7">
        <v>31.1</v>
      </c>
      <c r="D7">
        <v>3.43</v>
      </c>
      <c r="E7">
        <v>24</v>
      </c>
      <c r="F7">
        <v>30.9</v>
      </c>
      <c r="G7">
        <v>3.27</v>
      </c>
      <c r="H7">
        <v>22</v>
      </c>
      <c r="I7">
        <v>0.2</v>
      </c>
      <c r="J7">
        <v>-1.74</v>
      </c>
      <c r="K7">
        <v>2.14</v>
      </c>
      <c r="L7">
        <f t="shared" si="0"/>
        <v>0.98979591836734693</v>
      </c>
      <c r="M7">
        <f t="shared" si="1"/>
        <v>3.3533872132413154</v>
      </c>
      <c r="N7">
        <f t="shared" si="2"/>
        <v>5.9641188828499204E-2</v>
      </c>
      <c r="O7">
        <f t="shared" si="3"/>
        <v>0.29516302634512359</v>
      </c>
      <c r="P7">
        <f t="shared" si="4"/>
        <v>0.98285714285714287</v>
      </c>
      <c r="Q7">
        <f t="shared" si="5"/>
        <v>5.8618768448582076E-2</v>
      </c>
      <c r="R7">
        <f t="shared" si="6"/>
        <v>0.29010308875063578</v>
      </c>
    </row>
    <row r="8" spans="1:18" x14ac:dyDescent="0.25">
      <c r="A8" t="s">
        <v>5</v>
      </c>
      <c r="B8">
        <v>2018</v>
      </c>
      <c r="C8">
        <v>26.2</v>
      </c>
      <c r="D8">
        <v>3</v>
      </c>
      <c r="E8">
        <v>10</v>
      </c>
      <c r="F8">
        <v>26.7</v>
      </c>
      <c r="G8">
        <v>2.5</v>
      </c>
      <c r="H8">
        <v>13</v>
      </c>
      <c r="I8">
        <v>-0.5</v>
      </c>
      <c r="J8">
        <v>-2.8</v>
      </c>
      <c r="K8">
        <v>1.8</v>
      </c>
      <c r="L8">
        <f t="shared" si="0"/>
        <v>1.1734693877551019</v>
      </c>
      <c r="M8">
        <f t="shared" si="1"/>
        <v>2.7898414519372072</v>
      </c>
      <c r="N8">
        <f t="shared" si="2"/>
        <v>-0.1792216542100665</v>
      </c>
      <c r="O8">
        <f t="shared" si="3"/>
        <v>0.4206222496766866</v>
      </c>
      <c r="P8">
        <f t="shared" si="4"/>
        <v>0.96385542168674698</v>
      </c>
      <c r="Q8">
        <f t="shared" si="5"/>
        <v>-0.17274376309403999</v>
      </c>
      <c r="R8">
        <f t="shared" si="6"/>
        <v>0.40541903583295091</v>
      </c>
    </row>
    <row r="9" spans="1:18" x14ac:dyDescent="0.25">
      <c r="A9" t="s">
        <v>6</v>
      </c>
      <c r="B9">
        <v>2011</v>
      </c>
      <c r="C9">
        <v>26.8</v>
      </c>
      <c r="D9">
        <v>1.9</v>
      </c>
      <c r="E9">
        <v>13</v>
      </c>
      <c r="F9">
        <v>26.3</v>
      </c>
      <c r="G9">
        <v>1.9</v>
      </c>
      <c r="H9">
        <v>12</v>
      </c>
      <c r="I9">
        <v>0.5</v>
      </c>
      <c r="J9">
        <v>-0.99</v>
      </c>
      <c r="K9">
        <v>1.99</v>
      </c>
      <c r="L9">
        <f t="shared" si="0"/>
        <v>0.76020408163265307</v>
      </c>
      <c r="M9">
        <f t="shared" si="1"/>
        <v>1.8989891872680844</v>
      </c>
      <c r="N9">
        <f t="shared" si="2"/>
        <v>0.26329797102178754</v>
      </c>
      <c r="O9">
        <f t="shared" si="3"/>
        <v>0.40032038451271784</v>
      </c>
      <c r="P9">
        <f t="shared" si="4"/>
        <v>0.96703296703296704</v>
      </c>
      <c r="Q9">
        <f t="shared" si="5"/>
        <v>0.25461781813095935</v>
      </c>
      <c r="R9">
        <f t="shared" si="6"/>
        <v>0.38712300919911175</v>
      </c>
    </row>
    <row r="10" spans="1:18" x14ac:dyDescent="0.25">
      <c r="A10" t="s">
        <v>6</v>
      </c>
      <c r="B10">
        <v>2013</v>
      </c>
      <c r="C10">
        <v>26.7</v>
      </c>
      <c r="D10">
        <v>2.2000000000000002</v>
      </c>
      <c r="E10">
        <v>28</v>
      </c>
      <c r="F10">
        <v>25.9</v>
      </c>
      <c r="G10">
        <v>1.9</v>
      </c>
      <c r="H10">
        <v>28</v>
      </c>
      <c r="I10">
        <v>0.8</v>
      </c>
      <c r="J10">
        <v>-0.28000000000000003</v>
      </c>
      <c r="K10">
        <v>1.88</v>
      </c>
      <c r="L10">
        <f t="shared" si="0"/>
        <v>0.55102040816326536</v>
      </c>
      <c r="M10">
        <f t="shared" si="1"/>
        <v>2.0617295804672739</v>
      </c>
      <c r="N10">
        <f t="shared" si="2"/>
        <v>0.38802372899877913</v>
      </c>
      <c r="O10">
        <f t="shared" si="3"/>
        <v>0.2672612419124244</v>
      </c>
      <c r="P10">
        <f t="shared" si="4"/>
        <v>0.98604651162790702</v>
      </c>
      <c r="Q10">
        <f t="shared" si="5"/>
        <v>0.38260944440809852</v>
      </c>
      <c r="R10">
        <f t="shared" si="6"/>
        <v>0.26353201528108827</v>
      </c>
    </row>
    <row r="11" spans="1:18" x14ac:dyDescent="0.25">
      <c r="A11" t="s">
        <v>7</v>
      </c>
      <c r="B11">
        <v>2020</v>
      </c>
      <c r="C11">
        <v>33.6</v>
      </c>
      <c r="D11">
        <v>2.7</v>
      </c>
      <c r="E11">
        <v>14</v>
      </c>
      <c r="F11">
        <v>32.200000000000003</v>
      </c>
      <c r="G11">
        <v>1.2</v>
      </c>
      <c r="H11">
        <v>14</v>
      </c>
      <c r="I11">
        <v>1.4</v>
      </c>
      <c r="J11">
        <v>-0.15</v>
      </c>
      <c r="K11">
        <v>2.95</v>
      </c>
      <c r="L11">
        <f t="shared" si="0"/>
        <v>0.79081632653061229</v>
      </c>
      <c r="M11">
        <f t="shared" si="1"/>
        <v>2.0923033327296512</v>
      </c>
      <c r="N11">
        <f t="shared" si="2"/>
        <v>0.66911904124988342</v>
      </c>
      <c r="O11">
        <f t="shared" si="3"/>
        <v>0.37796447300922714</v>
      </c>
      <c r="P11">
        <f t="shared" si="4"/>
        <v>0.970873786407767</v>
      </c>
      <c r="Q11">
        <f t="shared" si="5"/>
        <v>0.64963013713580919</v>
      </c>
      <c r="R11">
        <f t="shared" si="6"/>
        <v>0.36695579903808462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2026-03-20T11:41:07Z</dcterms:modified>
</cp:coreProperties>
</file>