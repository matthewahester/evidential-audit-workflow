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gu2022\"/>
    </mc:Choice>
  </mc:AlternateContent>
  <xr:revisionPtr revIDLastSave="0" documentId="13_ncr:1_{96CEEB27-709D-4442-A07C-341409265E6D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13" i="1"/>
  <c r="O14" i="1"/>
  <c r="M2" i="1"/>
  <c r="N2" i="1" s="1"/>
  <c r="L3" i="1"/>
  <c r="O3" i="1" s="1"/>
  <c r="M3" i="1"/>
  <c r="N3" i="1" s="1"/>
  <c r="L4" i="1"/>
  <c r="O4" i="1" s="1"/>
  <c r="M4" i="1"/>
  <c r="N4" i="1" s="1"/>
  <c r="L5" i="1"/>
  <c r="O5" i="1" s="1"/>
  <c r="M5" i="1"/>
  <c r="N5" i="1" s="1"/>
  <c r="L6" i="1"/>
  <c r="M6" i="1"/>
  <c r="N6" i="1" s="1"/>
  <c r="L7" i="1"/>
  <c r="O7" i="1" s="1"/>
  <c r="M7" i="1"/>
  <c r="N7" i="1" s="1"/>
  <c r="L8" i="1"/>
  <c r="O8" i="1" s="1"/>
  <c r="M8" i="1"/>
  <c r="N8" i="1" s="1"/>
  <c r="L9" i="1"/>
  <c r="O9" i="1" s="1"/>
  <c r="M9" i="1"/>
  <c r="N9" i="1" s="1"/>
  <c r="L10" i="1"/>
  <c r="O10" i="1" s="1"/>
  <c r="M10" i="1"/>
  <c r="N10" i="1" s="1"/>
  <c r="L11" i="1"/>
  <c r="O11" i="1" s="1"/>
  <c r="M11" i="1"/>
  <c r="N11" i="1" s="1"/>
  <c r="L12" i="1"/>
  <c r="M12" i="1"/>
  <c r="N12" i="1" s="1"/>
  <c r="L13" i="1"/>
  <c r="M13" i="1"/>
  <c r="N13" i="1" s="1"/>
  <c r="L14" i="1"/>
  <c r="M14" i="1"/>
  <c r="N14" i="1" s="1"/>
  <c r="L15" i="1"/>
  <c r="O15" i="1" s="1"/>
  <c r="M15" i="1"/>
  <c r="N15" i="1" s="1"/>
  <c r="L16" i="1"/>
  <c r="O16" i="1" s="1"/>
  <c r="M16" i="1"/>
  <c r="N16" i="1" s="1"/>
  <c r="L17" i="1"/>
  <c r="O17" i="1" s="1"/>
  <c r="M17" i="1"/>
  <c r="N17" i="1" s="1"/>
  <c r="L18" i="1"/>
  <c r="M18" i="1"/>
  <c r="N18" i="1" s="1"/>
  <c r="L19" i="1"/>
  <c r="M19" i="1"/>
  <c r="N19" i="1" s="1"/>
  <c r="L20" i="1"/>
  <c r="O20" i="1" s="1"/>
  <c r="M20" i="1"/>
  <c r="N20" i="1" s="1"/>
  <c r="L2" i="1"/>
  <c r="O2" i="1" s="1"/>
  <c r="O18" i="1" l="1"/>
  <c r="O6" i="1"/>
  <c r="O19" i="1"/>
</calcChain>
</file>

<file path=xl/sharedStrings.xml><?xml version="1.0" encoding="utf-8"?>
<sst xmlns="http://schemas.openxmlformats.org/spreadsheetml/2006/main" count="34" uniqueCount="31">
  <si>
    <t>Bhutani</t>
  </si>
  <si>
    <t>Cai</t>
  </si>
  <si>
    <t>Chow</t>
  </si>
  <si>
    <t>Gabel</t>
  </si>
  <si>
    <t>Hirsh</t>
  </si>
  <si>
    <t>Lowe</t>
  </si>
  <si>
    <t>Martens</t>
  </si>
  <si>
    <t>McAllister</t>
  </si>
  <si>
    <t>Moro</t>
  </si>
  <si>
    <t>Oh</t>
  </si>
  <si>
    <t>Schubel</t>
  </si>
  <si>
    <t>State</t>
  </si>
  <si>
    <t>Teng</t>
  </si>
  <si>
    <t>Tinsley</t>
  </si>
  <si>
    <t>Trabelsi</t>
  </si>
  <si>
    <t>Varady</t>
  </si>
  <si>
    <t>Author</t>
  </si>
  <si>
    <t>Year</t>
  </si>
  <si>
    <t>mean_control</t>
  </si>
  <si>
    <t>sd_control</t>
  </si>
  <si>
    <t>n_control</t>
  </si>
  <si>
    <t>mean_treat</t>
  </si>
  <si>
    <t>sd_treat</t>
  </si>
  <si>
    <t>n_treat</t>
  </si>
  <si>
    <t>lCI_md</t>
  </si>
  <si>
    <t>uCI_md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</si>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</sst>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E1" workbookViewId="0">
      <selection activeCell="I3" sqref="I3"/>
    </sheetView>
  </sheetViews>
  <sheetFormatPr defaultRowHeight="15" x14ac:dyDescent="0.25"/>
  <cols>
    <col min="1" max="1" width="14.5703125" bestFit="1" customWidth="1"/>
    <col min="2" max="2" width="14.5703125" customWidth="1"/>
    <col min="3" max="3" width="7" bestFit="1" customWidth="1"/>
    <col min="4" max="4" width="6" bestFit="1" customWidth="1"/>
    <col min="5" max="5" width="3" bestFit="1" customWidth="1"/>
    <col min="6" max="6" width="7" bestFit="1" customWidth="1"/>
    <col min="7" max="7" width="6" bestFit="1" customWidth="1"/>
    <col min="8" max="8" width="3" bestFit="1" customWidth="1"/>
    <col min="9" max="9" width="16.140625" bestFit="1" customWidth="1"/>
  </cols>
  <sheetData>
    <row r="1" spans="1:1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26</v>
      </c>
      <c r="J1" t="s">
        <v>24</v>
      </c>
      <c r="K1" t="s">
        <v>25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5">
      <c r="A2" t="s">
        <v>0</v>
      </c>
      <c r="B2">
        <v>2013</v>
      </c>
      <c r="C2">
        <v>102</v>
      </c>
      <c r="D2">
        <v>44</v>
      </c>
      <c r="E2">
        <v>16</v>
      </c>
      <c r="F2">
        <v>86</v>
      </c>
      <c r="G2">
        <v>32</v>
      </c>
      <c r="H2">
        <v>16</v>
      </c>
      <c r="I2">
        <v>0.41</v>
      </c>
      <c r="J2">
        <v>-0.3</v>
      </c>
      <c r="K2">
        <v>1.1100000000000001</v>
      </c>
      <c r="L2">
        <f>(K2-J2)/2/1.96</f>
        <v>0.35969387755102045</v>
      </c>
      <c r="M2">
        <f>1-3/(4*(E2+H2-2)-1)</f>
        <v>0.97478991596638653</v>
      </c>
      <c r="N2">
        <f>I2*M2</f>
        <v>0.39966386554621847</v>
      </c>
      <c r="O2">
        <f>L2*M2</f>
        <v>0.35062596467158297</v>
      </c>
    </row>
    <row r="3" spans="1:15" x14ac:dyDescent="0.25">
      <c r="A3" t="s">
        <v>1</v>
      </c>
      <c r="B3">
        <v>2019</v>
      </c>
      <c r="C3">
        <v>2.4</v>
      </c>
      <c r="D3">
        <v>1.7</v>
      </c>
      <c r="E3">
        <v>79</v>
      </c>
      <c r="F3">
        <v>2.12</v>
      </c>
      <c r="G3">
        <v>1.9</v>
      </c>
      <c r="H3">
        <v>90</v>
      </c>
      <c r="I3">
        <v>0.15</v>
      </c>
      <c r="J3">
        <v>-0.15</v>
      </c>
      <c r="K3">
        <v>0.46</v>
      </c>
      <c r="L3">
        <f t="shared" ref="L3:L20" si="0">(K3-J3)/2/1.96</f>
        <v>0.15561224489795919</v>
      </c>
      <c r="M3">
        <f>1-3/(4*(E3+H3-2)-1)</f>
        <v>0.99550224887556227</v>
      </c>
      <c r="N3">
        <f>I3*M3</f>
        <v>0.14932533733133432</v>
      </c>
      <c r="O3">
        <f>L3*M3</f>
        <v>0.15491233974849311</v>
      </c>
    </row>
    <row r="4" spans="1:15" x14ac:dyDescent="0.25">
      <c r="A4" t="s">
        <v>1</v>
      </c>
      <c r="B4">
        <v>2019</v>
      </c>
      <c r="C4">
        <v>2.4</v>
      </c>
      <c r="D4">
        <v>1.7</v>
      </c>
      <c r="E4">
        <v>79</v>
      </c>
      <c r="F4">
        <v>2.31</v>
      </c>
      <c r="G4">
        <v>1.75</v>
      </c>
      <c r="H4">
        <v>95</v>
      </c>
      <c r="I4">
        <v>0.05</v>
      </c>
      <c r="J4">
        <v>-0.25</v>
      </c>
      <c r="K4">
        <v>0.35</v>
      </c>
      <c r="L4">
        <f t="shared" si="0"/>
        <v>0.15306122448979592</v>
      </c>
      <c r="M4">
        <f>1-3/(4*(E4+H4-2)-1)</f>
        <v>0.99563318777292575</v>
      </c>
      <c r="N4">
        <f>I4*M4</f>
        <v>4.9781659388646288E-2</v>
      </c>
      <c r="O4">
        <f>L4*M4</f>
        <v>0.15239283486320293</v>
      </c>
    </row>
    <row r="5" spans="1:15" x14ac:dyDescent="0.25">
      <c r="A5" t="s">
        <v>2</v>
      </c>
      <c r="B5">
        <v>2020</v>
      </c>
      <c r="C5">
        <v>87</v>
      </c>
      <c r="D5">
        <v>27</v>
      </c>
      <c r="E5">
        <v>9</v>
      </c>
      <c r="F5">
        <v>106</v>
      </c>
      <c r="G5">
        <v>39</v>
      </c>
      <c r="H5">
        <v>11</v>
      </c>
      <c r="I5">
        <v>-0.53</v>
      </c>
      <c r="J5">
        <v>-1.43</v>
      </c>
      <c r="K5">
        <v>0.37</v>
      </c>
      <c r="L5">
        <f t="shared" si="0"/>
        <v>0.45918367346938771</v>
      </c>
      <c r="M5">
        <f>1-3/(4*(E5+H5-2)-1)</f>
        <v>0.95774647887323949</v>
      </c>
      <c r="N5">
        <f>I5*M5</f>
        <v>-0.50760563380281698</v>
      </c>
      <c r="O5">
        <f>L5*M5</f>
        <v>0.43978154642138545</v>
      </c>
    </row>
    <row r="6" spans="1:15" x14ac:dyDescent="0.25">
      <c r="A6" t="s">
        <v>3</v>
      </c>
      <c r="B6">
        <v>2019</v>
      </c>
      <c r="C6">
        <v>94</v>
      </c>
      <c r="D6">
        <v>30.98</v>
      </c>
      <c r="E6">
        <v>15</v>
      </c>
      <c r="F6">
        <v>97</v>
      </c>
      <c r="G6">
        <v>33.17</v>
      </c>
      <c r="H6">
        <v>11</v>
      </c>
      <c r="I6">
        <v>-0.09</v>
      </c>
      <c r="J6">
        <v>-0.87</v>
      </c>
      <c r="K6">
        <v>0.69</v>
      </c>
      <c r="L6">
        <f t="shared" si="0"/>
        <v>0.39795918367346939</v>
      </c>
      <c r="M6">
        <f>1-3/(4*(E6+H6-2)-1)</f>
        <v>0.96842105263157896</v>
      </c>
      <c r="N6">
        <f>I6*M6</f>
        <v>-8.7157894736842101E-2</v>
      </c>
      <c r="O6">
        <f>L6*M6</f>
        <v>0.38539205155746509</v>
      </c>
    </row>
    <row r="7" spans="1:15" x14ac:dyDescent="0.25">
      <c r="A7" t="s">
        <v>4</v>
      </c>
      <c r="B7">
        <v>2019</v>
      </c>
      <c r="C7">
        <v>87.1</v>
      </c>
      <c r="D7">
        <v>40.299999999999997</v>
      </c>
      <c r="E7">
        <v>12</v>
      </c>
      <c r="F7">
        <v>70.5</v>
      </c>
      <c r="G7">
        <v>34.799999999999997</v>
      </c>
      <c r="H7">
        <v>10</v>
      </c>
      <c r="I7">
        <v>0.42</v>
      </c>
      <c r="J7">
        <v>-0.43</v>
      </c>
      <c r="K7">
        <v>1.27</v>
      </c>
      <c r="L7">
        <f t="shared" si="0"/>
        <v>0.43367346938775508</v>
      </c>
      <c r="M7">
        <f>1-3/(4*(E7+H7-2)-1)</f>
        <v>0.96202531645569622</v>
      </c>
      <c r="N7">
        <f>I7*M7</f>
        <v>0.40405063291139237</v>
      </c>
      <c r="O7">
        <f>L7*M7</f>
        <v>0.41720485662619478</v>
      </c>
    </row>
    <row r="8" spans="1:15" x14ac:dyDescent="0.25">
      <c r="A8" t="s">
        <v>5</v>
      </c>
      <c r="B8">
        <v>2020</v>
      </c>
      <c r="C8">
        <v>136</v>
      </c>
      <c r="D8">
        <v>59.8</v>
      </c>
      <c r="E8">
        <v>24</v>
      </c>
      <c r="F8">
        <v>116.9</v>
      </c>
      <c r="G8">
        <v>57.96</v>
      </c>
      <c r="H8">
        <v>22</v>
      </c>
      <c r="I8">
        <v>0.32</v>
      </c>
      <c r="J8">
        <v>-0.26</v>
      </c>
      <c r="K8">
        <v>0.9</v>
      </c>
      <c r="L8">
        <f t="shared" si="0"/>
        <v>0.29591836734693883</v>
      </c>
      <c r="M8">
        <f>1-3/(4*(E8+H8-2)-1)</f>
        <v>0.98285714285714287</v>
      </c>
      <c r="N8">
        <f>I8*M8</f>
        <v>0.31451428571428575</v>
      </c>
      <c r="O8">
        <f>L8*M8</f>
        <v>0.29084548104956276</v>
      </c>
    </row>
    <row r="9" spans="1:15" x14ac:dyDescent="0.25">
      <c r="A9" t="s">
        <v>6</v>
      </c>
      <c r="B9">
        <v>2020</v>
      </c>
      <c r="C9">
        <v>87</v>
      </c>
      <c r="D9">
        <v>28.14</v>
      </c>
      <c r="E9">
        <v>22</v>
      </c>
      <c r="F9">
        <v>83</v>
      </c>
      <c r="G9">
        <v>27.5</v>
      </c>
      <c r="H9">
        <v>21</v>
      </c>
      <c r="I9">
        <v>0.14000000000000001</v>
      </c>
      <c r="J9">
        <v>-0.46</v>
      </c>
      <c r="K9">
        <v>0.74</v>
      </c>
      <c r="L9">
        <f t="shared" si="0"/>
        <v>0.30612244897959184</v>
      </c>
      <c r="M9">
        <f>1-3/(4*(E9+H9-2)-1)</f>
        <v>0.98159509202453987</v>
      </c>
      <c r="N9">
        <f>I9*M9</f>
        <v>0.13742331288343559</v>
      </c>
      <c r="O9">
        <f>L9*M9</f>
        <v>0.30048829347689998</v>
      </c>
    </row>
    <row r="10" spans="1:15" x14ac:dyDescent="0.25">
      <c r="A10" t="s">
        <v>7</v>
      </c>
      <c r="B10">
        <v>2019</v>
      </c>
      <c r="C10">
        <v>89.2</v>
      </c>
      <c r="D10">
        <v>30.9</v>
      </c>
      <c r="E10">
        <v>12</v>
      </c>
      <c r="F10">
        <v>77.7</v>
      </c>
      <c r="G10">
        <v>23.4</v>
      </c>
      <c r="H10">
        <v>10</v>
      </c>
      <c r="I10">
        <v>0.4</v>
      </c>
      <c r="J10">
        <v>-0.45</v>
      </c>
      <c r="K10">
        <v>1.25</v>
      </c>
      <c r="L10">
        <f t="shared" si="0"/>
        <v>0.43367346938775508</v>
      </c>
      <c r="M10">
        <f>1-3/(4*(E10+H10-2)-1)</f>
        <v>0.96202531645569622</v>
      </c>
      <c r="N10">
        <f>I10*M10</f>
        <v>0.38481012658227853</v>
      </c>
      <c r="O10">
        <f>L10*M10</f>
        <v>0.41720485662619478</v>
      </c>
    </row>
    <row r="11" spans="1:15" x14ac:dyDescent="0.25">
      <c r="A11" t="s">
        <v>8</v>
      </c>
      <c r="B11">
        <v>2016</v>
      </c>
      <c r="C11">
        <v>134.58000000000001</v>
      </c>
      <c r="D11">
        <v>15.66</v>
      </c>
      <c r="E11">
        <v>17</v>
      </c>
      <c r="F11">
        <v>115.23</v>
      </c>
      <c r="G11">
        <v>11.77</v>
      </c>
      <c r="H11">
        <v>17</v>
      </c>
      <c r="I11">
        <v>1.36</v>
      </c>
      <c r="J11">
        <v>0.61</v>
      </c>
      <c r="K11">
        <v>2.12</v>
      </c>
      <c r="L11">
        <f t="shared" si="0"/>
        <v>0.38520408163265313</v>
      </c>
      <c r="M11">
        <f>1-3/(4*(E11+H11-2)-1)</f>
        <v>0.97637795275590555</v>
      </c>
      <c r="N11">
        <f>I11*M11</f>
        <v>1.3278740157480315</v>
      </c>
      <c r="O11">
        <f>L11*M11</f>
        <v>0.37610477261770858</v>
      </c>
    </row>
    <row r="12" spans="1:15" x14ac:dyDescent="0.25">
      <c r="A12" t="s">
        <v>8</v>
      </c>
      <c r="B12">
        <v>2020</v>
      </c>
      <c r="C12">
        <v>70.38</v>
      </c>
      <c r="D12">
        <v>56.89</v>
      </c>
      <c r="E12">
        <v>8</v>
      </c>
      <c r="F12">
        <v>54.13</v>
      </c>
      <c r="G12">
        <v>20.23</v>
      </c>
      <c r="H12">
        <v>8</v>
      </c>
      <c r="I12">
        <v>0.36</v>
      </c>
      <c r="J12">
        <v>-0.63</v>
      </c>
      <c r="K12">
        <v>1.35</v>
      </c>
      <c r="L12">
        <f t="shared" si="0"/>
        <v>0.50510204081632648</v>
      </c>
      <c r="M12">
        <f>1-3/(4*(E12+H12-2)-1)</f>
        <v>0.94545454545454544</v>
      </c>
      <c r="N12">
        <f>I12*M12</f>
        <v>0.34036363636363637</v>
      </c>
      <c r="O12">
        <f>L12*M12</f>
        <v>0.47755102040816322</v>
      </c>
    </row>
    <row r="13" spans="1:15" x14ac:dyDescent="0.25">
      <c r="A13" t="s">
        <v>9</v>
      </c>
      <c r="B13">
        <v>2018</v>
      </c>
      <c r="C13">
        <v>130.69999999999999</v>
      </c>
      <c r="D13">
        <v>86.8</v>
      </c>
      <c r="E13">
        <v>10</v>
      </c>
      <c r="F13">
        <v>120.8</v>
      </c>
      <c r="G13">
        <v>80.599999999999994</v>
      </c>
      <c r="H13">
        <v>13</v>
      </c>
      <c r="I13">
        <v>0.11</v>
      </c>
      <c r="J13">
        <v>-0.71</v>
      </c>
      <c r="K13">
        <v>0.94</v>
      </c>
      <c r="L13">
        <f t="shared" si="0"/>
        <v>0.42091836734693877</v>
      </c>
      <c r="M13">
        <f>1-3/(4*(E13+H13-2)-1)</f>
        <v>0.96385542168674698</v>
      </c>
      <c r="N13">
        <f>I13*M13</f>
        <v>0.10602409638554217</v>
      </c>
      <c r="O13">
        <f>L13*M13</f>
        <v>0.40570445045488074</v>
      </c>
    </row>
    <row r="14" spans="1:15" x14ac:dyDescent="0.25">
      <c r="A14" t="s">
        <v>10</v>
      </c>
      <c r="B14">
        <v>2018</v>
      </c>
      <c r="C14">
        <v>120.5</v>
      </c>
      <c r="D14">
        <v>59.2</v>
      </c>
      <c r="E14">
        <v>52</v>
      </c>
      <c r="F14">
        <v>100.6</v>
      </c>
      <c r="G14">
        <v>47.5</v>
      </c>
      <c r="H14">
        <v>49</v>
      </c>
      <c r="I14">
        <v>0.37</v>
      </c>
      <c r="J14">
        <v>-0.03</v>
      </c>
      <c r="K14">
        <v>0.76</v>
      </c>
      <c r="L14">
        <f t="shared" si="0"/>
        <v>0.20153061224489796</v>
      </c>
      <c r="M14">
        <f>1-3/(4*(E14+H14-2)-1)</f>
        <v>0.9924050632911392</v>
      </c>
      <c r="N14">
        <f>I14*M14</f>
        <v>0.36718987341772152</v>
      </c>
      <c r="O14">
        <f>L14*M14</f>
        <v>0.19999999999999998</v>
      </c>
    </row>
    <row r="15" spans="1:15" x14ac:dyDescent="0.25">
      <c r="A15" t="s">
        <v>11</v>
      </c>
      <c r="B15">
        <v>2007</v>
      </c>
      <c r="C15">
        <v>102.2</v>
      </c>
      <c r="D15">
        <v>29.82</v>
      </c>
      <c r="E15">
        <v>15</v>
      </c>
      <c r="F15">
        <v>93.2</v>
      </c>
      <c r="G15">
        <v>29.82</v>
      </c>
      <c r="H15">
        <v>15</v>
      </c>
      <c r="I15">
        <v>0.28999999999999998</v>
      </c>
      <c r="J15">
        <v>-0.43</v>
      </c>
      <c r="K15">
        <v>1.01</v>
      </c>
      <c r="L15">
        <f t="shared" si="0"/>
        <v>0.36734693877551022</v>
      </c>
      <c r="M15">
        <f>1-3/(4*(E15+H15-2)-1)</f>
        <v>0.97297297297297303</v>
      </c>
      <c r="N15">
        <f>I15*M15</f>
        <v>0.28216216216216217</v>
      </c>
      <c r="O15">
        <f>L15*M15</f>
        <v>0.35741864313292887</v>
      </c>
    </row>
    <row r="16" spans="1:15" x14ac:dyDescent="0.25">
      <c r="A16" t="s">
        <v>12</v>
      </c>
      <c r="B16">
        <v>2013</v>
      </c>
      <c r="C16">
        <v>1.81</v>
      </c>
      <c r="E16">
        <v>28</v>
      </c>
      <c r="F16">
        <v>1.41</v>
      </c>
      <c r="G16">
        <v>0.4</v>
      </c>
      <c r="H16">
        <v>28</v>
      </c>
      <c r="I16">
        <v>0.52</v>
      </c>
      <c r="J16">
        <v>-0.02</v>
      </c>
      <c r="K16">
        <v>1.05</v>
      </c>
      <c r="L16">
        <f t="shared" si="0"/>
        <v>0.27295918367346939</v>
      </c>
      <c r="M16">
        <f>1-3/(4*(E16+H16-2)-1)</f>
        <v>0.98604651162790702</v>
      </c>
      <c r="N16">
        <f>I16*M16</f>
        <v>0.51274418604651162</v>
      </c>
      <c r="O16">
        <f>L16*M16</f>
        <v>0.26915045087802564</v>
      </c>
    </row>
    <row r="17" spans="1:15" x14ac:dyDescent="0.25">
      <c r="A17" t="s">
        <v>13</v>
      </c>
      <c r="B17">
        <v>2019</v>
      </c>
      <c r="C17">
        <v>75</v>
      </c>
      <c r="D17">
        <v>48.64</v>
      </c>
      <c r="E17">
        <v>14</v>
      </c>
      <c r="F17">
        <v>93</v>
      </c>
      <c r="G17">
        <v>43.27</v>
      </c>
      <c r="H17">
        <v>13</v>
      </c>
      <c r="I17">
        <v>-0.38</v>
      </c>
      <c r="J17">
        <v>-1.1399999999999999</v>
      </c>
      <c r="K17">
        <v>0.38</v>
      </c>
      <c r="L17">
        <f t="shared" si="0"/>
        <v>0.38775510204081631</v>
      </c>
      <c r="M17">
        <f>1-3/(4*(E17+H17-2)-1)</f>
        <v>0.96969696969696972</v>
      </c>
      <c r="N17">
        <f>I17*M17</f>
        <v>-0.36848484848484853</v>
      </c>
      <c r="O17">
        <f>L17*M17</f>
        <v>0.37600494743351887</v>
      </c>
    </row>
    <row r="18" spans="1:15" x14ac:dyDescent="0.25">
      <c r="A18" t="s">
        <v>14</v>
      </c>
      <c r="B18">
        <v>2012</v>
      </c>
      <c r="C18">
        <v>0.77</v>
      </c>
      <c r="D18">
        <v>0.11</v>
      </c>
      <c r="E18">
        <v>9</v>
      </c>
      <c r="F18">
        <v>0.77</v>
      </c>
      <c r="G18">
        <v>0.13</v>
      </c>
      <c r="H18">
        <v>10</v>
      </c>
      <c r="I18">
        <v>0</v>
      </c>
      <c r="J18">
        <v>-0.9</v>
      </c>
      <c r="K18">
        <v>0.9</v>
      </c>
      <c r="L18">
        <f t="shared" si="0"/>
        <v>0.45918367346938777</v>
      </c>
      <c r="M18">
        <f>1-3/(4*(E18+H18-2)-1)</f>
        <v>0.95522388059701491</v>
      </c>
      <c r="N18">
        <f>I18*M18</f>
        <v>0</v>
      </c>
      <c r="O18">
        <f>L18*M18</f>
        <v>0.43862321047822111</v>
      </c>
    </row>
    <row r="19" spans="1:15" x14ac:dyDescent="0.25">
      <c r="A19" t="s">
        <v>14</v>
      </c>
      <c r="B19">
        <v>2013</v>
      </c>
      <c r="C19">
        <v>0.75</v>
      </c>
      <c r="D19">
        <v>0.11</v>
      </c>
      <c r="E19">
        <v>8</v>
      </c>
      <c r="F19">
        <v>0.75</v>
      </c>
      <c r="G19">
        <v>0.15</v>
      </c>
      <c r="H19">
        <v>8</v>
      </c>
      <c r="I19">
        <v>0</v>
      </c>
      <c r="J19">
        <v>-0.98</v>
      </c>
      <c r="K19">
        <v>0.98</v>
      </c>
      <c r="L19">
        <f t="shared" si="0"/>
        <v>0.5</v>
      </c>
      <c r="M19">
        <f>1-3/(4*(E19+H19-2)-1)</f>
        <v>0.94545454545454544</v>
      </c>
      <c r="N19">
        <f>I19*M19</f>
        <v>0</v>
      </c>
      <c r="O19">
        <f>L19*M19</f>
        <v>0.47272727272727272</v>
      </c>
    </row>
    <row r="20" spans="1:15" x14ac:dyDescent="0.25">
      <c r="A20" t="s">
        <v>15</v>
      </c>
      <c r="B20">
        <v>2013</v>
      </c>
      <c r="C20">
        <v>118</v>
      </c>
      <c r="D20">
        <v>73.59</v>
      </c>
      <c r="E20">
        <v>15</v>
      </c>
      <c r="F20">
        <v>87</v>
      </c>
      <c r="G20">
        <v>34.86</v>
      </c>
      <c r="H20">
        <v>15</v>
      </c>
      <c r="I20">
        <v>0.52</v>
      </c>
      <c r="J20">
        <v>-0.21</v>
      </c>
      <c r="K20">
        <v>1.25</v>
      </c>
      <c r="L20">
        <f t="shared" si="0"/>
        <v>0.37244897959183676</v>
      </c>
      <c r="M20">
        <f>1-3/(4*(E20+H20-2)-1)</f>
        <v>0.97297297297297303</v>
      </c>
      <c r="N20">
        <f>I20*M20</f>
        <v>0.505945945945946</v>
      </c>
      <c r="O20">
        <f>L20*M20</f>
        <v>0.36238279095421955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2026-04-04T20:38:00Z</dcterms:modified>
</cp:coreProperties>
</file>