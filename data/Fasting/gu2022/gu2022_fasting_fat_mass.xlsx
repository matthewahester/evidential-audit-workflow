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gu2022\"/>
    </mc:Choice>
  </mc:AlternateContent>
  <xr:revisionPtr revIDLastSave="0" documentId="13_ncr:1_{501E51AD-3AF2-4B21-96BD-85DB7008DE91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N3" i="1" s="1"/>
  <c r="Q3" i="1" s="1"/>
  <c r="P3" i="1"/>
  <c r="L4" i="1"/>
  <c r="M4" i="1"/>
  <c r="N4" i="1" s="1"/>
  <c r="Q4" i="1" s="1"/>
  <c r="O4" i="1"/>
  <c r="R4" i="1" s="1"/>
  <c r="P4" i="1"/>
  <c r="L5" i="1"/>
  <c r="M5" i="1" s="1"/>
  <c r="N5" i="1" s="1"/>
  <c r="Q5" i="1" s="1"/>
  <c r="P5" i="1"/>
  <c r="L6" i="1"/>
  <c r="O6" i="1" s="1"/>
  <c r="R6" i="1" s="1"/>
  <c r="M6" i="1"/>
  <c r="N6" i="1"/>
  <c r="Q6" i="1" s="1"/>
  <c r="P6" i="1"/>
  <c r="L7" i="1"/>
  <c r="M7" i="1" s="1"/>
  <c r="P7" i="1"/>
  <c r="L8" i="1"/>
  <c r="M8" i="1" s="1"/>
  <c r="N8" i="1" s="1"/>
  <c r="Q8" i="1" s="1"/>
  <c r="P8" i="1"/>
  <c r="L9" i="1"/>
  <c r="M9" i="1" s="1"/>
  <c r="P9" i="1"/>
  <c r="L10" i="1"/>
  <c r="M10" i="1"/>
  <c r="O10" i="1" s="1"/>
  <c r="R10" i="1" s="1"/>
  <c r="N10" i="1"/>
  <c r="Q10" i="1" s="1"/>
  <c r="P10" i="1"/>
  <c r="L11" i="1"/>
  <c r="M11" i="1" s="1"/>
  <c r="P11" i="1"/>
  <c r="L12" i="1"/>
  <c r="M12" i="1" s="1"/>
  <c r="N12" i="1" s="1"/>
  <c r="Q12" i="1" s="1"/>
  <c r="P12" i="1"/>
  <c r="L13" i="1"/>
  <c r="O13" i="1" s="1"/>
  <c r="R13" i="1" s="1"/>
  <c r="M13" i="1"/>
  <c r="N13" i="1" s="1"/>
  <c r="Q13" i="1" s="1"/>
  <c r="P13" i="1"/>
  <c r="L14" i="1"/>
  <c r="M14" i="1"/>
  <c r="N14" i="1" s="1"/>
  <c r="Q14" i="1" s="1"/>
  <c r="O14" i="1"/>
  <c r="P14" i="1"/>
  <c r="R14" i="1"/>
  <c r="L15" i="1"/>
  <c r="M15" i="1" s="1"/>
  <c r="P15" i="1"/>
  <c r="L16" i="1"/>
  <c r="M16" i="1"/>
  <c r="N16" i="1" s="1"/>
  <c r="Q16" i="1" s="1"/>
  <c r="O16" i="1"/>
  <c r="R16" i="1" s="1"/>
  <c r="P16" i="1"/>
  <c r="L17" i="1"/>
  <c r="O17" i="1" s="1"/>
  <c r="R17" i="1" s="1"/>
  <c r="M17" i="1"/>
  <c r="N17" i="1" s="1"/>
  <c r="Q17" i="1" s="1"/>
  <c r="P17" i="1"/>
  <c r="L18" i="1"/>
  <c r="O18" i="1" s="1"/>
  <c r="R18" i="1" s="1"/>
  <c r="M18" i="1"/>
  <c r="N18" i="1"/>
  <c r="Q18" i="1" s="1"/>
  <c r="P18" i="1"/>
  <c r="P2" i="1"/>
  <c r="L2" i="1"/>
  <c r="N11" i="1" l="1"/>
  <c r="Q11" i="1" s="1"/>
  <c r="O11" i="1"/>
  <c r="R11" i="1" s="1"/>
  <c r="N15" i="1"/>
  <c r="Q15" i="1" s="1"/>
  <c r="O15" i="1"/>
  <c r="R15" i="1" s="1"/>
  <c r="N9" i="1"/>
  <c r="Q9" i="1" s="1"/>
  <c r="O9" i="1"/>
  <c r="R9" i="1" s="1"/>
  <c r="N7" i="1"/>
  <c r="Q7" i="1" s="1"/>
  <c r="O7" i="1"/>
  <c r="R7" i="1" s="1"/>
  <c r="O12" i="1"/>
  <c r="R12" i="1" s="1"/>
  <c r="O5" i="1"/>
  <c r="R5" i="1" s="1"/>
  <c r="O3" i="1"/>
  <c r="R3" i="1" s="1"/>
  <c r="O8" i="1"/>
  <c r="R8" i="1" s="1"/>
  <c r="M2" i="1"/>
  <c r="N2" i="1" s="1"/>
  <c r="Q2" i="1" s="1"/>
  <c r="O2" i="1" l="1"/>
  <c r="R2" i="1" s="1"/>
</calcChain>
</file>

<file path=xl/sharedStrings.xml><?xml version="1.0" encoding="utf-8"?>
<sst xmlns="http://schemas.openxmlformats.org/spreadsheetml/2006/main" count="35" uniqueCount="32">
  <si>
    <t>Bhutani</t>
  </si>
  <si>
    <t>Cai</t>
  </si>
  <si>
    <t>Chow</t>
  </si>
  <si>
    <t>Cienfuegos</t>
  </si>
  <si>
    <t>Correia</t>
  </si>
  <si>
    <t>Gabel</t>
  </si>
  <si>
    <t>Guo</t>
  </si>
  <si>
    <t>Kotarsky</t>
  </si>
  <si>
    <t>Lowe</t>
  </si>
  <si>
    <t>Moro</t>
  </si>
  <si>
    <t>Oh</t>
  </si>
  <si>
    <t>Stole</t>
  </si>
  <si>
    <t>Teng</t>
  </si>
  <si>
    <t>Tinsley</t>
  </si>
  <si>
    <t>Author</t>
  </si>
  <si>
    <t>Year</t>
  </si>
  <si>
    <t>mean_control</t>
  </si>
  <si>
    <t>sd_control</t>
  </si>
  <si>
    <t>n_control</t>
  </si>
  <si>
    <t>mean_treat</t>
  </si>
  <si>
    <t>sd_treat</t>
  </si>
  <si>
    <t>n_treat</t>
  </si>
  <si>
    <t>md</t>
  </si>
  <si>
    <t>lCI_md</t>
  </si>
  <si>
    <t>uCI_md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</si>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</sst>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P4" sqref="P4"/>
    </sheetView>
  </sheetViews>
  <sheetFormatPr defaultRowHeight="15" x14ac:dyDescent="0.25"/>
  <cols>
    <col min="1" max="1" width="11" bestFit="1" customWidth="1"/>
    <col min="2" max="2" width="5" bestFit="1" customWidth="1"/>
    <col min="3" max="4" width="6" bestFit="1" customWidth="1"/>
    <col min="5" max="5" width="3" bestFit="1" customWidth="1"/>
    <col min="6" max="7" width="6" bestFit="1" customWidth="1"/>
    <col min="8" max="8" width="3" bestFit="1" customWidth="1"/>
    <col min="9" max="9" width="5" bestFit="1" customWidth="1"/>
    <col min="10" max="10" width="6.7109375" bestFit="1" customWidth="1"/>
    <col min="11" max="11" width="6" bestFit="1" customWidth="1"/>
  </cols>
  <sheetData>
    <row r="1" spans="1:1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25">
      <c r="A2" t="s">
        <v>0</v>
      </c>
      <c r="B2">
        <v>2013</v>
      </c>
      <c r="C2">
        <v>43</v>
      </c>
      <c r="D2">
        <v>16</v>
      </c>
      <c r="E2">
        <v>16</v>
      </c>
      <c r="F2">
        <v>41</v>
      </c>
      <c r="G2">
        <v>8</v>
      </c>
      <c r="H2">
        <v>16</v>
      </c>
      <c r="I2">
        <v>2</v>
      </c>
      <c r="J2">
        <v>-6.77</v>
      </c>
      <c r="K2">
        <v>10.77</v>
      </c>
      <c r="L2">
        <f>(K2-J2)/2/1.96</f>
        <v>4.4744897959183669</v>
      </c>
      <c r="M2">
        <f>L2/SQRT(1/E2+1/H2)</f>
        <v>12.655768308175553</v>
      </c>
      <c r="N2">
        <f>I2/M2</f>
        <v>0.15803070594362981</v>
      </c>
      <c r="O2">
        <f>L2/M2</f>
        <v>0.35355339059327379</v>
      </c>
      <c r="P2">
        <f>1-3/(4*(E2+H2-2)-1)</f>
        <v>0.97478991596638653</v>
      </c>
      <c r="Q2">
        <f>N2*P2</f>
        <v>0.15404673856689963</v>
      </c>
      <c r="R2">
        <f>O2*P2</f>
        <v>0.3446402799060484</v>
      </c>
    </row>
    <row r="3" spans="1:18" x14ac:dyDescent="0.25">
      <c r="A3" t="s">
        <v>1</v>
      </c>
      <c r="B3">
        <v>2019</v>
      </c>
      <c r="C3">
        <v>28.01</v>
      </c>
      <c r="D3">
        <v>3.49</v>
      </c>
      <c r="E3">
        <v>79</v>
      </c>
      <c r="F3">
        <v>27.1</v>
      </c>
      <c r="G3">
        <v>2.52</v>
      </c>
      <c r="H3">
        <v>90</v>
      </c>
      <c r="I3">
        <v>0.91</v>
      </c>
      <c r="J3">
        <v>-0.02</v>
      </c>
      <c r="K3">
        <v>1.84</v>
      </c>
      <c r="L3">
        <f t="shared" ref="L3:L18" si="0">(K3-J3)/2/1.96</f>
        <v>0.47448979591836737</v>
      </c>
      <c r="M3">
        <f t="shared" ref="M3:M18" si="1">L3/SQRT(1/E3+1/H3)</f>
        <v>3.0776435957558084</v>
      </c>
      <c r="N3">
        <f t="shared" ref="N3:N18" si="2">I3/M3</f>
        <v>0.29568076084408401</v>
      </c>
      <c r="O3">
        <f t="shared" ref="O3:O18" si="3">L3/M3</f>
        <v>0.15417308117571102</v>
      </c>
      <c r="P3">
        <f t="shared" ref="P3:P18" si="4">1-3/(4*(E3+H3-2)-1)</f>
        <v>0.99550224887556227</v>
      </c>
      <c r="Q3">
        <f t="shared" ref="Q3:Q18" si="5">N3*P3</f>
        <v>0.2943508623695229</v>
      </c>
      <c r="R3">
        <f t="shared" ref="R3:R18" si="6">O3*P3</f>
        <v>0.15347964902649494</v>
      </c>
    </row>
    <row r="4" spans="1:18" x14ac:dyDescent="0.25">
      <c r="A4" t="s">
        <v>1</v>
      </c>
      <c r="B4">
        <v>2019</v>
      </c>
      <c r="C4">
        <v>28.01</v>
      </c>
      <c r="D4">
        <v>3.49</v>
      </c>
      <c r="E4">
        <v>79</v>
      </c>
      <c r="F4">
        <v>27.65</v>
      </c>
      <c r="G4">
        <v>3.34</v>
      </c>
      <c r="H4">
        <v>95</v>
      </c>
      <c r="I4">
        <v>0.36</v>
      </c>
      <c r="J4">
        <v>-0.66</v>
      </c>
      <c r="K4">
        <v>1.38</v>
      </c>
      <c r="L4">
        <f t="shared" si="0"/>
        <v>0.52040816326530615</v>
      </c>
      <c r="M4">
        <f t="shared" si="1"/>
        <v>3.4177856700477207</v>
      </c>
      <c r="N4">
        <f t="shared" si="2"/>
        <v>0.1053313562506023</v>
      </c>
      <c r="O4">
        <f t="shared" si="3"/>
        <v>0.1522647156683877</v>
      </c>
      <c r="P4">
        <f t="shared" si="4"/>
        <v>0.99563318777292575</v>
      </c>
      <c r="Q4">
        <f t="shared" si="5"/>
        <v>0.10487139399623285</v>
      </c>
      <c r="R4">
        <f t="shared" si="6"/>
        <v>0.15159980424625499</v>
      </c>
    </row>
    <row r="5" spans="1:18" x14ac:dyDescent="0.25">
      <c r="A5" t="s">
        <v>2</v>
      </c>
      <c r="B5">
        <v>2020</v>
      </c>
      <c r="C5">
        <v>44.7</v>
      </c>
      <c r="D5">
        <v>20.8</v>
      </c>
      <c r="E5">
        <v>9</v>
      </c>
      <c r="F5">
        <v>39.4</v>
      </c>
      <c r="G5">
        <v>16.399999999999999</v>
      </c>
      <c r="H5">
        <v>11</v>
      </c>
      <c r="I5">
        <v>5.3</v>
      </c>
      <c r="J5">
        <v>-11.39</v>
      </c>
      <c r="K5">
        <v>21.99</v>
      </c>
      <c r="L5">
        <f t="shared" si="0"/>
        <v>8.5153061224489779</v>
      </c>
      <c r="M5">
        <f t="shared" si="1"/>
        <v>18.945360114738765</v>
      </c>
      <c r="N5">
        <f t="shared" si="2"/>
        <v>0.27975187422680886</v>
      </c>
      <c r="O5">
        <f t="shared" si="3"/>
        <v>0.44946657497549469</v>
      </c>
      <c r="P5">
        <f t="shared" si="4"/>
        <v>0.95774647887323949</v>
      </c>
      <c r="Q5">
        <f t="shared" si="5"/>
        <v>0.26793137249891552</v>
      </c>
      <c r="R5">
        <f t="shared" si="6"/>
        <v>0.43047502955399491</v>
      </c>
    </row>
    <row r="6" spans="1:18" x14ac:dyDescent="0.25">
      <c r="A6" t="s">
        <v>3</v>
      </c>
      <c r="B6">
        <v>2021</v>
      </c>
      <c r="C6">
        <v>41.9</v>
      </c>
      <c r="D6">
        <v>25.04</v>
      </c>
      <c r="E6">
        <v>14</v>
      </c>
      <c r="F6">
        <v>45.6</v>
      </c>
      <c r="G6">
        <v>29.5</v>
      </c>
      <c r="H6">
        <v>16</v>
      </c>
      <c r="I6">
        <v>-3.7</v>
      </c>
      <c r="J6">
        <v>-23.22</v>
      </c>
      <c r="K6">
        <v>15.82</v>
      </c>
      <c r="L6">
        <f t="shared" si="0"/>
        <v>9.9591836734693882</v>
      </c>
      <c r="M6">
        <f t="shared" si="1"/>
        <v>27.213670605650524</v>
      </c>
      <c r="N6">
        <f t="shared" si="2"/>
        <v>-0.1359610782983369</v>
      </c>
      <c r="O6">
        <f t="shared" si="3"/>
        <v>0.36596252735569995</v>
      </c>
      <c r="P6">
        <f t="shared" si="4"/>
        <v>0.97297297297297303</v>
      </c>
      <c r="Q6">
        <f t="shared" si="5"/>
        <v>-0.13228645456054403</v>
      </c>
      <c r="R6">
        <f t="shared" si="6"/>
        <v>0.35607164823797838</v>
      </c>
    </row>
    <row r="7" spans="1:18" x14ac:dyDescent="0.25">
      <c r="A7" t="s">
        <v>3</v>
      </c>
      <c r="B7">
        <v>2021</v>
      </c>
      <c r="C7">
        <v>41.9</v>
      </c>
      <c r="D7">
        <v>25.04</v>
      </c>
      <c r="E7">
        <v>14</v>
      </c>
      <c r="F7">
        <v>46.1</v>
      </c>
      <c r="G7">
        <v>35.03</v>
      </c>
      <c r="H7">
        <v>19</v>
      </c>
      <c r="I7">
        <v>-4.2</v>
      </c>
      <c r="J7">
        <v>-24.7</v>
      </c>
      <c r="K7">
        <v>16.3</v>
      </c>
      <c r="L7">
        <f t="shared" si="0"/>
        <v>10.459183673469388</v>
      </c>
      <c r="M7">
        <f t="shared" si="1"/>
        <v>29.694884340923942</v>
      </c>
      <c r="N7">
        <f t="shared" si="2"/>
        <v>-0.14143850340618364</v>
      </c>
      <c r="O7">
        <f t="shared" si="3"/>
        <v>0.35222173467283341</v>
      </c>
      <c r="P7">
        <f t="shared" si="4"/>
        <v>0.97560975609756095</v>
      </c>
      <c r="Q7">
        <f t="shared" si="5"/>
        <v>-0.13798878381091087</v>
      </c>
      <c r="R7">
        <f t="shared" si="6"/>
        <v>0.34363096065642285</v>
      </c>
    </row>
    <row r="8" spans="1:18" x14ac:dyDescent="0.25">
      <c r="A8" t="s">
        <v>4</v>
      </c>
      <c r="B8">
        <v>2021</v>
      </c>
      <c r="C8">
        <v>11.1</v>
      </c>
      <c r="D8">
        <v>3.9</v>
      </c>
      <c r="E8">
        <v>12</v>
      </c>
      <c r="F8">
        <v>10.9</v>
      </c>
      <c r="G8">
        <v>3.9</v>
      </c>
      <c r="H8">
        <v>12</v>
      </c>
      <c r="I8">
        <v>0.2</v>
      </c>
      <c r="J8">
        <v>-2.92</v>
      </c>
      <c r="K8">
        <v>3.32</v>
      </c>
      <c r="L8">
        <f t="shared" si="0"/>
        <v>1.5918367346938775</v>
      </c>
      <c r="M8">
        <f t="shared" si="1"/>
        <v>3.8991877538181203</v>
      </c>
      <c r="N8">
        <f t="shared" si="2"/>
        <v>5.12927339300751E-2</v>
      </c>
      <c r="O8">
        <f t="shared" si="3"/>
        <v>0.40824829046386302</v>
      </c>
      <c r="P8">
        <f t="shared" si="4"/>
        <v>0.96551724137931039</v>
      </c>
      <c r="Q8">
        <f t="shared" si="5"/>
        <v>4.9524018966969063E-2</v>
      </c>
      <c r="R8">
        <f t="shared" si="6"/>
        <v>0.39417076320648847</v>
      </c>
    </row>
    <row r="9" spans="1:18" x14ac:dyDescent="0.25">
      <c r="A9" t="s">
        <v>5</v>
      </c>
      <c r="B9">
        <v>2019</v>
      </c>
      <c r="C9">
        <v>35</v>
      </c>
      <c r="D9">
        <v>11.62</v>
      </c>
      <c r="E9">
        <v>15</v>
      </c>
      <c r="F9">
        <v>31</v>
      </c>
      <c r="G9">
        <v>6.63</v>
      </c>
      <c r="H9">
        <v>11</v>
      </c>
      <c r="I9">
        <v>4</v>
      </c>
      <c r="J9">
        <v>-3.07</v>
      </c>
      <c r="K9">
        <v>11.07</v>
      </c>
      <c r="L9">
        <f t="shared" si="0"/>
        <v>3.6071428571428572</v>
      </c>
      <c r="M9">
        <f t="shared" si="1"/>
        <v>9.0869605070060118</v>
      </c>
      <c r="N9">
        <f t="shared" si="2"/>
        <v>0.44019119450513899</v>
      </c>
      <c r="O9">
        <f t="shared" si="3"/>
        <v>0.39695813075909858</v>
      </c>
      <c r="P9">
        <f t="shared" si="4"/>
        <v>0.96842105263157896</v>
      </c>
      <c r="Q9">
        <f t="shared" si="5"/>
        <v>0.42629041994181882</v>
      </c>
      <c r="R9">
        <f t="shared" si="6"/>
        <v>0.3844226108403902</v>
      </c>
    </row>
    <row r="10" spans="1:18" x14ac:dyDescent="0.25">
      <c r="A10" t="s">
        <v>6</v>
      </c>
      <c r="B10">
        <v>2021</v>
      </c>
      <c r="C10">
        <v>21.6</v>
      </c>
      <c r="D10">
        <v>5.2</v>
      </c>
      <c r="E10">
        <v>18</v>
      </c>
      <c r="F10">
        <v>24.9</v>
      </c>
      <c r="G10">
        <v>8.6</v>
      </c>
      <c r="H10">
        <v>21</v>
      </c>
      <c r="I10">
        <v>-3.3</v>
      </c>
      <c r="J10">
        <v>-7.69</v>
      </c>
      <c r="K10">
        <v>1.0900000000000001</v>
      </c>
      <c r="L10">
        <f t="shared" si="0"/>
        <v>2.2397959183673475</v>
      </c>
      <c r="M10">
        <f t="shared" si="1"/>
        <v>6.9730382145905034</v>
      </c>
      <c r="N10">
        <f t="shared" si="2"/>
        <v>-0.47325138604504186</v>
      </c>
      <c r="O10">
        <f t="shared" si="3"/>
        <v>0.3212080372198105</v>
      </c>
      <c r="P10">
        <f t="shared" si="4"/>
        <v>0.97959183673469385</v>
      </c>
      <c r="Q10">
        <f t="shared" si="5"/>
        <v>-0.46359319449310221</v>
      </c>
      <c r="R10">
        <f t="shared" si="6"/>
        <v>0.31465277115410006</v>
      </c>
    </row>
    <row r="11" spans="1:18" x14ac:dyDescent="0.25">
      <c r="A11" t="s">
        <v>7</v>
      </c>
      <c r="B11">
        <v>2021</v>
      </c>
      <c r="C11">
        <v>32</v>
      </c>
      <c r="D11">
        <v>6.32</v>
      </c>
      <c r="E11">
        <v>10</v>
      </c>
      <c r="F11">
        <v>30</v>
      </c>
      <c r="G11">
        <v>6.63</v>
      </c>
      <c r="H11">
        <v>11</v>
      </c>
      <c r="I11">
        <v>2</v>
      </c>
      <c r="J11">
        <v>-3.54</v>
      </c>
      <c r="K11">
        <v>7.54</v>
      </c>
      <c r="L11">
        <f t="shared" si="0"/>
        <v>2.8265306122448979</v>
      </c>
      <c r="M11">
        <f t="shared" si="1"/>
        <v>6.4690482232717637</v>
      </c>
      <c r="N11">
        <f t="shared" si="2"/>
        <v>0.30916449081415054</v>
      </c>
      <c r="O11">
        <f t="shared" si="3"/>
        <v>0.4369314487526515</v>
      </c>
      <c r="P11">
        <f t="shared" si="4"/>
        <v>0.96</v>
      </c>
      <c r="Q11">
        <f t="shared" si="5"/>
        <v>0.2967979111815845</v>
      </c>
      <c r="R11">
        <f t="shared" si="6"/>
        <v>0.41945419080254542</v>
      </c>
    </row>
    <row r="12" spans="1:18" x14ac:dyDescent="0.25">
      <c r="A12" t="s">
        <v>8</v>
      </c>
      <c r="B12">
        <v>2020</v>
      </c>
      <c r="C12">
        <v>30.6</v>
      </c>
      <c r="D12">
        <v>7.1</v>
      </c>
      <c r="E12">
        <v>24</v>
      </c>
      <c r="F12">
        <v>29.8</v>
      </c>
      <c r="G12">
        <v>6.77</v>
      </c>
      <c r="H12">
        <v>22</v>
      </c>
      <c r="I12">
        <v>0.8</v>
      </c>
      <c r="J12">
        <v>-3.21</v>
      </c>
      <c r="K12">
        <v>4.8099999999999996</v>
      </c>
      <c r="L12">
        <f t="shared" si="0"/>
        <v>2.0459183673469385</v>
      </c>
      <c r="M12">
        <f t="shared" si="1"/>
        <v>6.9314859407719966</v>
      </c>
      <c r="N12">
        <f t="shared" si="2"/>
        <v>0.11541536790751966</v>
      </c>
      <c r="O12">
        <f t="shared" si="3"/>
        <v>0.29516302634512359</v>
      </c>
      <c r="P12">
        <f t="shared" si="4"/>
        <v>0.98285714285714287</v>
      </c>
      <c r="Q12">
        <f t="shared" si="5"/>
        <v>0.11343681874339076</v>
      </c>
      <c r="R12">
        <f t="shared" si="6"/>
        <v>0.29010308875063578</v>
      </c>
    </row>
    <row r="13" spans="1:18" x14ac:dyDescent="0.25">
      <c r="A13" t="s">
        <v>9</v>
      </c>
      <c r="B13">
        <v>2016</v>
      </c>
      <c r="C13">
        <v>11.05</v>
      </c>
      <c r="D13">
        <v>4.274</v>
      </c>
      <c r="E13">
        <v>17</v>
      </c>
      <c r="F13">
        <v>9.2799999999999994</v>
      </c>
      <c r="G13">
        <v>2.4700000000000002</v>
      </c>
      <c r="H13">
        <v>17</v>
      </c>
      <c r="I13">
        <v>1.77</v>
      </c>
      <c r="J13">
        <v>-0.57999999999999996</v>
      </c>
      <c r="K13">
        <v>4.12</v>
      </c>
      <c r="L13">
        <f t="shared" si="0"/>
        <v>1.1989795918367347</v>
      </c>
      <c r="M13">
        <f t="shared" si="1"/>
        <v>3.4955961614506266</v>
      </c>
      <c r="N13">
        <f t="shared" si="2"/>
        <v>0.50635139708629073</v>
      </c>
      <c r="O13">
        <f t="shared" si="3"/>
        <v>0.34299717028501769</v>
      </c>
      <c r="P13">
        <f t="shared" si="4"/>
        <v>0.97637795275590555</v>
      </c>
      <c r="Q13">
        <f t="shared" si="5"/>
        <v>0.49439034046220515</v>
      </c>
      <c r="R13">
        <f t="shared" si="6"/>
        <v>0.33489487492395431</v>
      </c>
    </row>
    <row r="14" spans="1:18" x14ac:dyDescent="0.25">
      <c r="A14" t="s">
        <v>10</v>
      </c>
      <c r="B14">
        <v>2018</v>
      </c>
      <c r="C14">
        <v>22.6</v>
      </c>
      <c r="D14">
        <v>5.7</v>
      </c>
      <c r="E14">
        <v>10</v>
      </c>
      <c r="F14">
        <v>24.3</v>
      </c>
      <c r="G14">
        <v>6.4</v>
      </c>
      <c r="H14">
        <v>13</v>
      </c>
      <c r="I14">
        <v>-1.7</v>
      </c>
      <c r="J14">
        <v>-6.66</v>
      </c>
      <c r="K14">
        <v>3.26</v>
      </c>
      <c r="L14">
        <f t="shared" si="0"/>
        <v>2.5306122448979593</v>
      </c>
      <c r="M14">
        <f t="shared" si="1"/>
        <v>6.0163537398298041</v>
      </c>
      <c r="N14">
        <f t="shared" si="2"/>
        <v>-0.28256317256506447</v>
      </c>
      <c r="O14">
        <f t="shared" si="3"/>
        <v>0.42062224967668665</v>
      </c>
      <c r="P14">
        <f t="shared" si="4"/>
        <v>0.96385542168674698</v>
      </c>
      <c r="Q14">
        <f t="shared" si="5"/>
        <v>-0.27235004584584527</v>
      </c>
      <c r="R14">
        <f t="shared" si="6"/>
        <v>0.40541903583295097</v>
      </c>
    </row>
    <row r="15" spans="1:18" x14ac:dyDescent="0.25">
      <c r="A15" t="s">
        <v>11</v>
      </c>
      <c r="B15">
        <v>2007</v>
      </c>
      <c r="C15">
        <v>16.3</v>
      </c>
      <c r="D15">
        <v>3.87</v>
      </c>
      <c r="E15">
        <v>15</v>
      </c>
      <c r="F15">
        <v>14.2</v>
      </c>
      <c r="G15">
        <v>3.87</v>
      </c>
      <c r="H15">
        <v>15</v>
      </c>
      <c r="I15">
        <v>2.1</v>
      </c>
      <c r="J15">
        <v>-0.67</v>
      </c>
      <c r="K15">
        <v>4.87</v>
      </c>
      <c r="L15">
        <f t="shared" si="0"/>
        <v>1.4132653061224489</v>
      </c>
      <c r="M15">
        <f t="shared" si="1"/>
        <v>3.8703864395135463</v>
      </c>
      <c r="N15">
        <f t="shared" si="2"/>
        <v>0.54258147934807788</v>
      </c>
      <c r="O15">
        <f t="shared" si="3"/>
        <v>0.36514837167011072</v>
      </c>
      <c r="P15">
        <f t="shared" si="4"/>
        <v>0.97297297297297303</v>
      </c>
      <c r="Q15">
        <f t="shared" si="5"/>
        <v>0.52791711504137306</v>
      </c>
      <c r="R15">
        <f t="shared" si="6"/>
        <v>0.35527949676010773</v>
      </c>
    </row>
    <row r="16" spans="1:18" x14ac:dyDescent="0.25">
      <c r="A16" t="s">
        <v>12</v>
      </c>
      <c r="B16">
        <v>2013</v>
      </c>
      <c r="C16">
        <v>19.100000000000001</v>
      </c>
      <c r="D16">
        <v>4.7</v>
      </c>
      <c r="E16">
        <v>28</v>
      </c>
      <c r="F16">
        <v>17.899999999999999</v>
      </c>
      <c r="G16">
        <v>3.3</v>
      </c>
      <c r="H16">
        <v>28</v>
      </c>
      <c r="I16">
        <v>1.2</v>
      </c>
      <c r="J16">
        <v>-0.93</v>
      </c>
      <c r="K16">
        <v>3.33</v>
      </c>
      <c r="L16">
        <f t="shared" si="0"/>
        <v>1.0867346938775511</v>
      </c>
      <c r="M16">
        <f t="shared" si="1"/>
        <v>4.0661888948104563</v>
      </c>
      <c r="N16">
        <f t="shared" si="2"/>
        <v>0.29511663895681794</v>
      </c>
      <c r="O16">
        <f t="shared" si="3"/>
        <v>0.2672612419124244</v>
      </c>
      <c r="P16">
        <f t="shared" si="4"/>
        <v>0.98604651162790702</v>
      </c>
      <c r="Q16">
        <f t="shared" si="5"/>
        <v>0.2909987323667228</v>
      </c>
      <c r="R16">
        <f t="shared" si="6"/>
        <v>0.26353201528108827</v>
      </c>
    </row>
    <row r="17" spans="1:18" x14ac:dyDescent="0.25">
      <c r="A17" t="s">
        <v>13</v>
      </c>
      <c r="B17">
        <v>2017</v>
      </c>
      <c r="C17">
        <v>14.5</v>
      </c>
      <c r="D17">
        <v>3.8</v>
      </c>
      <c r="E17">
        <v>8</v>
      </c>
      <c r="F17">
        <v>17.2</v>
      </c>
      <c r="G17">
        <v>8.3000000000000007</v>
      </c>
      <c r="H17">
        <v>10</v>
      </c>
      <c r="I17">
        <v>-2.7</v>
      </c>
      <c r="J17">
        <v>-8.48</v>
      </c>
      <c r="K17">
        <v>3.08</v>
      </c>
      <c r="L17">
        <f t="shared" si="0"/>
        <v>2.9489795918367347</v>
      </c>
      <c r="M17">
        <f t="shared" si="1"/>
        <v>6.2169948557051811</v>
      </c>
      <c r="N17">
        <f t="shared" si="2"/>
        <v>-0.43429342675461241</v>
      </c>
      <c r="O17">
        <f t="shared" si="3"/>
        <v>0.47434164902525694</v>
      </c>
      <c r="P17">
        <f t="shared" si="4"/>
        <v>0.95238095238095233</v>
      </c>
      <c r="Q17">
        <f t="shared" si="5"/>
        <v>-0.41361278738534513</v>
      </c>
      <c r="R17">
        <f t="shared" si="6"/>
        <v>0.45175395145262565</v>
      </c>
    </row>
    <row r="18" spans="1:18" x14ac:dyDescent="0.25">
      <c r="A18" t="s">
        <v>13</v>
      </c>
      <c r="B18">
        <v>2019</v>
      </c>
      <c r="C18">
        <v>19.600000000000001</v>
      </c>
      <c r="D18">
        <v>5.24</v>
      </c>
      <c r="E18">
        <v>14</v>
      </c>
      <c r="F18">
        <v>18</v>
      </c>
      <c r="G18">
        <v>5.05</v>
      </c>
      <c r="H18">
        <v>13</v>
      </c>
      <c r="I18">
        <v>1.6</v>
      </c>
      <c r="J18">
        <v>-2.2799999999999998</v>
      </c>
      <c r="K18">
        <v>5.48</v>
      </c>
      <c r="L18">
        <f t="shared" si="0"/>
        <v>1.9795918367346939</v>
      </c>
      <c r="M18">
        <f t="shared" si="1"/>
        <v>5.1396017243453445</v>
      </c>
      <c r="N18">
        <f t="shared" si="2"/>
        <v>0.31130816857288679</v>
      </c>
      <c r="O18">
        <f t="shared" si="3"/>
        <v>0.38516444325982163</v>
      </c>
      <c r="P18">
        <f t="shared" si="4"/>
        <v>0.96969696969696972</v>
      </c>
      <c r="Q18">
        <f t="shared" si="5"/>
        <v>0.30187458770704173</v>
      </c>
      <c r="R18">
        <f t="shared" si="6"/>
        <v>0.37349279346406949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2026-03-20T11:50:40Z</dcterms:modified>
</cp:coreProperties>
</file>