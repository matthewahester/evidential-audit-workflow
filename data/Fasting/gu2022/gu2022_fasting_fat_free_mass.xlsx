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gu2022\"/>
    </mc:Choice>
  </mc:AlternateContent>
  <xr:revisionPtr revIDLastSave="0" documentId="13_ncr:1_{734455E2-14FF-417B-859C-4A8E6DE76E1C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" i="1"/>
  <c r="L3" i="1"/>
  <c r="M3" i="1" s="1"/>
  <c r="P3" i="1"/>
  <c r="L4" i="1"/>
  <c r="M4" i="1" s="1"/>
  <c r="P4" i="1"/>
  <c r="L5" i="1"/>
  <c r="M5" i="1" s="1"/>
  <c r="P5" i="1"/>
  <c r="L6" i="1"/>
  <c r="O6" i="1" s="1"/>
  <c r="R6" i="1" s="1"/>
  <c r="M6" i="1"/>
  <c r="N6" i="1"/>
  <c r="P6" i="1"/>
  <c r="L7" i="1"/>
  <c r="M7" i="1"/>
  <c r="N7" i="1" s="1"/>
  <c r="O7" i="1"/>
  <c r="P7" i="1"/>
  <c r="R7" i="1"/>
  <c r="L8" i="1"/>
  <c r="M8" i="1" s="1"/>
  <c r="N8" i="1" s="1"/>
  <c r="P8" i="1"/>
  <c r="L9" i="1"/>
  <c r="M9" i="1"/>
  <c r="N9" i="1"/>
  <c r="O9" i="1"/>
  <c r="R9" i="1" s="1"/>
  <c r="P9" i="1"/>
  <c r="L10" i="1"/>
  <c r="M10" i="1"/>
  <c r="N10" i="1" s="1"/>
  <c r="P10" i="1"/>
  <c r="L11" i="1"/>
  <c r="M11" i="1"/>
  <c r="N11" i="1"/>
  <c r="O11" i="1"/>
  <c r="R11" i="1" s="1"/>
  <c r="P11" i="1"/>
  <c r="L12" i="1"/>
  <c r="M12" i="1" s="1"/>
  <c r="P12" i="1"/>
  <c r="L13" i="1"/>
  <c r="O13" i="1" s="1"/>
  <c r="R13" i="1" s="1"/>
  <c r="M13" i="1"/>
  <c r="N13" i="1" s="1"/>
  <c r="P13" i="1"/>
  <c r="L14" i="1"/>
  <c r="M14" i="1"/>
  <c r="N14" i="1" s="1"/>
  <c r="O14" i="1"/>
  <c r="P14" i="1"/>
  <c r="R14" i="1"/>
  <c r="L15" i="1"/>
  <c r="M15" i="1"/>
  <c r="N15" i="1"/>
  <c r="O15" i="1"/>
  <c r="P15" i="1"/>
  <c r="R15" i="1"/>
  <c r="L16" i="1"/>
  <c r="M16" i="1"/>
  <c r="N16" i="1"/>
  <c r="O16" i="1"/>
  <c r="R16" i="1" s="1"/>
  <c r="P16" i="1"/>
  <c r="P2" i="1"/>
  <c r="L2" i="1"/>
  <c r="N12" i="1" l="1"/>
  <c r="O12" i="1"/>
  <c r="R12" i="1" s="1"/>
  <c r="N5" i="1"/>
  <c r="O5" i="1"/>
  <c r="R5" i="1" s="1"/>
  <c r="N4" i="1"/>
  <c r="O4" i="1"/>
  <c r="R4" i="1" s="1"/>
  <c r="N3" i="1"/>
  <c r="O3" i="1"/>
  <c r="R3" i="1" s="1"/>
  <c r="O10" i="1"/>
  <c r="R10" i="1" s="1"/>
  <c r="O8" i="1"/>
  <c r="R8" i="1" s="1"/>
  <c r="M2" i="1"/>
  <c r="N2" i="1" s="1"/>
  <c r="O2" i="1" l="1"/>
  <c r="R2" i="1" s="1"/>
</calcChain>
</file>

<file path=xl/sharedStrings.xml><?xml version="1.0" encoding="utf-8"?>
<sst xmlns="http://schemas.openxmlformats.org/spreadsheetml/2006/main" count="33" uniqueCount="30">
  <si>
    <t>Bhutani</t>
  </si>
  <si>
    <t>Cai</t>
  </si>
  <si>
    <t>Chow</t>
  </si>
  <si>
    <t>Correia</t>
  </si>
  <si>
    <t>Gabel</t>
  </si>
  <si>
    <t>Guo</t>
  </si>
  <si>
    <t>Kotarsky</t>
  </si>
  <si>
    <t>Moro</t>
  </si>
  <si>
    <t>State</t>
  </si>
  <si>
    <t>Teng</t>
  </si>
  <si>
    <t>Tinsley</t>
  </si>
  <si>
    <t>Trabelsi</t>
  </si>
  <si>
    <t>Author</t>
  </si>
  <si>
    <t>Year</t>
  </si>
  <si>
    <t>mean_control</t>
  </si>
  <si>
    <t>sd_control</t>
  </si>
  <si>
    <t>n_control</t>
  </si>
  <si>
    <t>mean_treat</t>
  </si>
  <si>
    <t>sd_treat</t>
  </si>
  <si>
    <t>n_treat</t>
  </si>
  <si>
    <t>md</t>
  </si>
  <si>
    <t>lCI_md</t>
  </si>
  <si>
    <t>uCI_md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</si>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</sst>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2" sqref="M12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13.42578125" bestFit="1" customWidth="1"/>
    <col min="4" max="4" width="10.28515625" bestFit="1" customWidth="1"/>
    <col min="5" max="5" width="9.42578125" bestFit="1" customWidth="1"/>
    <col min="6" max="6" width="11.28515625" bestFit="1" customWidth="1"/>
    <col min="7" max="7" width="8.28515625" bestFit="1" customWidth="1"/>
    <col min="8" max="8" width="7.42578125" bestFit="1" customWidth="1"/>
    <col min="9" max="9" width="5.7109375" bestFit="1" customWidth="1"/>
    <col min="10" max="10" width="7.140625" bestFit="1" customWidth="1"/>
    <col min="11" max="11" width="7.7109375" bestFit="1" customWidth="1"/>
    <col min="12" max="13" width="12" bestFit="1" customWidth="1"/>
    <col min="14" max="14" width="12.7109375" bestFit="1" customWidth="1"/>
    <col min="15" max="16" width="12" bestFit="1" customWidth="1"/>
    <col min="17" max="17" width="12.7109375" bestFit="1" customWidth="1"/>
    <col min="18" max="18" width="12" bestFit="1" customWidth="1"/>
  </cols>
  <sheetData>
    <row r="1" spans="1:1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5">
      <c r="A2" t="s">
        <v>0</v>
      </c>
      <c r="B2">
        <v>2013</v>
      </c>
      <c r="C2">
        <v>49</v>
      </c>
      <c r="D2">
        <v>8</v>
      </c>
      <c r="E2">
        <v>16</v>
      </c>
      <c r="F2">
        <v>50</v>
      </c>
      <c r="G2">
        <v>8</v>
      </c>
      <c r="H2">
        <v>16</v>
      </c>
      <c r="I2">
        <v>-1</v>
      </c>
      <c r="J2">
        <v>-6.54</v>
      </c>
      <c r="K2">
        <v>4.54</v>
      </c>
      <c r="L2">
        <f>(K2-J2)/2/1.96</f>
        <v>2.8265306122448979</v>
      </c>
      <c r="M2">
        <f>L2/SQRT(1/E2+1/H2)</f>
        <v>7.9946358525989245</v>
      </c>
      <c r="N2">
        <f>I2/M2</f>
        <v>-0.12508387104021962</v>
      </c>
      <c r="O2">
        <f>L2/M2</f>
        <v>0.35355339059327379</v>
      </c>
      <c r="P2">
        <f>1-3/(4*(E2+H2-2)-1)</f>
        <v>0.97478991596638653</v>
      </c>
      <c r="Q2">
        <f>-N2*P2</f>
        <v>0.12193049614004602</v>
      </c>
      <c r="R2">
        <f>O2*P2</f>
        <v>0.3446402799060484</v>
      </c>
    </row>
    <row r="3" spans="1:18" x14ac:dyDescent="0.25">
      <c r="A3" t="s">
        <v>1</v>
      </c>
      <c r="B3">
        <v>2019</v>
      </c>
      <c r="C3">
        <v>42.71</v>
      </c>
      <c r="D3">
        <v>7.67</v>
      </c>
      <c r="E3">
        <v>79</v>
      </c>
      <c r="F3">
        <v>44.17</v>
      </c>
      <c r="G3">
        <v>7.79</v>
      </c>
      <c r="H3">
        <v>90</v>
      </c>
      <c r="I3">
        <v>-1.46</v>
      </c>
      <c r="J3">
        <v>-3.79</v>
      </c>
      <c r="K3">
        <v>0.87</v>
      </c>
      <c r="L3">
        <f t="shared" ref="L3:L16" si="0">(K3-J3)/2/1.96</f>
        <v>1.1887755102040818</v>
      </c>
      <c r="M3">
        <f t="shared" ref="M3:M16" si="1">L3/SQRT(1/E3+1/H3)</f>
        <v>7.7106554603344453</v>
      </c>
      <c r="N3">
        <f t="shared" ref="N3:N16" si="2">I3/M3</f>
        <v>-0.18934836441734532</v>
      </c>
      <c r="O3">
        <f t="shared" ref="O3:O16" si="3">L3/M3</f>
        <v>0.15417308117571102</v>
      </c>
      <c r="P3">
        <f t="shared" ref="P3:P16" si="4">1-3/(4*(E3+H3-2)-1)</f>
        <v>0.99550224887556227</v>
      </c>
      <c r="Q3">
        <f t="shared" ref="Q3:Q16" si="5">-N3*P3</f>
        <v>0.18849672259837674</v>
      </c>
      <c r="R3">
        <f t="shared" ref="R3:R16" si="6">O3*P3</f>
        <v>0.15347964902649494</v>
      </c>
    </row>
    <row r="4" spans="1:18" x14ac:dyDescent="0.25">
      <c r="A4" t="s">
        <v>1</v>
      </c>
      <c r="B4">
        <v>2019</v>
      </c>
      <c r="C4">
        <v>42.71</v>
      </c>
      <c r="D4">
        <v>7.67</v>
      </c>
      <c r="E4">
        <v>79</v>
      </c>
      <c r="F4">
        <v>44.04</v>
      </c>
      <c r="G4">
        <v>7.47</v>
      </c>
      <c r="H4">
        <v>95</v>
      </c>
      <c r="I4">
        <v>-1.33</v>
      </c>
      <c r="J4">
        <v>-3.59</v>
      </c>
      <c r="K4">
        <v>0.93</v>
      </c>
      <c r="L4">
        <f t="shared" si="0"/>
        <v>1.1530612244897958</v>
      </c>
      <c r="M4">
        <f t="shared" si="1"/>
        <v>7.5727407983410266</v>
      </c>
      <c r="N4">
        <f t="shared" si="2"/>
        <v>-0.17562993840900581</v>
      </c>
      <c r="O4">
        <f t="shared" si="3"/>
        <v>0.1522647156683877</v>
      </c>
      <c r="P4">
        <f t="shared" si="4"/>
        <v>0.99563318777292575</v>
      </c>
      <c r="Q4">
        <f t="shared" si="5"/>
        <v>0.17486299544652106</v>
      </c>
      <c r="R4">
        <f t="shared" si="6"/>
        <v>0.15159980424625499</v>
      </c>
    </row>
    <row r="5" spans="1:18" x14ac:dyDescent="0.25">
      <c r="A5" t="s">
        <v>2</v>
      </c>
      <c r="B5">
        <v>2020</v>
      </c>
      <c r="C5">
        <v>51</v>
      </c>
      <c r="D5">
        <v>7.8</v>
      </c>
      <c r="E5">
        <v>9</v>
      </c>
      <c r="F5">
        <v>48.6</v>
      </c>
      <c r="G5">
        <v>9.9</v>
      </c>
      <c r="H5">
        <v>11</v>
      </c>
      <c r="I5">
        <v>2.4</v>
      </c>
      <c r="J5">
        <v>-5.36</v>
      </c>
      <c r="K5">
        <v>10.16</v>
      </c>
      <c r="L5">
        <f t="shared" si="0"/>
        <v>3.9591836734693877</v>
      </c>
      <c r="M5">
        <f t="shared" si="1"/>
        <v>8.8086275907952576</v>
      </c>
      <c r="N5">
        <f t="shared" si="2"/>
        <v>0.27246015060370193</v>
      </c>
      <c r="O5">
        <f t="shared" si="3"/>
        <v>0.44946657497549469</v>
      </c>
      <c r="P5">
        <f t="shared" si="4"/>
        <v>0.95774647887323949</v>
      </c>
      <c r="Q5">
        <f t="shared" si="5"/>
        <v>-0.26094774987396807</v>
      </c>
      <c r="R5">
        <f t="shared" si="6"/>
        <v>0.43047502955399491</v>
      </c>
    </row>
    <row r="6" spans="1:18" x14ac:dyDescent="0.25">
      <c r="A6" t="s">
        <v>3</v>
      </c>
      <c r="B6">
        <v>2021</v>
      </c>
      <c r="C6">
        <v>61.4</v>
      </c>
      <c r="D6">
        <v>6.6</v>
      </c>
      <c r="E6">
        <v>12</v>
      </c>
      <c r="F6">
        <v>61.5</v>
      </c>
      <c r="G6">
        <v>6.3</v>
      </c>
      <c r="H6">
        <v>12</v>
      </c>
      <c r="I6">
        <v>-0.1</v>
      </c>
      <c r="J6">
        <v>-5.26</v>
      </c>
      <c r="K6">
        <v>5.0599999999999996</v>
      </c>
      <c r="L6">
        <f t="shared" si="0"/>
        <v>2.6326530612244898</v>
      </c>
      <c r="M6">
        <f t="shared" si="1"/>
        <v>6.4486566697761223</v>
      </c>
      <c r="N6">
        <f t="shared" si="2"/>
        <v>-1.550710560676689E-2</v>
      </c>
      <c r="O6">
        <f t="shared" si="3"/>
        <v>0.40824829046386302</v>
      </c>
      <c r="P6">
        <f t="shared" si="4"/>
        <v>0.96551724137931039</v>
      </c>
      <c r="Q6">
        <f t="shared" si="5"/>
        <v>1.4972377827223205E-2</v>
      </c>
      <c r="R6">
        <f t="shared" si="6"/>
        <v>0.39417076320648847</v>
      </c>
    </row>
    <row r="7" spans="1:18" x14ac:dyDescent="0.25">
      <c r="A7" t="s">
        <v>4</v>
      </c>
      <c r="B7">
        <v>2019</v>
      </c>
      <c r="C7">
        <v>56</v>
      </c>
      <c r="D7">
        <v>11.62</v>
      </c>
      <c r="E7">
        <v>15</v>
      </c>
      <c r="F7">
        <v>54</v>
      </c>
      <c r="G7">
        <v>9.9499999999999993</v>
      </c>
      <c r="H7">
        <v>11</v>
      </c>
      <c r="I7">
        <v>2</v>
      </c>
      <c r="J7">
        <v>-6.32</v>
      </c>
      <c r="K7">
        <v>10.32</v>
      </c>
      <c r="L7">
        <f t="shared" si="0"/>
        <v>4.2448979591836737</v>
      </c>
      <c r="M7">
        <f t="shared" si="1"/>
        <v>10.693565971469592</v>
      </c>
      <c r="N7">
        <f t="shared" si="2"/>
        <v>0.18702835006919069</v>
      </c>
      <c r="O7">
        <f t="shared" si="3"/>
        <v>0.39695813075909858</v>
      </c>
      <c r="P7">
        <f t="shared" si="4"/>
        <v>0.96842105263157896</v>
      </c>
      <c r="Q7">
        <f t="shared" si="5"/>
        <v>-0.18112219164595308</v>
      </c>
      <c r="R7">
        <f t="shared" si="6"/>
        <v>0.3844226108403902</v>
      </c>
    </row>
    <row r="8" spans="1:18" x14ac:dyDescent="0.25">
      <c r="A8" t="s">
        <v>5</v>
      </c>
      <c r="B8">
        <v>2021</v>
      </c>
      <c r="C8">
        <v>51.3</v>
      </c>
      <c r="D8">
        <v>8.5</v>
      </c>
      <c r="E8">
        <v>18</v>
      </c>
      <c r="F8">
        <v>49.4</v>
      </c>
      <c r="G8">
        <v>9.9</v>
      </c>
      <c r="H8">
        <v>21</v>
      </c>
      <c r="I8">
        <v>1.9</v>
      </c>
      <c r="J8">
        <v>-3.87</v>
      </c>
      <c r="K8">
        <v>7.67</v>
      </c>
      <c r="L8">
        <f t="shared" si="0"/>
        <v>2.943877551020408</v>
      </c>
      <c r="M8">
        <f t="shared" si="1"/>
        <v>9.1650183367169014</v>
      </c>
      <c r="N8">
        <f t="shared" si="2"/>
        <v>0.20731000530443228</v>
      </c>
      <c r="O8">
        <f t="shared" si="3"/>
        <v>0.3212080372198105</v>
      </c>
      <c r="P8">
        <f t="shared" si="4"/>
        <v>0.97959183673469385</v>
      </c>
      <c r="Q8">
        <f t="shared" si="5"/>
        <v>-0.20307918886964793</v>
      </c>
      <c r="R8">
        <f t="shared" si="6"/>
        <v>0.31465277115410006</v>
      </c>
    </row>
    <row r="9" spans="1:18" x14ac:dyDescent="0.25">
      <c r="A9" t="s">
        <v>6</v>
      </c>
      <c r="B9">
        <v>2021</v>
      </c>
      <c r="C9">
        <v>48</v>
      </c>
      <c r="D9">
        <v>6.32</v>
      </c>
      <c r="E9">
        <v>10</v>
      </c>
      <c r="F9">
        <v>47</v>
      </c>
      <c r="G9">
        <v>6.63</v>
      </c>
      <c r="H9">
        <v>11</v>
      </c>
      <c r="I9">
        <v>1</v>
      </c>
      <c r="J9">
        <v>-4.54</v>
      </c>
      <c r="K9">
        <v>6.54</v>
      </c>
      <c r="L9">
        <f t="shared" si="0"/>
        <v>2.8265306122448979</v>
      </c>
      <c r="M9">
        <f t="shared" si="1"/>
        <v>6.4690482232717637</v>
      </c>
      <c r="N9">
        <f t="shared" si="2"/>
        <v>0.15458224540707527</v>
      </c>
      <c r="O9">
        <f t="shared" si="3"/>
        <v>0.4369314487526515</v>
      </c>
      <c r="P9">
        <f t="shared" si="4"/>
        <v>0.96</v>
      </c>
      <c r="Q9">
        <f t="shared" si="5"/>
        <v>-0.14839895559079225</v>
      </c>
      <c r="R9">
        <f t="shared" si="6"/>
        <v>0.41945419080254542</v>
      </c>
    </row>
    <row r="10" spans="1:18" x14ac:dyDescent="0.25">
      <c r="A10" t="s">
        <v>7</v>
      </c>
      <c r="B10">
        <v>2016</v>
      </c>
      <c r="C10">
        <v>74.41</v>
      </c>
      <c r="D10">
        <v>3.59</v>
      </c>
      <c r="E10">
        <v>17</v>
      </c>
      <c r="F10">
        <v>73.72</v>
      </c>
      <c r="G10">
        <v>4.2699999999999996</v>
      </c>
      <c r="H10">
        <v>17</v>
      </c>
      <c r="I10">
        <v>0.69</v>
      </c>
      <c r="J10">
        <v>-1.96</v>
      </c>
      <c r="K10">
        <v>3.34</v>
      </c>
      <c r="L10">
        <f t="shared" si="0"/>
        <v>1.3520408163265305</v>
      </c>
      <c r="M10">
        <f t="shared" si="1"/>
        <v>3.9418424799336846</v>
      </c>
      <c r="N10">
        <f t="shared" si="2"/>
        <v>0.17504504645036148</v>
      </c>
      <c r="O10">
        <f t="shared" si="3"/>
        <v>0.34299717028501769</v>
      </c>
      <c r="P10">
        <f t="shared" si="4"/>
        <v>0.97637795275590555</v>
      </c>
      <c r="Q10">
        <f t="shared" si="5"/>
        <v>-0.17091012409326634</v>
      </c>
      <c r="R10">
        <f t="shared" si="6"/>
        <v>0.33489487492395431</v>
      </c>
    </row>
    <row r="11" spans="1:18" x14ac:dyDescent="0.25">
      <c r="A11" t="s">
        <v>8</v>
      </c>
      <c r="B11">
        <v>2007</v>
      </c>
      <c r="C11">
        <v>49.4</v>
      </c>
      <c r="D11">
        <v>1.55</v>
      </c>
      <c r="E11">
        <v>15</v>
      </c>
      <c r="F11">
        <v>50.9</v>
      </c>
      <c r="G11">
        <v>1.55</v>
      </c>
      <c r="H11">
        <v>15</v>
      </c>
      <c r="I11">
        <v>-1.5</v>
      </c>
      <c r="J11">
        <v>-2.61</v>
      </c>
      <c r="K11">
        <v>-0.39</v>
      </c>
      <c r="L11">
        <f t="shared" si="0"/>
        <v>0.56632653061224481</v>
      </c>
      <c r="M11">
        <f t="shared" si="1"/>
        <v>1.5509490786498326</v>
      </c>
      <c r="N11">
        <f t="shared" si="2"/>
        <v>-0.9671497411802934</v>
      </c>
      <c r="O11">
        <f t="shared" si="3"/>
        <v>0.36514837167011072</v>
      </c>
      <c r="P11">
        <f t="shared" si="4"/>
        <v>0.97297297297297303</v>
      </c>
      <c r="Q11">
        <f t="shared" si="5"/>
        <v>0.94101055898623143</v>
      </c>
      <c r="R11">
        <f t="shared" si="6"/>
        <v>0.35527949676010773</v>
      </c>
    </row>
    <row r="12" spans="1:18" x14ac:dyDescent="0.25">
      <c r="A12" t="s">
        <v>9</v>
      </c>
      <c r="B12">
        <v>2011</v>
      </c>
      <c r="C12">
        <v>54.8</v>
      </c>
      <c r="D12">
        <v>5.2</v>
      </c>
      <c r="E12">
        <v>13</v>
      </c>
      <c r="F12">
        <v>52.2</v>
      </c>
      <c r="G12">
        <v>4.0999999999999996</v>
      </c>
      <c r="H12">
        <v>12</v>
      </c>
      <c r="I12">
        <v>2.6</v>
      </c>
      <c r="J12">
        <v>-1.06</v>
      </c>
      <c r="K12">
        <v>6.26</v>
      </c>
      <c r="L12">
        <f t="shared" si="0"/>
        <v>1.8673469387755104</v>
      </c>
      <c r="M12">
        <f t="shared" si="1"/>
        <v>4.6646311579873752</v>
      </c>
      <c r="N12">
        <f t="shared" si="2"/>
        <v>0.55738597799912848</v>
      </c>
      <c r="O12">
        <f t="shared" si="3"/>
        <v>0.40032038451271784</v>
      </c>
      <c r="P12">
        <f t="shared" si="4"/>
        <v>0.96703296703296704</v>
      </c>
      <c r="Q12">
        <f t="shared" si="5"/>
        <v>-0.53901061608706935</v>
      </c>
      <c r="R12">
        <f t="shared" si="6"/>
        <v>0.38712300919911175</v>
      </c>
    </row>
    <row r="13" spans="1:18" x14ac:dyDescent="0.25">
      <c r="A13" t="s">
        <v>9</v>
      </c>
      <c r="B13">
        <v>2013</v>
      </c>
      <c r="C13">
        <v>51.6</v>
      </c>
      <c r="D13">
        <v>8.8000000000000007</v>
      </c>
      <c r="E13">
        <v>28</v>
      </c>
      <c r="F13">
        <v>54</v>
      </c>
      <c r="G13">
        <v>4.0999999999999996</v>
      </c>
      <c r="H13">
        <v>28</v>
      </c>
      <c r="I13">
        <v>-2.4</v>
      </c>
      <c r="J13">
        <v>-6</v>
      </c>
      <c r="K13">
        <v>1.2</v>
      </c>
      <c r="L13">
        <f t="shared" si="0"/>
        <v>1.8367346938775511</v>
      </c>
      <c r="M13">
        <f t="shared" si="1"/>
        <v>6.8724319348909129</v>
      </c>
      <c r="N13">
        <f t="shared" si="2"/>
        <v>-0.3492213560989012</v>
      </c>
      <c r="O13">
        <f t="shared" si="3"/>
        <v>0.2672612419124244</v>
      </c>
      <c r="P13">
        <f t="shared" si="4"/>
        <v>0.98604651162790702</v>
      </c>
      <c r="Q13">
        <f t="shared" si="5"/>
        <v>0.34434849996728867</v>
      </c>
      <c r="R13">
        <f t="shared" si="6"/>
        <v>0.26353201528108827</v>
      </c>
    </row>
    <row r="14" spans="1:18" x14ac:dyDescent="0.25">
      <c r="A14" t="s">
        <v>10</v>
      </c>
      <c r="B14">
        <v>2019</v>
      </c>
      <c r="C14">
        <v>46.3</v>
      </c>
      <c r="D14">
        <v>4.49</v>
      </c>
      <c r="E14">
        <v>9</v>
      </c>
      <c r="F14">
        <v>46.4</v>
      </c>
      <c r="G14">
        <v>4.33</v>
      </c>
      <c r="H14">
        <v>13</v>
      </c>
      <c r="I14">
        <v>-0.1</v>
      </c>
      <c r="J14">
        <v>-3.86</v>
      </c>
      <c r="K14">
        <v>3.66</v>
      </c>
      <c r="L14">
        <f t="shared" si="0"/>
        <v>1.9183673469387754</v>
      </c>
      <c r="M14">
        <f t="shared" si="1"/>
        <v>4.4239821299917894</v>
      </c>
      <c r="N14">
        <f t="shared" si="2"/>
        <v>-2.2604069605540112E-2</v>
      </c>
      <c r="O14">
        <f t="shared" si="3"/>
        <v>0.43362909039199393</v>
      </c>
      <c r="P14">
        <f t="shared" si="4"/>
        <v>0.96202531645569622</v>
      </c>
      <c r="Q14">
        <f t="shared" si="5"/>
        <v>2.1745687215456312E-2</v>
      </c>
      <c r="R14">
        <f t="shared" si="6"/>
        <v>0.41716216290875369</v>
      </c>
    </row>
    <row r="15" spans="1:18" x14ac:dyDescent="0.25">
      <c r="A15" t="s">
        <v>11</v>
      </c>
      <c r="B15">
        <v>2012</v>
      </c>
      <c r="C15">
        <v>63.9</v>
      </c>
      <c r="D15">
        <v>4</v>
      </c>
      <c r="E15">
        <v>9</v>
      </c>
      <c r="F15">
        <v>63.6</v>
      </c>
      <c r="G15">
        <v>2.7</v>
      </c>
      <c r="H15">
        <v>10</v>
      </c>
      <c r="I15">
        <v>0.3</v>
      </c>
      <c r="J15">
        <v>-2.8</v>
      </c>
      <c r="K15">
        <v>3.4</v>
      </c>
      <c r="L15">
        <f t="shared" si="0"/>
        <v>1.5816326530612244</v>
      </c>
      <c r="M15">
        <f t="shared" si="1"/>
        <v>3.4423107785832183</v>
      </c>
      <c r="N15">
        <f t="shared" si="2"/>
        <v>8.7150759851925275E-2</v>
      </c>
      <c r="O15">
        <f t="shared" si="3"/>
        <v>0.45946829173634074</v>
      </c>
      <c r="P15">
        <f t="shared" si="4"/>
        <v>0.95522388059701491</v>
      </c>
      <c r="Q15">
        <f t="shared" si="5"/>
        <v>-8.3248487022734588E-2</v>
      </c>
      <c r="R15">
        <f t="shared" si="6"/>
        <v>0.43889508464366878</v>
      </c>
    </row>
    <row r="16" spans="1:18" x14ac:dyDescent="0.25">
      <c r="A16" t="s">
        <v>11</v>
      </c>
      <c r="B16">
        <v>2013</v>
      </c>
      <c r="C16">
        <v>68.599999999999994</v>
      </c>
      <c r="D16">
        <v>2.9</v>
      </c>
      <c r="E16">
        <v>8</v>
      </c>
      <c r="F16">
        <v>68</v>
      </c>
      <c r="G16">
        <v>3.1</v>
      </c>
      <c r="H16">
        <v>8</v>
      </c>
      <c r="I16">
        <v>0.6</v>
      </c>
      <c r="J16">
        <v>-2.34</v>
      </c>
      <c r="K16">
        <v>3.54</v>
      </c>
      <c r="L16">
        <f t="shared" si="0"/>
        <v>1.5</v>
      </c>
      <c r="M16">
        <f t="shared" si="1"/>
        <v>3</v>
      </c>
      <c r="N16">
        <f t="shared" si="2"/>
        <v>0.19999999999999998</v>
      </c>
      <c r="O16">
        <f t="shared" si="3"/>
        <v>0.5</v>
      </c>
      <c r="P16">
        <f t="shared" si="4"/>
        <v>0.94545454545454544</v>
      </c>
      <c r="Q16">
        <f t="shared" si="5"/>
        <v>-0.18909090909090906</v>
      </c>
      <c r="R16">
        <f t="shared" si="6"/>
        <v>0.47272727272727272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2026-04-04T20:24:47Z</dcterms:modified>
</cp:coreProperties>
</file>