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gu2022\"/>
    </mc:Choice>
  </mc:AlternateContent>
  <xr:revisionPtr revIDLastSave="0" documentId="13_ncr:1_{CBD00A06-CF61-4432-A23D-15B8296C86E8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O3" i="1" s="1"/>
  <c r="M3" i="1"/>
  <c r="N3" i="1" s="1"/>
  <c r="L4" i="1"/>
  <c r="M4" i="1"/>
  <c r="N4" i="1"/>
  <c r="O4" i="1"/>
  <c r="L5" i="1"/>
  <c r="O5" i="1" s="1"/>
  <c r="M5" i="1"/>
  <c r="N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M2" i="1"/>
  <c r="N2" i="1" s="1"/>
  <c r="L2" i="1"/>
  <c r="O2" i="1" s="1"/>
</calcChain>
</file>

<file path=xl/sharedStrings.xml><?xml version="1.0" encoding="utf-8"?>
<sst xmlns="http://schemas.openxmlformats.org/spreadsheetml/2006/main" count="34" uniqueCount="31">
  <si>
    <t>Bhutani</t>
  </si>
  <si>
    <t>Gabel</t>
  </si>
  <si>
    <t>Guo</t>
  </si>
  <si>
    <t>Hirsh</t>
  </si>
  <si>
    <t>Kotarsky</t>
  </si>
  <si>
    <t>Lowe</t>
  </si>
  <si>
    <t>Martens</t>
  </si>
  <si>
    <t>McAllister</t>
  </si>
  <si>
    <t>Moro</t>
  </si>
  <si>
    <t>Stole</t>
  </si>
  <si>
    <t>Teng</t>
  </si>
  <si>
    <t>Tinsley</t>
  </si>
  <si>
    <t>Trabelsi</t>
  </si>
  <si>
    <t>Varady</t>
  </si>
  <si>
    <t>Schubel</t>
  </si>
  <si>
    <t>Cai</t>
  </si>
  <si>
    <t>Author</t>
  </si>
  <si>
    <t>Year</t>
  </si>
  <si>
    <t>mean_control</t>
  </si>
  <si>
    <t>sd_control</t>
  </si>
  <si>
    <t>n_control</t>
  </si>
  <si>
    <t>mean_treat</t>
  </si>
  <si>
    <t>sd_treat</t>
  </si>
  <si>
    <t>n_treat</t>
  </si>
  <si>
    <t>d</t>
  </si>
  <si>
    <t>lCI_md</t>
  </si>
  <si>
    <t>uCI_md</t>
  </si>
  <si>
    <t>se_d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</si>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</sst>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topLeftCell="D1" workbookViewId="0">
      <selection activeCell="N1" sqref="N1:N1048576"/>
    </sheetView>
  </sheetViews>
  <sheetFormatPr defaultRowHeight="15" x14ac:dyDescent="0.25"/>
  <cols>
    <col min="1" max="1" width="10" bestFit="1" customWidth="1"/>
    <col min="2" max="2" width="5" bestFit="1" customWidth="1"/>
    <col min="3" max="3" width="13.42578125" bestFit="1" customWidth="1"/>
    <col min="4" max="4" width="10.28515625" bestFit="1" customWidth="1"/>
    <col min="5" max="5" width="9.42578125" bestFit="1" customWidth="1"/>
    <col min="6" max="6" width="11.28515625" bestFit="1" customWidth="1"/>
    <col min="7" max="7" width="8.28515625" bestFit="1" customWidth="1"/>
    <col min="8" max="8" width="7.42578125" bestFit="1" customWidth="1"/>
    <col min="9" max="9" width="5.7109375" bestFit="1" customWidth="1"/>
    <col min="10" max="10" width="7.140625" bestFit="1" customWidth="1"/>
    <col min="11" max="11" width="7.7109375" bestFit="1" customWidth="1"/>
    <col min="12" max="13" width="12" bestFit="1" customWidth="1"/>
    <col min="14" max="14" width="12.7109375" bestFit="1" customWidth="1"/>
    <col min="15" max="15" width="12" bestFit="1" customWidth="1"/>
  </cols>
  <sheetData>
    <row r="1" spans="1:1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</row>
    <row r="2" spans="1:15" x14ac:dyDescent="0.25">
      <c r="A2" t="s">
        <v>0</v>
      </c>
      <c r="B2">
        <v>2013</v>
      </c>
      <c r="C2">
        <v>187</v>
      </c>
      <c r="D2">
        <v>40</v>
      </c>
      <c r="E2">
        <v>16</v>
      </c>
      <c r="F2">
        <v>183</v>
      </c>
      <c r="G2">
        <v>44</v>
      </c>
      <c r="H2">
        <v>16</v>
      </c>
      <c r="I2">
        <v>0.09</v>
      </c>
      <c r="J2">
        <v>-0.6</v>
      </c>
      <c r="K2">
        <v>0.79</v>
      </c>
      <c r="L2">
        <f>(K2-J2)/2/1.96</f>
        <v>0.35459183673469391</v>
      </c>
      <c r="M2">
        <f t="shared" ref="M2" si="0">1-3/(4*(E2+H2-2)-1)</f>
        <v>0.97478991596638653</v>
      </c>
      <c r="N2">
        <f t="shared" ref="N2" si="1">I2*M2</f>
        <v>8.7731092436974786E-2</v>
      </c>
      <c r="O2">
        <f t="shared" ref="O2" si="2">L2*M2</f>
        <v>0.3456525467329789</v>
      </c>
    </row>
    <row r="3" spans="1:15" x14ac:dyDescent="0.25">
      <c r="A3" t="s">
        <v>15</v>
      </c>
      <c r="B3">
        <v>2019</v>
      </c>
      <c r="C3">
        <v>4.6500000000000004</v>
      </c>
      <c r="D3">
        <v>1.36</v>
      </c>
      <c r="E3">
        <v>79</v>
      </c>
      <c r="F3">
        <v>4.37</v>
      </c>
      <c r="G3">
        <v>1.53</v>
      </c>
      <c r="H3">
        <v>95</v>
      </c>
      <c r="I3">
        <v>0.19</v>
      </c>
      <c r="J3">
        <v>-0.11</v>
      </c>
      <c r="K3">
        <v>0.49</v>
      </c>
      <c r="L3">
        <f t="shared" ref="L3:L20" si="3">(K3-J3)/2/1.96</f>
        <v>0.15306122448979592</v>
      </c>
      <c r="M3">
        <f t="shared" ref="M3:M20" si="4">1-3/(4*(E3+H3-2)-1)</f>
        <v>0.99563318777292575</v>
      </c>
      <c r="N3">
        <f t="shared" ref="N3:N20" si="5">I3*M3</f>
        <v>0.18917030567685589</v>
      </c>
      <c r="O3">
        <f t="shared" ref="O3:O20" si="6">L3*M3</f>
        <v>0.15239283486320293</v>
      </c>
    </row>
    <row r="4" spans="1:15" x14ac:dyDescent="0.25">
      <c r="A4" t="s">
        <v>15</v>
      </c>
      <c r="B4">
        <v>2019</v>
      </c>
      <c r="C4">
        <v>4.6500000000000004</v>
      </c>
      <c r="D4">
        <v>1.36</v>
      </c>
      <c r="E4">
        <v>79</v>
      </c>
      <c r="F4">
        <v>4.1500000000000004</v>
      </c>
      <c r="G4">
        <v>1.06</v>
      </c>
      <c r="H4">
        <v>90</v>
      </c>
      <c r="I4">
        <v>0.41</v>
      </c>
      <c r="J4">
        <v>0.11</v>
      </c>
      <c r="K4">
        <v>0.72</v>
      </c>
      <c r="L4">
        <f t="shared" si="3"/>
        <v>0.15561224489795919</v>
      </c>
      <c r="M4">
        <f t="shared" si="4"/>
        <v>0.99550224887556227</v>
      </c>
      <c r="N4">
        <f t="shared" si="5"/>
        <v>0.40815592203898049</v>
      </c>
      <c r="O4">
        <f t="shared" si="6"/>
        <v>0.15491233974849311</v>
      </c>
    </row>
    <row r="5" spans="1:15" x14ac:dyDescent="0.25">
      <c r="A5" t="s">
        <v>1</v>
      </c>
      <c r="B5">
        <v>2019</v>
      </c>
      <c r="C5">
        <v>184</v>
      </c>
      <c r="D5">
        <v>38.729999999999997</v>
      </c>
      <c r="E5">
        <v>15</v>
      </c>
      <c r="F5">
        <v>184</v>
      </c>
      <c r="G5">
        <v>43.12</v>
      </c>
      <c r="H5">
        <v>11</v>
      </c>
      <c r="I5">
        <v>0</v>
      </c>
      <c r="J5">
        <v>-0.78</v>
      </c>
      <c r="K5">
        <v>0.78</v>
      </c>
      <c r="L5">
        <f t="shared" si="3"/>
        <v>0.39795918367346939</v>
      </c>
      <c r="M5">
        <f t="shared" si="4"/>
        <v>0.96842105263157896</v>
      </c>
      <c r="N5">
        <f t="shared" si="5"/>
        <v>0</v>
      </c>
      <c r="O5">
        <f t="shared" si="6"/>
        <v>0.38539205155746509</v>
      </c>
    </row>
    <row r="6" spans="1:15" x14ac:dyDescent="0.25">
      <c r="A6" t="s">
        <v>2</v>
      </c>
      <c r="B6">
        <v>2021</v>
      </c>
      <c r="C6">
        <v>4.99</v>
      </c>
      <c r="D6">
        <v>0.81</v>
      </c>
      <c r="E6">
        <v>18</v>
      </c>
      <c r="F6">
        <v>5.0999999999999996</v>
      </c>
      <c r="G6">
        <v>0.86</v>
      </c>
      <c r="H6">
        <v>21</v>
      </c>
      <c r="I6">
        <v>-0.13</v>
      </c>
      <c r="J6">
        <v>-0.76</v>
      </c>
      <c r="K6">
        <v>0.5</v>
      </c>
      <c r="L6">
        <f t="shared" si="3"/>
        <v>0.32142857142857145</v>
      </c>
      <c r="M6">
        <f t="shared" si="4"/>
        <v>0.97959183673469385</v>
      </c>
      <c r="N6">
        <f t="shared" si="5"/>
        <v>-0.1273469387755102</v>
      </c>
      <c r="O6">
        <f t="shared" si="6"/>
        <v>0.31486880466472306</v>
      </c>
    </row>
    <row r="7" spans="1:15" x14ac:dyDescent="0.25">
      <c r="A7" t="s">
        <v>3</v>
      </c>
      <c r="B7">
        <v>2019</v>
      </c>
      <c r="C7">
        <v>196.8</v>
      </c>
      <c r="D7">
        <v>48.1</v>
      </c>
      <c r="E7">
        <v>12</v>
      </c>
      <c r="F7">
        <v>201.1</v>
      </c>
      <c r="G7">
        <v>33.6</v>
      </c>
      <c r="H7">
        <v>10</v>
      </c>
      <c r="I7">
        <v>-0.1</v>
      </c>
      <c r="J7">
        <v>-0.94</v>
      </c>
      <c r="K7">
        <v>0.74</v>
      </c>
      <c r="L7">
        <f t="shared" si="3"/>
        <v>0.42857142857142855</v>
      </c>
      <c r="M7">
        <f t="shared" si="4"/>
        <v>0.96202531645569622</v>
      </c>
      <c r="N7">
        <f t="shared" si="5"/>
        <v>-9.6202531645569633E-2</v>
      </c>
      <c r="O7">
        <f t="shared" si="6"/>
        <v>0.41229656419529837</v>
      </c>
    </row>
    <row r="8" spans="1:15" x14ac:dyDescent="0.25">
      <c r="A8" t="s">
        <v>4</v>
      </c>
      <c r="B8">
        <v>2021</v>
      </c>
      <c r="C8">
        <v>199</v>
      </c>
      <c r="D8">
        <v>37.950000000000003</v>
      </c>
      <c r="E8">
        <v>10</v>
      </c>
      <c r="F8">
        <v>206</v>
      </c>
      <c r="G8">
        <v>33.17</v>
      </c>
      <c r="H8">
        <v>11</v>
      </c>
      <c r="I8">
        <v>-0.19</v>
      </c>
      <c r="J8">
        <v>-1.05</v>
      </c>
      <c r="K8">
        <v>0.67</v>
      </c>
      <c r="L8">
        <f t="shared" si="3"/>
        <v>0.43877551020408168</v>
      </c>
      <c r="M8">
        <f t="shared" si="4"/>
        <v>0.96</v>
      </c>
      <c r="N8">
        <f t="shared" si="5"/>
        <v>-0.18240000000000001</v>
      </c>
      <c r="O8">
        <f t="shared" si="6"/>
        <v>0.42122448979591837</v>
      </c>
    </row>
    <row r="9" spans="1:15" x14ac:dyDescent="0.25">
      <c r="A9" t="s">
        <v>5</v>
      </c>
      <c r="B9">
        <v>2020</v>
      </c>
      <c r="C9">
        <v>203.5</v>
      </c>
      <c r="D9">
        <v>117.82</v>
      </c>
      <c r="E9">
        <v>24</v>
      </c>
      <c r="F9">
        <v>200.1</v>
      </c>
      <c r="G9">
        <v>33.83</v>
      </c>
      <c r="H9">
        <v>22</v>
      </c>
      <c r="I9">
        <v>0.04</v>
      </c>
      <c r="J9">
        <v>-0.54</v>
      </c>
      <c r="K9">
        <v>0.62</v>
      </c>
      <c r="L9">
        <f t="shared" si="3"/>
        <v>0.29591836734693883</v>
      </c>
      <c r="M9">
        <f t="shared" si="4"/>
        <v>0.98285714285714287</v>
      </c>
      <c r="N9">
        <f t="shared" si="5"/>
        <v>3.9314285714285718E-2</v>
      </c>
      <c r="O9">
        <f t="shared" si="6"/>
        <v>0.29084548104956276</v>
      </c>
    </row>
    <row r="10" spans="1:15" x14ac:dyDescent="0.25">
      <c r="A10" t="s">
        <v>6</v>
      </c>
      <c r="B10">
        <v>2020</v>
      </c>
      <c r="C10">
        <v>178</v>
      </c>
      <c r="D10">
        <v>32.83</v>
      </c>
      <c r="E10">
        <v>22</v>
      </c>
      <c r="F10">
        <v>189</v>
      </c>
      <c r="G10">
        <v>41.24</v>
      </c>
      <c r="H10">
        <v>21</v>
      </c>
      <c r="I10">
        <v>-0.28999999999999998</v>
      </c>
      <c r="J10">
        <v>-0.89</v>
      </c>
      <c r="K10">
        <v>0.31</v>
      </c>
      <c r="L10">
        <f t="shared" si="3"/>
        <v>0.30612244897959184</v>
      </c>
      <c r="M10">
        <f t="shared" si="4"/>
        <v>0.98159509202453987</v>
      </c>
      <c r="N10">
        <f t="shared" si="5"/>
        <v>-0.28466257668711653</v>
      </c>
      <c r="O10">
        <f t="shared" si="6"/>
        <v>0.30048829347689998</v>
      </c>
    </row>
    <row r="11" spans="1:15" x14ac:dyDescent="0.25">
      <c r="A11" t="s">
        <v>7</v>
      </c>
      <c r="B11">
        <v>2019</v>
      </c>
      <c r="C11">
        <v>161.6</v>
      </c>
      <c r="D11">
        <v>44.1</v>
      </c>
      <c r="E11">
        <v>12</v>
      </c>
      <c r="F11">
        <v>144.1</v>
      </c>
      <c r="G11">
        <v>26.1</v>
      </c>
      <c r="H11">
        <v>10</v>
      </c>
      <c r="I11">
        <v>0.45</v>
      </c>
      <c r="J11">
        <v>-0.4</v>
      </c>
      <c r="K11">
        <v>1.31</v>
      </c>
      <c r="L11">
        <f t="shared" si="3"/>
        <v>0.43622448979591838</v>
      </c>
      <c r="M11">
        <f t="shared" si="4"/>
        <v>0.96202531645569622</v>
      </c>
      <c r="N11">
        <f t="shared" si="5"/>
        <v>0.43291139240506332</v>
      </c>
      <c r="O11">
        <f t="shared" si="6"/>
        <v>0.41965900284164298</v>
      </c>
    </row>
    <row r="12" spans="1:15" x14ac:dyDescent="0.25">
      <c r="A12" t="s">
        <v>8</v>
      </c>
      <c r="B12">
        <v>2016</v>
      </c>
      <c r="C12">
        <v>197.12</v>
      </c>
      <c r="D12">
        <v>15.66</v>
      </c>
      <c r="E12">
        <v>17</v>
      </c>
      <c r="F12">
        <v>191.37</v>
      </c>
      <c r="G12">
        <v>11.2</v>
      </c>
      <c r="H12">
        <v>17</v>
      </c>
      <c r="I12">
        <v>0.41</v>
      </c>
      <c r="J12">
        <v>-0.27</v>
      </c>
      <c r="K12">
        <v>1.0900000000000001</v>
      </c>
      <c r="L12">
        <f t="shared" si="3"/>
        <v>0.34693877551020413</v>
      </c>
      <c r="M12">
        <f t="shared" si="4"/>
        <v>0.97637795275590555</v>
      </c>
      <c r="N12">
        <f t="shared" si="5"/>
        <v>0.40031496062992128</v>
      </c>
      <c r="O12">
        <f t="shared" si="6"/>
        <v>0.33874337136429383</v>
      </c>
    </row>
    <row r="13" spans="1:15" x14ac:dyDescent="0.25">
      <c r="A13" t="s">
        <v>8</v>
      </c>
      <c r="B13">
        <v>2020</v>
      </c>
      <c r="C13">
        <v>179.38</v>
      </c>
      <c r="D13">
        <v>31.08</v>
      </c>
      <c r="E13">
        <v>8</v>
      </c>
      <c r="F13">
        <v>181.38</v>
      </c>
      <c r="G13">
        <v>41.59</v>
      </c>
      <c r="H13">
        <v>8</v>
      </c>
      <c r="I13">
        <v>-0.05</v>
      </c>
      <c r="J13">
        <v>-1.03</v>
      </c>
      <c r="K13">
        <v>0.93</v>
      </c>
      <c r="L13">
        <f t="shared" si="3"/>
        <v>0.5</v>
      </c>
      <c r="M13">
        <f t="shared" si="4"/>
        <v>0.94545454545454544</v>
      </c>
      <c r="N13">
        <f t="shared" si="5"/>
        <v>-4.7272727272727272E-2</v>
      </c>
      <c r="O13">
        <f t="shared" si="6"/>
        <v>0.47272727272727272</v>
      </c>
    </row>
    <row r="14" spans="1:15" x14ac:dyDescent="0.25">
      <c r="A14" t="s">
        <v>14</v>
      </c>
      <c r="B14">
        <v>2018</v>
      </c>
      <c r="C14">
        <v>191.1</v>
      </c>
      <c r="D14">
        <v>31.3</v>
      </c>
      <c r="E14">
        <v>52</v>
      </c>
      <c r="F14">
        <v>185.1</v>
      </c>
      <c r="G14">
        <v>36.799999999999997</v>
      </c>
      <c r="H14">
        <v>49</v>
      </c>
      <c r="I14">
        <v>0.17</v>
      </c>
      <c r="J14">
        <v>-0.22</v>
      </c>
      <c r="K14">
        <v>0.56999999999999995</v>
      </c>
      <c r="L14">
        <f t="shared" si="3"/>
        <v>0.20153061224489793</v>
      </c>
      <c r="M14">
        <f t="shared" si="4"/>
        <v>0.9924050632911392</v>
      </c>
      <c r="N14">
        <f t="shared" si="5"/>
        <v>0.16870886075949368</v>
      </c>
      <c r="O14">
        <f t="shared" si="6"/>
        <v>0.19999999999999996</v>
      </c>
    </row>
    <row r="15" spans="1:15" x14ac:dyDescent="0.25">
      <c r="A15" t="s">
        <v>9</v>
      </c>
      <c r="B15">
        <v>2007</v>
      </c>
      <c r="C15">
        <v>191</v>
      </c>
      <c r="D15">
        <v>20.53</v>
      </c>
      <c r="E15">
        <v>15</v>
      </c>
      <c r="F15">
        <v>216.5</v>
      </c>
      <c r="G15">
        <v>20.53</v>
      </c>
      <c r="H15">
        <v>15</v>
      </c>
      <c r="I15">
        <v>-1.21</v>
      </c>
      <c r="J15">
        <v>-2</v>
      </c>
      <c r="K15">
        <v>-0.42</v>
      </c>
      <c r="L15">
        <f t="shared" si="3"/>
        <v>0.40306122448979592</v>
      </c>
      <c r="M15">
        <f t="shared" si="4"/>
        <v>0.97297297297297303</v>
      </c>
      <c r="N15">
        <f t="shared" si="5"/>
        <v>-1.1772972972972973</v>
      </c>
      <c r="O15">
        <f t="shared" si="6"/>
        <v>0.39216767788196361</v>
      </c>
    </row>
    <row r="16" spans="1:15" x14ac:dyDescent="0.25">
      <c r="A16" t="s">
        <v>10</v>
      </c>
      <c r="B16">
        <v>2013</v>
      </c>
      <c r="C16">
        <v>5.64</v>
      </c>
      <c r="D16">
        <v>1</v>
      </c>
      <c r="E16">
        <v>28</v>
      </c>
      <c r="F16">
        <v>5.48</v>
      </c>
      <c r="G16">
        <v>0.9</v>
      </c>
      <c r="H16">
        <v>28</v>
      </c>
      <c r="I16">
        <v>0.17</v>
      </c>
      <c r="J16">
        <v>-0.36</v>
      </c>
      <c r="K16">
        <v>0.69</v>
      </c>
      <c r="L16">
        <f t="shared" si="3"/>
        <v>0.26785714285714279</v>
      </c>
      <c r="M16">
        <f t="shared" si="4"/>
        <v>0.98604651162790702</v>
      </c>
      <c r="N16">
        <f t="shared" si="5"/>
        <v>0.16762790697674421</v>
      </c>
      <c r="O16">
        <f t="shared" si="6"/>
        <v>0.26411960132890361</v>
      </c>
    </row>
    <row r="17" spans="1:15" x14ac:dyDescent="0.25">
      <c r="A17" t="s">
        <v>11</v>
      </c>
      <c r="B17">
        <v>2019</v>
      </c>
      <c r="C17">
        <v>185</v>
      </c>
      <c r="D17">
        <v>41.16</v>
      </c>
      <c r="E17">
        <v>14</v>
      </c>
      <c r="F17">
        <v>172</v>
      </c>
      <c r="G17">
        <v>39.659999999999997</v>
      </c>
      <c r="H17">
        <v>13</v>
      </c>
      <c r="I17">
        <v>0.31</v>
      </c>
      <c r="J17">
        <v>-0.45</v>
      </c>
      <c r="K17">
        <v>1.07</v>
      </c>
      <c r="L17">
        <f t="shared" si="3"/>
        <v>0.38775510204081631</v>
      </c>
      <c r="M17">
        <f t="shared" si="4"/>
        <v>0.96969696969696972</v>
      </c>
      <c r="N17">
        <f t="shared" si="5"/>
        <v>0.3006060606060606</v>
      </c>
      <c r="O17">
        <f t="shared" si="6"/>
        <v>0.37600494743351887</v>
      </c>
    </row>
    <row r="18" spans="1:15" x14ac:dyDescent="0.25">
      <c r="A18" t="s">
        <v>12</v>
      </c>
      <c r="B18">
        <v>2012</v>
      </c>
      <c r="C18">
        <v>3.88</v>
      </c>
      <c r="D18">
        <v>0.31</v>
      </c>
      <c r="E18">
        <v>9</v>
      </c>
      <c r="F18">
        <v>4.08</v>
      </c>
      <c r="G18">
        <v>0.28000000000000003</v>
      </c>
      <c r="H18">
        <v>10</v>
      </c>
      <c r="I18">
        <v>-0.65</v>
      </c>
      <c r="J18">
        <v>-1.58</v>
      </c>
      <c r="K18">
        <v>0.28000000000000003</v>
      </c>
      <c r="L18">
        <f t="shared" si="3"/>
        <v>0.47448979591836737</v>
      </c>
      <c r="M18">
        <f t="shared" si="4"/>
        <v>0.95522388059701491</v>
      </c>
      <c r="N18">
        <f t="shared" si="5"/>
        <v>-0.62089552238805967</v>
      </c>
      <c r="O18">
        <f t="shared" si="6"/>
        <v>0.45324398416082851</v>
      </c>
    </row>
    <row r="19" spans="1:15" x14ac:dyDescent="0.25">
      <c r="A19" t="s">
        <v>12</v>
      </c>
      <c r="B19">
        <v>2013</v>
      </c>
      <c r="C19">
        <v>3.93</v>
      </c>
      <c r="D19">
        <v>0.35</v>
      </c>
      <c r="E19">
        <v>8</v>
      </c>
      <c r="F19">
        <v>3.87</v>
      </c>
      <c r="G19">
        <v>0.35</v>
      </c>
      <c r="H19">
        <v>8</v>
      </c>
      <c r="I19">
        <v>0.16</v>
      </c>
      <c r="J19">
        <v>-0.82</v>
      </c>
      <c r="K19">
        <v>1.1399999999999999</v>
      </c>
      <c r="L19">
        <f t="shared" si="3"/>
        <v>0.5</v>
      </c>
      <c r="M19">
        <f t="shared" si="4"/>
        <v>0.94545454545454544</v>
      </c>
      <c r="N19">
        <f t="shared" si="5"/>
        <v>0.15127272727272728</v>
      </c>
      <c r="O19">
        <f t="shared" si="6"/>
        <v>0.47272727272727272</v>
      </c>
    </row>
    <row r="20" spans="1:15" x14ac:dyDescent="0.25">
      <c r="A20" t="s">
        <v>13</v>
      </c>
      <c r="B20">
        <v>2013</v>
      </c>
      <c r="C20">
        <v>202</v>
      </c>
      <c r="D20">
        <v>34.86</v>
      </c>
      <c r="E20">
        <v>15</v>
      </c>
      <c r="F20">
        <v>175</v>
      </c>
      <c r="G20">
        <v>46.48</v>
      </c>
      <c r="H20">
        <v>15</v>
      </c>
      <c r="I20">
        <v>0.64</v>
      </c>
      <c r="J20">
        <v>-0.1</v>
      </c>
      <c r="K20">
        <v>1.38</v>
      </c>
      <c r="L20">
        <f t="shared" si="3"/>
        <v>0.37755102040816324</v>
      </c>
      <c r="M20">
        <f t="shared" si="4"/>
        <v>0.97297297297297303</v>
      </c>
      <c r="N20">
        <f t="shared" si="5"/>
        <v>0.62270270270270278</v>
      </c>
      <c r="O20">
        <f t="shared" si="6"/>
        <v>0.36734693877551022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2026-04-04T20:51:46Z</dcterms:modified>
</cp:coreProperties>
</file>