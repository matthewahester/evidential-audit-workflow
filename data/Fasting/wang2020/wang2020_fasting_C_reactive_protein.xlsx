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wang2020\"/>
    </mc:Choice>
  </mc:AlternateContent>
  <xr:revisionPtr revIDLastSave="0" documentId="13_ncr:1_{DFECFB3C-82B3-40F0-9661-C68810502001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L3" i="1"/>
  <c r="H4" i="1"/>
  <c r="I4" i="1" s="1"/>
  <c r="L4" i="1"/>
  <c r="H5" i="1"/>
  <c r="I5" i="1" s="1"/>
  <c r="L5" i="1"/>
  <c r="H6" i="1"/>
  <c r="K6" i="1" s="1"/>
  <c r="N6" i="1" s="1"/>
  <c r="I6" i="1"/>
  <c r="J6" i="1" s="1"/>
  <c r="M6" i="1" s="1"/>
  <c r="L6" i="1"/>
  <c r="H7" i="1"/>
  <c r="I7" i="1" s="1"/>
  <c r="L7" i="1"/>
  <c r="H8" i="1"/>
  <c r="I8" i="1" s="1"/>
  <c r="J8" i="1" s="1"/>
  <c r="M8" i="1" s="1"/>
  <c r="L8" i="1"/>
  <c r="H9" i="1"/>
  <c r="I9" i="1"/>
  <c r="J9" i="1" s="1"/>
  <c r="M9" i="1" s="1"/>
  <c r="L9" i="1"/>
  <c r="H10" i="1"/>
  <c r="I10" i="1" s="1"/>
  <c r="L10" i="1"/>
  <c r="H11" i="1"/>
  <c r="I11" i="1"/>
  <c r="J11" i="1"/>
  <c r="M11" i="1" s="1"/>
  <c r="K11" i="1"/>
  <c r="N11" i="1" s="1"/>
  <c r="L11" i="1"/>
  <c r="H12" i="1"/>
  <c r="I12" i="1"/>
  <c r="J12" i="1" s="1"/>
  <c r="M12" i="1" s="1"/>
  <c r="L12" i="1"/>
  <c r="H13" i="1"/>
  <c r="K13" i="1" s="1"/>
  <c r="N13" i="1" s="1"/>
  <c r="I13" i="1"/>
  <c r="J13" i="1" s="1"/>
  <c r="M13" i="1" s="1"/>
  <c r="L13" i="1"/>
  <c r="H14" i="1"/>
  <c r="I14" i="1"/>
  <c r="J14" i="1"/>
  <c r="K14" i="1"/>
  <c r="L14" i="1"/>
  <c r="M14" i="1"/>
  <c r="N14" i="1"/>
  <c r="H15" i="1"/>
  <c r="I15" i="1"/>
  <c r="J15" i="1" s="1"/>
  <c r="M15" i="1" s="1"/>
  <c r="L15" i="1"/>
  <c r="H16" i="1"/>
  <c r="I16" i="1"/>
  <c r="J16" i="1" s="1"/>
  <c r="M16" i="1" s="1"/>
  <c r="K16" i="1"/>
  <c r="N16" i="1" s="1"/>
  <c r="L16" i="1"/>
  <c r="H17" i="1"/>
  <c r="I17" i="1" s="1"/>
  <c r="L17" i="1"/>
  <c r="H18" i="1"/>
  <c r="K18" i="1" s="1"/>
  <c r="N18" i="1" s="1"/>
  <c r="I18" i="1"/>
  <c r="J18" i="1"/>
  <c r="M18" i="1" s="1"/>
  <c r="L18" i="1"/>
  <c r="H19" i="1"/>
  <c r="I19" i="1" s="1"/>
  <c r="L19" i="1"/>
  <c r="N2" i="1"/>
  <c r="M2" i="1"/>
  <c r="L2" i="1"/>
  <c r="K2" i="1"/>
  <c r="J2" i="1"/>
  <c r="I2" i="1"/>
  <c r="H2" i="1"/>
  <c r="K7" i="1" l="1"/>
  <c r="N7" i="1" s="1"/>
  <c r="J7" i="1"/>
  <c r="M7" i="1" s="1"/>
  <c r="J10" i="1"/>
  <c r="M10" i="1" s="1"/>
  <c r="K10" i="1"/>
  <c r="N10" i="1" s="1"/>
  <c r="K4" i="1"/>
  <c r="N4" i="1" s="1"/>
  <c r="J4" i="1"/>
  <c r="M4" i="1" s="1"/>
  <c r="J17" i="1"/>
  <c r="M17" i="1" s="1"/>
  <c r="K17" i="1"/>
  <c r="N17" i="1" s="1"/>
  <c r="J19" i="1"/>
  <c r="M19" i="1" s="1"/>
  <c r="K19" i="1"/>
  <c r="N19" i="1" s="1"/>
  <c r="J5" i="1"/>
  <c r="M5" i="1" s="1"/>
  <c r="K5" i="1"/>
  <c r="N5" i="1" s="1"/>
  <c r="J3" i="1"/>
  <c r="M3" i="1" s="1"/>
  <c r="K3" i="1"/>
  <c r="N3" i="1" s="1"/>
  <c r="K9" i="1"/>
  <c r="N9" i="1" s="1"/>
  <c r="K12" i="1"/>
  <c r="N12" i="1" s="1"/>
  <c r="K15" i="1"/>
  <c r="N15" i="1" s="1"/>
  <c r="K8" i="1"/>
  <c r="N8" i="1" s="1"/>
</calcChain>
</file>

<file path=xl/sharedStrings.xml><?xml version="1.0" encoding="utf-8"?>
<sst xmlns="http://schemas.openxmlformats.org/spreadsheetml/2006/main" count="32" uniqueCount="32">
  <si>
    <t>author</t>
  </si>
  <si>
    <t>year</t>
  </si>
  <si>
    <t>n_treat</t>
  </si>
  <si>
    <t>n_control</t>
  </si>
  <si>
    <t>wmd</t>
  </si>
  <si>
    <t>Cho et al. (a)</t>
  </si>
  <si>
    <t>Cho et al. (b)</t>
  </si>
  <si>
    <t>Izadi et al.</t>
  </si>
  <si>
    <t>Bowen et al.</t>
  </si>
  <si>
    <t>Trepanowski et al. (ADF)</t>
  </si>
  <si>
    <t>Trepanowski et al. (CR)</t>
  </si>
  <si>
    <t>Wei et al.</t>
  </si>
  <si>
    <t>Lee et al.</t>
  </si>
  <si>
    <t>Fernandes et al.</t>
  </si>
  <si>
    <t>Herpen et al.</t>
  </si>
  <si>
    <t>Horne et al.</t>
  </si>
  <si>
    <t>Bhutani et al. (a)</t>
  </si>
  <si>
    <t>Bhutani et al. (b)</t>
  </si>
  <si>
    <t>Abendroth et al.</t>
  </si>
  <si>
    <t>Ong et al.</t>
  </si>
  <si>
    <t>Mahon et al. (a)</t>
  </si>
  <si>
    <t>Mahon et al. (b)</t>
  </si>
  <si>
    <t>Mahon et al. (c)</t>
  </si>
  <si>
    <t>lCI_wmd</t>
  </si>
  <si>
    <t>uCI_wmd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</si>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</sst>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C7" sqref="C7"/>
    </sheetView>
  </sheetViews>
  <sheetFormatPr defaultColWidth="13.85546875" defaultRowHeight="15" x14ac:dyDescent="0.25"/>
  <cols>
    <col min="1" max="1" width="17.42578125" bestFit="1" customWidth="1"/>
    <col min="2" max="2" width="5" bestFit="1" customWidth="1"/>
    <col min="3" max="3" width="7.42578125" bestFit="1" customWidth="1"/>
    <col min="4" max="4" width="9.42578125" bestFit="1" customWidth="1"/>
    <col min="5" max="5" width="5.42578125" bestFit="1" customWidth="1"/>
    <col min="6" max="6" width="8.7109375" bestFit="1" customWidth="1"/>
    <col min="7" max="7" width="9.28515625" bestFit="1" customWidth="1"/>
    <col min="8" max="8" width="12" bestFit="1" customWidth="1"/>
    <col min="9" max="9" width="11" bestFit="1" customWidth="1"/>
    <col min="10" max="10" width="11.7109375" bestFit="1" customWidth="1"/>
    <col min="11" max="14" width="1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25">
      <c r="A2" s="2" t="s">
        <v>5</v>
      </c>
      <c r="B2" s="2">
        <v>2019</v>
      </c>
      <c r="C2" s="2">
        <v>8</v>
      </c>
      <c r="D2" s="2">
        <v>5</v>
      </c>
      <c r="E2" s="2">
        <v>-0.13</v>
      </c>
      <c r="F2" s="2">
        <v>-0.28000000000000003</v>
      </c>
      <c r="G2" s="2">
        <v>0.03</v>
      </c>
      <c r="H2">
        <f>(G2-F2)/2/1.96</f>
        <v>7.9081632653061243E-2</v>
      </c>
      <c r="I2">
        <f>H2/SQRT(1/C2+1/D2)</f>
        <v>0.13871836019651995</v>
      </c>
      <c r="J2">
        <f>E2/I2</f>
        <v>-0.93715063972664614</v>
      </c>
      <c r="K2">
        <f>H2/I2</f>
        <v>0.57008771254956903</v>
      </c>
      <c r="L2">
        <f>1-3/(4*(C2+D2-2)-1)</f>
        <v>0.93023255813953487</v>
      </c>
      <c r="M2">
        <f>-J2*L2</f>
        <v>0.8717680369550197</v>
      </c>
      <c r="N2">
        <f>K2*L2</f>
        <v>0.53031415120890146</v>
      </c>
    </row>
    <row r="3" spans="1:14" x14ac:dyDescent="0.25">
      <c r="A3" s="2" t="s">
        <v>6</v>
      </c>
      <c r="B3" s="2">
        <v>2019</v>
      </c>
      <c r="C3" s="2">
        <v>9</v>
      </c>
      <c r="D3" s="2">
        <v>9</v>
      </c>
      <c r="E3" s="2">
        <v>0.04</v>
      </c>
      <c r="F3" s="2">
        <v>-0.08</v>
      </c>
      <c r="G3" s="2">
        <v>0.16</v>
      </c>
      <c r="H3">
        <f t="shared" ref="H3:H19" si="0">(G3-F3)/2/1.96</f>
        <v>6.1224489795918366E-2</v>
      </c>
      <c r="I3">
        <f t="shared" ref="I3:I19" si="1">H3/SQRT(1/C3+1/D3)</f>
        <v>0.12987675572814139</v>
      </c>
      <c r="J3">
        <f t="shared" ref="J3:J19" si="2">E3/I3</f>
        <v>0.30798428691680735</v>
      </c>
      <c r="K3">
        <f t="shared" ref="K3:K19" si="3">H3/I3</f>
        <v>0.47140452079103162</v>
      </c>
      <c r="L3">
        <f t="shared" ref="L3:L19" si="4">1-3/(4*(C3+D3-2)-1)</f>
        <v>0.95238095238095233</v>
      </c>
      <c r="M3">
        <f t="shared" ref="M3:M19" si="5">-J3*L3</f>
        <v>-0.29331836849219745</v>
      </c>
      <c r="N3">
        <f t="shared" ref="N3:N19" si="6">K3*L3</f>
        <v>0.44895668646764914</v>
      </c>
    </row>
    <row r="4" spans="1:14" x14ac:dyDescent="0.25">
      <c r="A4" s="2" t="s">
        <v>7</v>
      </c>
      <c r="B4" s="2">
        <v>2018</v>
      </c>
      <c r="C4" s="2">
        <v>30</v>
      </c>
      <c r="D4" s="2">
        <v>30</v>
      </c>
      <c r="E4" s="2">
        <v>-0.35</v>
      </c>
      <c r="F4" s="2">
        <v>-0.94</v>
      </c>
      <c r="G4" s="2">
        <v>0.24</v>
      </c>
      <c r="H4">
        <f t="shared" si="0"/>
        <v>0.30102040816326531</v>
      </c>
      <c r="I4">
        <f t="shared" si="1"/>
        <v>1.1658470276848858</v>
      </c>
      <c r="J4">
        <f t="shared" si="2"/>
        <v>-0.30021091248568221</v>
      </c>
      <c r="K4">
        <f t="shared" si="3"/>
        <v>0.2581988897471611</v>
      </c>
      <c r="L4">
        <f t="shared" si="4"/>
        <v>0.98701298701298701</v>
      </c>
      <c r="M4">
        <f t="shared" si="5"/>
        <v>0.29631206946638766</v>
      </c>
      <c r="N4">
        <f t="shared" si="6"/>
        <v>0.25484565741278237</v>
      </c>
    </row>
    <row r="5" spans="1:14" x14ac:dyDescent="0.25">
      <c r="A5" s="2" t="s">
        <v>8</v>
      </c>
      <c r="B5" s="2">
        <v>2018</v>
      </c>
      <c r="C5" s="2">
        <v>67</v>
      </c>
      <c r="D5" s="2">
        <v>68</v>
      </c>
      <c r="E5" s="2">
        <v>-0.04</v>
      </c>
      <c r="F5" s="2">
        <v>-0.06</v>
      </c>
      <c r="G5" s="2">
        <v>-0.02</v>
      </c>
      <c r="H5">
        <f t="shared" si="0"/>
        <v>1.020408163265306E-2</v>
      </c>
      <c r="I5">
        <f t="shared" si="1"/>
        <v>5.9278730970347408E-2</v>
      </c>
      <c r="J5">
        <f t="shared" si="2"/>
        <v>-0.67477827789547196</v>
      </c>
      <c r="K5">
        <f t="shared" si="3"/>
        <v>0.17213731578966118</v>
      </c>
      <c r="L5">
        <f t="shared" si="4"/>
        <v>0.99435028248587576</v>
      </c>
      <c r="M5">
        <f t="shared" si="5"/>
        <v>0.67096597124069535</v>
      </c>
      <c r="N5">
        <f t="shared" si="6"/>
        <v>0.17116478858181</v>
      </c>
    </row>
    <row r="6" spans="1:14" ht="30" x14ac:dyDescent="0.25">
      <c r="A6" s="2" t="s">
        <v>9</v>
      </c>
      <c r="B6" s="2">
        <v>2017</v>
      </c>
      <c r="C6" s="2">
        <v>25</v>
      </c>
      <c r="D6" s="2">
        <v>25</v>
      </c>
      <c r="E6" s="2">
        <v>-0.03</v>
      </c>
      <c r="F6" s="2">
        <v>-7.0000000000000007E-2</v>
      </c>
      <c r="G6" s="2">
        <v>0.01</v>
      </c>
      <c r="H6">
        <f t="shared" si="0"/>
        <v>2.0408163265306124E-2</v>
      </c>
      <c r="I6">
        <f t="shared" si="1"/>
        <v>7.2153753182300773E-2</v>
      </c>
      <c r="J6">
        <f t="shared" si="2"/>
        <v>-0.41577878733768991</v>
      </c>
      <c r="K6">
        <f t="shared" si="3"/>
        <v>0.28284271247461901</v>
      </c>
      <c r="L6">
        <f t="shared" si="4"/>
        <v>0.98429319371727753</v>
      </c>
      <c r="M6">
        <f t="shared" si="5"/>
        <v>0.40924823046851155</v>
      </c>
      <c r="N6">
        <f t="shared" si="6"/>
        <v>0.27840015678130037</v>
      </c>
    </row>
    <row r="7" spans="1:14" ht="30" x14ac:dyDescent="0.25">
      <c r="A7" s="2" t="s">
        <v>10</v>
      </c>
      <c r="B7" s="2">
        <v>2017</v>
      </c>
      <c r="C7" s="2">
        <v>29</v>
      </c>
      <c r="D7" s="2">
        <v>25</v>
      </c>
      <c r="E7" s="2">
        <v>0</v>
      </c>
      <c r="F7" s="2">
        <v>-0.04</v>
      </c>
      <c r="G7" s="2">
        <v>0.04</v>
      </c>
      <c r="H7">
        <f t="shared" si="0"/>
        <v>2.0408163265306124E-2</v>
      </c>
      <c r="I7">
        <f t="shared" si="1"/>
        <v>7.4778378448259186E-2</v>
      </c>
      <c r="J7">
        <f t="shared" si="2"/>
        <v>0</v>
      </c>
      <c r="K7">
        <f t="shared" si="3"/>
        <v>0.27291529568840522</v>
      </c>
      <c r="L7">
        <f t="shared" si="4"/>
        <v>0.98550724637681164</v>
      </c>
      <c r="M7">
        <f t="shared" si="5"/>
        <v>0</v>
      </c>
      <c r="N7">
        <f t="shared" si="6"/>
        <v>0.26896000154799354</v>
      </c>
    </row>
    <row r="8" spans="1:14" x14ac:dyDescent="0.25">
      <c r="A8" s="2" t="s">
        <v>11</v>
      </c>
      <c r="B8" s="2">
        <v>2017</v>
      </c>
      <c r="C8" s="2">
        <v>30</v>
      </c>
      <c r="D8" s="2">
        <v>37</v>
      </c>
      <c r="E8" s="2">
        <v>-0.05</v>
      </c>
      <c r="F8" s="2">
        <v>-0.14000000000000001</v>
      </c>
      <c r="G8" s="2">
        <v>0.04</v>
      </c>
      <c r="H8">
        <f t="shared" si="0"/>
        <v>4.5918367346938785E-2</v>
      </c>
      <c r="I8">
        <f t="shared" si="1"/>
        <v>0.18690052707444824</v>
      </c>
      <c r="J8">
        <f t="shared" si="2"/>
        <v>-0.26752198499731072</v>
      </c>
      <c r="K8">
        <f t="shared" si="3"/>
        <v>0.24568345560977517</v>
      </c>
      <c r="L8">
        <f t="shared" si="4"/>
        <v>0.98841698841698844</v>
      </c>
      <c r="M8">
        <f t="shared" si="5"/>
        <v>0.26442327474637661</v>
      </c>
      <c r="N8">
        <f t="shared" si="6"/>
        <v>0.24283770129769283</v>
      </c>
    </row>
    <row r="9" spans="1:14" x14ac:dyDescent="0.25">
      <c r="A9" s="2" t="s">
        <v>12</v>
      </c>
      <c r="B9" s="2">
        <v>2017</v>
      </c>
      <c r="C9" s="2">
        <v>30</v>
      </c>
      <c r="D9" s="2">
        <v>30</v>
      </c>
      <c r="E9" s="2">
        <v>-2.2999999999999998</v>
      </c>
      <c r="F9" s="2">
        <v>-7.87</v>
      </c>
      <c r="G9" s="2">
        <v>3.27</v>
      </c>
      <c r="H9">
        <f t="shared" si="0"/>
        <v>2.8418367346938775</v>
      </c>
      <c r="I9">
        <f t="shared" si="1"/>
        <v>11.006386346109855</v>
      </c>
      <c r="J9">
        <f t="shared" si="2"/>
        <v>-0.20896958617238817</v>
      </c>
      <c r="K9">
        <f t="shared" si="3"/>
        <v>0.2581988897471611</v>
      </c>
      <c r="L9">
        <f t="shared" si="4"/>
        <v>0.98701298701298701</v>
      </c>
      <c r="M9">
        <f t="shared" si="5"/>
        <v>0.20625569544287664</v>
      </c>
      <c r="N9">
        <f t="shared" si="6"/>
        <v>0.25484565741278237</v>
      </c>
    </row>
    <row r="10" spans="1:14" x14ac:dyDescent="0.25">
      <c r="A10" s="2" t="s">
        <v>13</v>
      </c>
      <c r="B10" s="2">
        <v>2015</v>
      </c>
      <c r="C10" s="2">
        <v>11</v>
      </c>
      <c r="D10" s="2">
        <v>10</v>
      </c>
      <c r="E10" s="2">
        <v>-0.27</v>
      </c>
      <c r="F10" s="2">
        <v>-0.65</v>
      </c>
      <c r="G10" s="2">
        <v>0.11</v>
      </c>
      <c r="H10">
        <f t="shared" si="0"/>
        <v>0.19387755102040816</v>
      </c>
      <c r="I10">
        <f t="shared" si="1"/>
        <v>0.44372532939409209</v>
      </c>
      <c r="J10">
        <f t="shared" si="2"/>
        <v>-0.60848453336816632</v>
      </c>
      <c r="K10">
        <f t="shared" si="3"/>
        <v>0.4369314487526515</v>
      </c>
      <c r="L10">
        <f t="shared" si="4"/>
        <v>0.96</v>
      </c>
      <c r="M10">
        <f t="shared" si="5"/>
        <v>0.58414515203343964</v>
      </c>
      <c r="N10">
        <f t="shared" si="6"/>
        <v>0.41945419080254542</v>
      </c>
    </row>
    <row r="11" spans="1:14" x14ac:dyDescent="0.25">
      <c r="A11" s="2" t="s">
        <v>14</v>
      </c>
      <c r="B11" s="2">
        <v>2013</v>
      </c>
      <c r="C11" s="2">
        <v>10</v>
      </c>
      <c r="D11" s="2">
        <v>10</v>
      </c>
      <c r="E11" s="2">
        <v>0.61</v>
      </c>
      <c r="F11" s="2">
        <v>-0.3</v>
      </c>
      <c r="G11" s="2">
        <v>1.52</v>
      </c>
      <c r="H11">
        <f t="shared" si="0"/>
        <v>0.4642857142857143</v>
      </c>
      <c r="I11">
        <f t="shared" si="1"/>
        <v>1.0381744181249024</v>
      </c>
      <c r="J11">
        <f t="shared" si="2"/>
        <v>0.58756986239532927</v>
      </c>
      <c r="K11">
        <f t="shared" si="3"/>
        <v>0.44721359549995793</v>
      </c>
      <c r="L11">
        <f t="shared" si="4"/>
        <v>0.95774647887323949</v>
      </c>
      <c r="M11">
        <f t="shared" si="5"/>
        <v>-0.56274296680116043</v>
      </c>
      <c r="N11">
        <f t="shared" si="6"/>
        <v>0.42831724639432595</v>
      </c>
    </row>
    <row r="12" spans="1:14" x14ac:dyDescent="0.25">
      <c r="A12" s="2" t="s">
        <v>15</v>
      </c>
      <c r="B12" s="2">
        <v>2013</v>
      </c>
      <c r="C12" s="2">
        <v>30</v>
      </c>
      <c r="D12" s="2">
        <v>30</v>
      </c>
      <c r="E12" s="2">
        <v>0.01</v>
      </c>
      <c r="F12" s="2">
        <v>-0.09</v>
      </c>
      <c r="G12" s="2">
        <v>0.11</v>
      </c>
      <c r="H12">
        <f t="shared" si="0"/>
        <v>5.1020408163265307E-2</v>
      </c>
      <c r="I12">
        <f t="shared" si="1"/>
        <v>0.19760119113303151</v>
      </c>
      <c r="J12">
        <f t="shared" si="2"/>
        <v>5.0606982390443575E-2</v>
      </c>
      <c r="K12">
        <f t="shared" si="3"/>
        <v>0.2581988897471611</v>
      </c>
      <c r="L12">
        <f t="shared" si="4"/>
        <v>0.98701298701298701</v>
      </c>
      <c r="M12">
        <f t="shared" si="5"/>
        <v>-4.9949748852905346E-2</v>
      </c>
      <c r="N12">
        <f t="shared" si="6"/>
        <v>0.25484565741278237</v>
      </c>
    </row>
    <row r="13" spans="1:14" x14ac:dyDescent="0.25">
      <c r="A13" s="2" t="s">
        <v>16</v>
      </c>
      <c r="B13" s="2">
        <v>2013</v>
      </c>
      <c r="C13" s="2">
        <v>16</v>
      </c>
      <c r="D13" s="2">
        <v>16</v>
      </c>
      <c r="E13" s="2">
        <v>0</v>
      </c>
      <c r="F13" s="2">
        <v>-54.35</v>
      </c>
      <c r="G13" s="2">
        <v>54.35</v>
      </c>
      <c r="H13">
        <f t="shared" si="0"/>
        <v>27.729591836734695</v>
      </c>
      <c r="I13">
        <f t="shared" si="1"/>
        <v>78.431129709160928</v>
      </c>
      <c r="J13">
        <f t="shared" si="2"/>
        <v>0</v>
      </c>
      <c r="K13">
        <f t="shared" si="3"/>
        <v>0.35355339059327379</v>
      </c>
      <c r="L13">
        <f t="shared" si="4"/>
        <v>0.97478991596638653</v>
      </c>
      <c r="M13">
        <f t="shared" si="5"/>
        <v>0</v>
      </c>
      <c r="N13">
        <f t="shared" si="6"/>
        <v>0.3446402799060484</v>
      </c>
    </row>
    <row r="14" spans="1:14" x14ac:dyDescent="0.25">
      <c r="A14" s="2" t="s">
        <v>17</v>
      </c>
      <c r="B14" s="2">
        <v>2013</v>
      </c>
      <c r="C14" s="2">
        <v>16</v>
      </c>
      <c r="D14" s="2">
        <v>16</v>
      </c>
      <c r="E14" s="2">
        <v>0</v>
      </c>
      <c r="F14" s="2">
        <v>-68.599999999999994</v>
      </c>
      <c r="G14" s="2">
        <v>68.599999999999994</v>
      </c>
      <c r="H14">
        <f t="shared" si="0"/>
        <v>35</v>
      </c>
      <c r="I14">
        <f t="shared" si="1"/>
        <v>98.994949366116643</v>
      </c>
      <c r="J14">
        <f t="shared" si="2"/>
        <v>0</v>
      </c>
      <c r="K14">
        <f t="shared" si="3"/>
        <v>0.35355339059327379</v>
      </c>
      <c r="L14">
        <f t="shared" si="4"/>
        <v>0.97478991596638653</v>
      </c>
      <c r="M14">
        <f t="shared" si="5"/>
        <v>0</v>
      </c>
      <c r="N14">
        <f t="shared" si="6"/>
        <v>0.3446402799060484</v>
      </c>
    </row>
    <row r="15" spans="1:14" x14ac:dyDescent="0.25">
      <c r="A15" s="2" t="s">
        <v>18</v>
      </c>
      <c r="B15" s="2">
        <v>2010</v>
      </c>
      <c r="C15" s="2">
        <v>22</v>
      </c>
      <c r="D15" s="2">
        <v>28</v>
      </c>
      <c r="E15" s="2">
        <v>0.3</v>
      </c>
      <c r="F15" s="2">
        <v>0.01</v>
      </c>
      <c r="G15" s="2">
        <v>0.59</v>
      </c>
      <c r="H15">
        <f t="shared" si="0"/>
        <v>0.14795918367346939</v>
      </c>
      <c r="I15">
        <f t="shared" si="1"/>
        <v>0.51933462700892152</v>
      </c>
      <c r="J15">
        <f t="shared" si="2"/>
        <v>0.57766223239885439</v>
      </c>
      <c r="K15">
        <f t="shared" si="3"/>
        <v>0.28490144114909488</v>
      </c>
      <c r="L15">
        <f t="shared" si="4"/>
        <v>0.98429319371727753</v>
      </c>
      <c r="M15">
        <f t="shared" si="5"/>
        <v>-0.56858900361772058</v>
      </c>
      <c r="N15">
        <f t="shared" si="6"/>
        <v>0.28042654940329759</v>
      </c>
    </row>
    <row r="16" spans="1:14" x14ac:dyDescent="0.25">
      <c r="A16" s="2" t="s">
        <v>19</v>
      </c>
      <c r="B16" s="2">
        <v>2009</v>
      </c>
      <c r="C16" s="2">
        <v>10</v>
      </c>
      <c r="D16" s="2">
        <v>9</v>
      </c>
      <c r="E16" s="2">
        <v>0.02</v>
      </c>
      <c r="F16" s="2">
        <v>-0.2</v>
      </c>
      <c r="G16" s="2">
        <v>0.24</v>
      </c>
      <c r="H16">
        <f t="shared" si="0"/>
        <v>0.11224489795918367</v>
      </c>
      <c r="I16">
        <f t="shared" si="1"/>
        <v>0.2442930229962284</v>
      </c>
      <c r="J16">
        <f t="shared" si="2"/>
        <v>8.1868895618475268E-2</v>
      </c>
      <c r="K16">
        <f t="shared" si="3"/>
        <v>0.45946829173634074</v>
      </c>
      <c r="L16">
        <f t="shared" si="4"/>
        <v>0.95522388059701491</v>
      </c>
      <c r="M16">
        <f t="shared" si="5"/>
        <v>-7.8203124172871896E-2</v>
      </c>
      <c r="N16">
        <f t="shared" si="6"/>
        <v>0.43889508464366878</v>
      </c>
    </row>
    <row r="17" spans="1:14" x14ac:dyDescent="0.25">
      <c r="A17" s="2" t="s">
        <v>20</v>
      </c>
      <c r="B17" s="2">
        <v>2007</v>
      </c>
      <c r="C17" s="2">
        <v>14</v>
      </c>
      <c r="D17" s="2">
        <v>11</v>
      </c>
      <c r="E17" s="2">
        <v>0.03</v>
      </c>
      <c r="F17" s="2">
        <v>-7.0000000000000007E-2</v>
      </c>
      <c r="G17" s="2">
        <v>0.13</v>
      </c>
      <c r="H17">
        <f t="shared" si="0"/>
        <v>5.1020408163265307E-2</v>
      </c>
      <c r="I17">
        <f t="shared" si="1"/>
        <v>0.12662932291827406</v>
      </c>
      <c r="J17">
        <f t="shared" si="2"/>
        <v>0.23691195142346178</v>
      </c>
      <c r="K17">
        <f t="shared" si="3"/>
        <v>0.40291148201269011</v>
      </c>
      <c r="L17">
        <f t="shared" si="4"/>
        <v>0.96703296703296704</v>
      </c>
      <c r="M17">
        <f t="shared" si="5"/>
        <v>-0.22910166731060039</v>
      </c>
      <c r="N17">
        <f t="shared" si="6"/>
        <v>0.38962868590238164</v>
      </c>
    </row>
    <row r="18" spans="1:14" x14ac:dyDescent="0.25">
      <c r="A18" s="2" t="s">
        <v>21</v>
      </c>
      <c r="B18" s="2">
        <v>2007</v>
      </c>
      <c r="C18" s="2">
        <v>15</v>
      </c>
      <c r="D18" s="2">
        <v>11</v>
      </c>
      <c r="E18" s="2">
        <v>-0.01</v>
      </c>
      <c r="F18" s="2">
        <v>-0.13</v>
      </c>
      <c r="G18" s="2">
        <v>0.11</v>
      </c>
      <c r="H18">
        <f t="shared" si="0"/>
        <v>6.1224489795918366E-2</v>
      </c>
      <c r="I18">
        <f t="shared" si="1"/>
        <v>0.15423412458850372</v>
      </c>
      <c r="J18">
        <f t="shared" si="2"/>
        <v>-6.4836494690652779E-2</v>
      </c>
      <c r="K18">
        <f t="shared" si="3"/>
        <v>0.39695813075909864</v>
      </c>
      <c r="L18">
        <f t="shared" si="4"/>
        <v>0.96842105263157896</v>
      </c>
      <c r="M18">
        <f t="shared" si="5"/>
        <v>6.2789026437263751E-2</v>
      </c>
      <c r="N18">
        <f t="shared" si="6"/>
        <v>0.38442261084039026</v>
      </c>
    </row>
    <row r="19" spans="1:14" x14ac:dyDescent="0.25">
      <c r="A19" s="2" t="s">
        <v>22</v>
      </c>
      <c r="B19" s="2">
        <v>2007</v>
      </c>
      <c r="C19" s="2">
        <v>14</v>
      </c>
      <c r="D19" s="2">
        <v>11</v>
      </c>
      <c r="E19" s="2">
        <v>-0.03</v>
      </c>
      <c r="F19" s="2">
        <v>-0.25</v>
      </c>
      <c r="G19" s="2">
        <v>0.19</v>
      </c>
      <c r="H19">
        <f t="shared" si="0"/>
        <v>0.11224489795918367</v>
      </c>
      <c r="I19">
        <f t="shared" si="1"/>
        <v>0.27858451042020288</v>
      </c>
      <c r="J19">
        <f t="shared" si="2"/>
        <v>-0.1076872506470281</v>
      </c>
      <c r="K19">
        <f t="shared" si="3"/>
        <v>0.40291148201269017</v>
      </c>
      <c r="L19">
        <f t="shared" si="4"/>
        <v>0.96703296703296704</v>
      </c>
      <c r="M19">
        <f t="shared" si="5"/>
        <v>0.10413712150481838</v>
      </c>
      <c r="N19">
        <f t="shared" si="6"/>
        <v>0.3896286859023817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2026-04-25T19:47:27Z</dcterms:modified>
</cp:coreProperties>
</file>