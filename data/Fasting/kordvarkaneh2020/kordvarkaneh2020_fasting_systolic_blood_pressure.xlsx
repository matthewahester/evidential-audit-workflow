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kordvarkaneh2020\"/>
    </mc:Choice>
  </mc:AlternateContent>
  <xr:revisionPtr revIDLastSave="0" documentId="13_ncr:1_{7F93F2B4-42E8-4195-BE8A-FB22CA172D25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H2" i="1" l="1"/>
  <c r="J14" i="1"/>
  <c r="M14" i="1" s="1"/>
  <c r="H3" i="1"/>
  <c r="L3" i="1"/>
  <c r="H4" i="1"/>
  <c r="J4" i="1"/>
  <c r="M4" i="1" s="1"/>
  <c r="L4" i="1"/>
  <c r="H5" i="1"/>
  <c r="L5" i="1"/>
  <c r="H6" i="1"/>
  <c r="L6" i="1"/>
  <c r="H7" i="1"/>
  <c r="J7" i="1"/>
  <c r="M7" i="1" s="1"/>
  <c r="K7" i="1"/>
  <c r="L7" i="1"/>
  <c r="H8" i="1"/>
  <c r="J8" i="1" s="1"/>
  <c r="M8" i="1" s="1"/>
  <c r="L8" i="1"/>
  <c r="H9" i="1"/>
  <c r="J9" i="1"/>
  <c r="M9" i="1" s="1"/>
  <c r="K9" i="1"/>
  <c r="N9" i="1" s="1"/>
  <c r="L9" i="1"/>
  <c r="H10" i="1"/>
  <c r="J10" i="1"/>
  <c r="M10" i="1" s="1"/>
  <c r="L10" i="1"/>
  <c r="H11" i="1"/>
  <c r="J11" i="1"/>
  <c r="M11" i="1" s="1"/>
  <c r="K11" i="1"/>
  <c r="N11" i="1" s="1"/>
  <c r="L11" i="1"/>
  <c r="H12" i="1"/>
  <c r="L12" i="1"/>
  <c r="H13" i="1"/>
  <c r="K13" i="1" s="1"/>
  <c r="N13" i="1" s="1"/>
  <c r="J13" i="1"/>
  <c r="M13" i="1" s="1"/>
  <c r="L13" i="1"/>
  <c r="H14" i="1"/>
  <c r="K14" i="1"/>
  <c r="N14" i="1" s="1"/>
  <c r="L14" i="1"/>
  <c r="H15" i="1"/>
  <c r="L15" i="1"/>
  <c r="H16" i="1"/>
  <c r="J16" i="1"/>
  <c r="M16" i="1" s="1"/>
  <c r="K16" i="1"/>
  <c r="N16" i="1" s="1"/>
  <c r="L16" i="1"/>
  <c r="H17" i="1"/>
  <c r="J17" i="1"/>
  <c r="M17" i="1" s="1"/>
  <c r="K17" i="1"/>
  <c r="N17" i="1" s="1"/>
  <c r="L17" i="1"/>
  <c r="H18" i="1"/>
  <c r="K18" i="1" s="1"/>
  <c r="N18" i="1" s="1"/>
  <c r="J18" i="1"/>
  <c r="M18" i="1" s="1"/>
  <c r="L18" i="1"/>
  <c r="H19" i="1"/>
  <c r="J19" i="1"/>
  <c r="K19" i="1"/>
  <c r="L19" i="1"/>
  <c r="M19" i="1"/>
  <c r="N19" i="1"/>
  <c r="H20" i="1"/>
  <c r="J20" i="1" s="1"/>
  <c r="M20" i="1" s="1"/>
  <c r="L20" i="1"/>
  <c r="H21" i="1"/>
  <c r="J21" i="1"/>
  <c r="M21" i="1" s="1"/>
  <c r="K21" i="1"/>
  <c r="N21" i="1" s="1"/>
  <c r="L21" i="1"/>
  <c r="H22" i="1"/>
  <c r="J22" i="1"/>
  <c r="M22" i="1" s="1"/>
  <c r="L22" i="1"/>
  <c r="H23" i="1"/>
  <c r="J23" i="1"/>
  <c r="M23" i="1" s="1"/>
  <c r="K23" i="1"/>
  <c r="N23" i="1" s="1"/>
  <c r="L23" i="1"/>
  <c r="H24" i="1"/>
  <c r="L24" i="1"/>
  <c r="L2" i="1"/>
  <c r="K2" i="1"/>
  <c r="N2" i="1" s="1"/>
  <c r="J2" i="1"/>
  <c r="M2" i="1" s="1"/>
  <c r="N7" i="1" l="1"/>
  <c r="J24" i="1"/>
  <c r="M24" i="1" s="1"/>
  <c r="K24" i="1"/>
  <c r="N24" i="1" s="1"/>
  <c r="J15" i="1"/>
  <c r="M15" i="1" s="1"/>
  <c r="K15" i="1"/>
  <c r="N15" i="1" s="1"/>
  <c r="K12" i="1"/>
  <c r="N12" i="1" s="1"/>
  <c r="J12" i="1"/>
  <c r="M12" i="1" s="1"/>
  <c r="J5" i="1"/>
  <c r="M5" i="1" s="1"/>
  <c r="K5" i="1"/>
  <c r="N5" i="1" s="1"/>
  <c r="J3" i="1"/>
  <c r="M3" i="1" s="1"/>
  <c r="K3" i="1"/>
  <c r="N3" i="1" s="1"/>
  <c r="J6" i="1"/>
  <c r="M6" i="1" s="1"/>
  <c r="K4" i="1"/>
  <c r="N4" i="1" s="1"/>
  <c r="K22" i="1"/>
  <c r="N22" i="1" s="1"/>
  <c r="K10" i="1"/>
  <c r="N10" i="1" s="1"/>
  <c r="K20" i="1"/>
  <c r="N20" i="1" s="1"/>
  <c r="K8" i="1"/>
  <c r="N8" i="1" s="1"/>
  <c r="K6" i="1" l="1"/>
  <c r="N6" i="1" s="1"/>
</calcChain>
</file>

<file path=xl/sharedStrings.xml><?xml version="1.0" encoding="utf-8"?>
<sst xmlns="http://schemas.openxmlformats.org/spreadsheetml/2006/main" count="37" uniqueCount="37">
  <si>
    <t>author</t>
  </si>
  <si>
    <t>year</t>
  </si>
  <si>
    <t>wmd</t>
  </si>
  <si>
    <t>lCI</t>
  </si>
  <si>
    <t>uCI</t>
  </si>
  <si>
    <t>n_treat</t>
  </si>
  <si>
    <t>n_control</t>
  </si>
  <si>
    <t>Hirsh</t>
  </si>
  <si>
    <t>Kessler</t>
  </si>
  <si>
    <t>Izadi</t>
  </si>
  <si>
    <t>Bowen</t>
  </si>
  <si>
    <t>Astbury</t>
  </si>
  <si>
    <t>Trepanowski (ADF)</t>
  </si>
  <si>
    <t>Trepanowski (CR)</t>
  </si>
  <si>
    <t>Wei</t>
  </si>
  <si>
    <t>Li</t>
  </si>
  <si>
    <t>Lambert (a)</t>
  </si>
  <si>
    <t>Lambert (b)</t>
  </si>
  <si>
    <t>Venchiarutti (a)</t>
  </si>
  <si>
    <t>Venchiarutti (b)</t>
  </si>
  <si>
    <t>Harder-Lauridsen</t>
  </si>
  <si>
    <t>Zuo</t>
  </si>
  <si>
    <t>Lee</t>
  </si>
  <si>
    <t>Karimi</t>
  </si>
  <si>
    <t>Ismail</t>
  </si>
  <si>
    <t>Fernandes</t>
  </si>
  <si>
    <t>Varady</t>
  </si>
  <si>
    <t>Teng</t>
  </si>
  <si>
    <t>Bhutani (a)</t>
  </si>
  <si>
    <t>Bhutani (b)</t>
  </si>
  <si>
    <t>pooled_sd</t>
  </si>
  <si>
    <t>d</t>
  </si>
  <si>
    <t>se_d</t>
  </si>
  <si>
    <t>J</t>
  </si>
  <si>
    <t>g</t>
  </si>
  <si>
    <t>se_g</t>
  </si>
  <si>
    <t>se_wmd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</si>
</sst>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I11" sqref="I11"/>
    </sheetView>
  </sheetViews>
  <sheetFormatPr defaultRowHeight="15" x14ac:dyDescent="0.25"/>
  <cols>
    <col min="1" max="1" width="18" bestFit="1" customWidth="1"/>
    <col min="2" max="2" width="5" bestFit="1" customWidth="1"/>
    <col min="3" max="4" width="6.7109375" bestFit="1" customWidth="1"/>
    <col min="5" max="5" width="6" bestFit="1" customWidth="1"/>
    <col min="6" max="6" width="7.42578125" bestFit="1" customWidth="1"/>
    <col min="7" max="7" width="9.42578125" bestFit="1" customWidth="1"/>
    <col min="8" max="8" width="12" bestFit="1" customWidth="1"/>
    <col min="9" max="9" width="10.28515625" bestFit="1" customWidth="1"/>
    <col min="10" max="14" width="5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7</v>
      </c>
      <c r="B2">
        <v>2019</v>
      </c>
      <c r="C2">
        <v>0.3</v>
      </c>
      <c r="D2">
        <v>-9.6300000000000008</v>
      </c>
      <c r="E2">
        <v>10.23</v>
      </c>
      <c r="F2">
        <v>10</v>
      </c>
      <c r="G2">
        <v>12</v>
      </c>
      <c r="H2">
        <f>(E2-D2)/2/1.96</f>
        <v>5.0663265306122449</v>
      </c>
      <c r="I2">
        <f>H2/SQRT(1/F2+1/G2)</f>
        <v>11.832389564577433</v>
      </c>
      <c r="J2">
        <f>C2/I2</f>
        <v>2.5354134797768029E-2</v>
      </c>
      <c r="K2">
        <f>H2/I2</f>
        <v>0.42817441928883765</v>
      </c>
      <c r="L2">
        <f>1-3/(4*(F2+G2-2)-1)</f>
        <v>0.96202531645569622</v>
      </c>
      <c r="M2">
        <f>-J2*L2</f>
        <v>-2.4391319552283169E-2</v>
      </c>
      <c r="N2">
        <f>K2*L2</f>
        <v>0.411914631214578</v>
      </c>
    </row>
    <row r="3" spans="1:14" x14ac:dyDescent="0.25">
      <c r="A3" t="s">
        <v>8</v>
      </c>
      <c r="B3">
        <v>2018</v>
      </c>
      <c r="C3">
        <v>1.49</v>
      </c>
      <c r="D3">
        <v>-5.0999999999999996</v>
      </c>
      <c r="E3">
        <v>8.08</v>
      </c>
      <c r="F3">
        <v>20</v>
      </c>
      <c r="G3">
        <v>13</v>
      </c>
      <c r="H3">
        <f t="shared" ref="H3:H24" si="0">(E3-D3)/2/1.96</f>
        <v>3.3622448979591835</v>
      </c>
      <c r="I3">
        <f t="shared" ref="I3:I24" si="1">H3/SQRT(1/F3+1/G3)</f>
        <v>9.4375452573695746</v>
      </c>
      <c r="J3">
        <f t="shared" ref="J3:J24" si="2">C3/I3</f>
        <v>0.15788003759097116</v>
      </c>
      <c r="K3">
        <f t="shared" ref="K3:K24" si="3">H3/I3</f>
        <v>0.35626265159721265</v>
      </c>
      <c r="L3">
        <f t="shared" ref="L3:L24" si="4">1-3/(4*(F3+G3-2)-1)</f>
        <v>0.97560975609756095</v>
      </c>
      <c r="M3">
        <f t="shared" ref="M3:M24" si="5">-J3*L3</f>
        <v>-0.15402930496680112</v>
      </c>
      <c r="N3">
        <f t="shared" ref="N3:N24" si="6">K3*L3</f>
        <v>0.34757331863142699</v>
      </c>
    </row>
    <row r="4" spans="1:14" x14ac:dyDescent="0.25">
      <c r="A4" t="s">
        <v>9</v>
      </c>
      <c r="B4">
        <v>2018</v>
      </c>
      <c r="C4">
        <v>-0.45</v>
      </c>
      <c r="D4">
        <v>-0.5</v>
      </c>
      <c r="E4">
        <v>-0.4</v>
      </c>
      <c r="F4">
        <v>30</v>
      </c>
      <c r="G4">
        <v>30</v>
      </c>
      <c r="H4">
        <f t="shared" si="0"/>
        <v>2.5510204081632647E-2</v>
      </c>
      <c r="I4">
        <f t="shared" si="1"/>
        <v>9.8800595566515728E-2</v>
      </c>
      <c r="J4">
        <f t="shared" si="2"/>
        <v>-4.5546284151399226</v>
      </c>
      <c r="K4">
        <f t="shared" si="3"/>
        <v>0.2581988897471611</v>
      </c>
      <c r="L4">
        <f t="shared" si="4"/>
        <v>0.98701298701298701</v>
      </c>
      <c r="M4">
        <f t="shared" si="5"/>
        <v>4.4954773967614816</v>
      </c>
      <c r="N4">
        <f t="shared" si="6"/>
        <v>0.25484565741278237</v>
      </c>
    </row>
    <row r="5" spans="1:14" x14ac:dyDescent="0.25">
      <c r="A5" t="s">
        <v>10</v>
      </c>
      <c r="B5">
        <v>2018</v>
      </c>
      <c r="C5">
        <v>1.2</v>
      </c>
      <c r="D5">
        <v>-0.08</v>
      </c>
      <c r="E5">
        <v>2.48</v>
      </c>
      <c r="F5">
        <v>67</v>
      </c>
      <c r="G5">
        <v>68</v>
      </c>
      <c r="H5">
        <f t="shared" si="0"/>
        <v>0.65306122448979598</v>
      </c>
      <c r="I5">
        <f t="shared" si="1"/>
        <v>3.793838782102235</v>
      </c>
      <c r="J5">
        <f t="shared" si="2"/>
        <v>0.31630231776350237</v>
      </c>
      <c r="K5">
        <f t="shared" si="3"/>
        <v>0.17213731578966118</v>
      </c>
      <c r="L5">
        <f t="shared" si="4"/>
        <v>0.99435028248587576</v>
      </c>
      <c r="M5">
        <f t="shared" si="5"/>
        <v>-0.31451529901907582</v>
      </c>
      <c r="N5">
        <f t="shared" si="6"/>
        <v>0.17116478858181</v>
      </c>
    </row>
    <row r="6" spans="1:14" x14ac:dyDescent="0.25">
      <c r="A6" t="s">
        <v>11</v>
      </c>
      <c r="B6">
        <v>2018</v>
      </c>
      <c r="C6">
        <v>-4.5</v>
      </c>
      <c r="D6">
        <v>-8.9600000000000009</v>
      </c>
      <c r="E6">
        <v>-0.04</v>
      </c>
      <c r="F6">
        <v>100</v>
      </c>
      <c r="G6">
        <v>93</v>
      </c>
      <c r="H6">
        <f t="shared" si="0"/>
        <v>2.2755102040816331</v>
      </c>
      <c r="I6">
        <f t="shared" si="1"/>
        <v>15.795799304934361</v>
      </c>
      <c r="J6">
        <f t="shared" si="2"/>
        <v>-0.28488586826969053</v>
      </c>
      <c r="K6">
        <f t="shared" si="3"/>
        <v>0.14405793338807485</v>
      </c>
      <c r="L6">
        <f t="shared" si="4"/>
        <v>0.99606815203145482</v>
      </c>
      <c r="M6">
        <f t="shared" si="5"/>
        <v>0.28376574034726715</v>
      </c>
      <c r="N6">
        <f t="shared" si="6"/>
        <v>0.14349151949533012</v>
      </c>
    </row>
    <row r="7" spans="1:14" x14ac:dyDescent="0.25">
      <c r="A7" t="s">
        <v>12</v>
      </c>
      <c r="B7">
        <v>2017</v>
      </c>
      <c r="C7">
        <v>-3.9</v>
      </c>
      <c r="D7">
        <v>-6.18</v>
      </c>
      <c r="E7">
        <v>-1.62</v>
      </c>
      <c r="F7">
        <v>25</v>
      </c>
      <c r="G7">
        <v>25</v>
      </c>
      <c r="H7">
        <f t="shared" si="0"/>
        <v>1.1632653061224489</v>
      </c>
      <c r="I7">
        <f t="shared" si="1"/>
        <v>4.1127639313911439</v>
      </c>
      <c r="J7">
        <f t="shared" si="2"/>
        <v>-0.94826740971753842</v>
      </c>
      <c r="K7">
        <f t="shared" si="3"/>
        <v>0.28284271247461901</v>
      </c>
      <c r="L7">
        <f t="shared" si="4"/>
        <v>0.98429319371727753</v>
      </c>
      <c r="M7">
        <f t="shared" si="5"/>
        <v>0.93337315720888603</v>
      </c>
      <c r="N7">
        <f t="shared" si="6"/>
        <v>0.27840015678130037</v>
      </c>
    </row>
    <row r="8" spans="1:14" x14ac:dyDescent="0.25">
      <c r="A8" t="s">
        <v>13</v>
      </c>
      <c r="B8">
        <v>2017</v>
      </c>
      <c r="C8">
        <v>-4.7</v>
      </c>
      <c r="D8">
        <v>-6.9</v>
      </c>
      <c r="E8">
        <v>-2.5</v>
      </c>
      <c r="F8">
        <v>29</v>
      </c>
      <c r="G8">
        <v>25</v>
      </c>
      <c r="H8">
        <f t="shared" si="0"/>
        <v>1.1224489795918369</v>
      </c>
      <c r="I8">
        <f t="shared" si="1"/>
        <v>4.1128108146542557</v>
      </c>
      <c r="J8">
        <f t="shared" si="2"/>
        <v>-1.1427707744916311</v>
      </c>
      <c r="K8">
        <f t="shared" si="3"/>
        <v>0.27291529568840522</v>
      </c>
      <c r="L8">
        <f t="shared" si="4"/>
        <v>0.98550724637681164</v>
      </c>
      <c r="M8">
        <f t="shared" si="5"/>
        <v>1.1262088792091438</v>
      </c>
      <c r="N8">
        <f t="shared" si="6"/>
        <v>0.26896000154799354</v>
      </c>
    </row>
    <row r="9" spans="1:14" x14ac:dyDescent="0.25">
      <c r="A9" t="s">
        <v>14</v>
      </c>
      <c r="B9">
        <v>2017</v>
      </c>
      <c r="C9">
        <v>-3.8</v>
      </c>
      <c r="D9">
        <v>-6.95</v>
      </c>
      <c r="E9">
        <v>-0.65</v>
      </c>
      <c r="F9">
        <v>38</v>
      </c>
      <c r="G9">
        <v>43</v>
      </c>
      <c r="H9">
        <f t="shared" si="0"/>
        <v>1.6071428571428572</v>
      </c>
      <c r="I9">
        <f t="shared" si="1"/>
        <v>7.2183510469313346</v>
      </c>
      <c r="J9">
        <f t="shared" si="2"/>
        <v>-0.52643602053899219</v>
      </c>
      <c r="K9">
        <f t="shared" si="3"/>
        <v>0.22264681319788204</v>
      </c>
      <c r="L9">
        <f t="shared" si="4"/>
        <v>0.99047619047619051</v>
      </c>
      <c r="M9">
        <f t="shared" si="5"/>
        <v>0.52142234415290656</v>
      </c>
      <c r="N9">
        <f t="shared" si="6"/>
        <v>0.22052636735790221</v>
      </c>
    </row>
    <row r="10" spans="1:14" x14ac:dyDescent="0.25">
      <c r="A10" t="s">
        <v>15</v>
      </c>
      <c r="B10">
        <v>2017</v>
      </c>
      <c r="C10">
        <v>-14.3</v>
      </c>
      <c r="D10">
        <v>-25.08</v>
      </c>
      <c r="E10">
        <v>-3.52</v>
      </c>
      <c r="F10">
        <v>16</v>
      </c>
      <c r="G10">
        <v>16</v>
      </c>
      <c r="H10">
        <f t="shared" si="0"/>
        <v>5.5</v>
      </c>
      <c r="I10">
        <f t="shared" si="1"/>
        <v>15.556349186104045</v>
      </c>
      <c r="J10">
        <f t="shared" si="2"/>
        <v>-0.91923881554251186</v>
      </c>
      <c r="K10">
        <f t="shared" si="3"/>
        <v>0.35355339059327379</v>
      </c>
      <c r="L10">
        <f t="shared" si="4"/>
        <v>0.97478991596638653</v>
      </c>
      <c r="M10">
        <f t="shared" si="5"/>
        <v>0.89606472775572588</v>
      </c>
      <c r="N10">
        <f t="shared" si="6"/>
        <v>0.3446402799060484</v>
      </c>
    </row>
    <row r="11" spans="1:14" x14ac:dyDescent="0.25">
      <c r="A11" t="s">
        <v>16</v>
      </c>
      <c r="B11">
        <v>2017</v>
      </c>
      <c r="C11">
        <v>-12.01</v>
      </c>
      <c r="D11">
        <v>-24.53</v>
      </c>
      <c r="E11">
        <v>0.51</v>
      </c>
      <c r="F11">
        <v>10</v>
      </c>
      <c r="G11">
        <v>6</v>
      </c>
      <c r="H11">
        <f t="shared" si="0"/>
        <v>6.387755102040817</v>
      </c>
      <c r="I11">
        <f t="shared" si="1"/>
        <v>12.369834564927773</v>
      </c>
      <c r="J11">
        <f t="shared" si="2"/>
        <v>-0.97091031710739184</v>
      </c>
      <c r="K11">
        <f t="shared" si="3"/>
        <v>0.5163977794943222</v>
      </c>
      <c r="L11">
        <f t="shared" si="4"/>
        <v>0.94545454545454544</v>
      </c>
      <c r="M11">
        <f t="shared" si="5"/>
        <v>0.91795157253789772</v>
      </c>
      <c r="N11">
        <f t="shared" si="6"/>
        <v>0.488230627885541</v>
      </c>
    </row>
    <row r="12" spans="1:14" x14ac:dyDescent="0.25">
      <c r="A12" t="s">
        <v>17</v>
      </c>
      <c r="B12">
        <v>2017</v>
      </c>
      <c r="C12">
        <v>-1</v>
      </c>
      <c r="D12">
        <v>-12.59</v>
      </c>
      <c r="E12">
        <v>10.59</v>
      </c>
      <c r="F12">
        <v>11</v>
      </c>
      <c r="G12">
        <v>10</v>
      </c>
      <c r="H12">
        <f t="shared" si="0"/>
        <v>5.9132653061224492</v>
      </c>
      <c r="I12">
        <f t="shared" si="1"/>
        <v>13.53362254651981</v>
      </c>
      <c r="J12">
        <f t="shared" si="2"/>
        <v>-7.3890046553511377E-2</v>
      </c>
      <c r="K12">
        <f t="shared" si="3"/>
        <v>0.4369314487526515</v>
      </c>
      <c r="L12">
        <f t="shared" si="4"/>
        <v>0.96</v>
      </c>
      <c r="M12">
        <f t="shared" si="5"/>
        <v>7.0934444691370918E-2</v>
      </c>
      <c r="N12">
        <f t="shared" si="6"/>
        <v>0.41945419080254542</v>
      </c>
    </row>
    <row r="13" spans="1:14" x14ac:dyDescent="0.25">
      <c r="A13" t="s">
        <v>18</v>
      </c>
      <c r="B13">
        <v>2017</v>
      </c>
      <c r="C13">
        <v>-0.09</v>
      </c>
      <c r="D13">
        <v>-0.4</v>
      </c>
      <c r="E13">
        <v>0.22</v>
      </c>
      <c r="F13">
        <v>14</v>
      </c>
      <c r="G13">
        <v>85</v>
      </c>
      <c r="H13">
        <f t="shared" si="0"/>
        <v>0.15816326530612246</v>
      </c>
      <c r="I13">
        <f t="shared" si="1"/>
        <v>0.54835461878029801</v>
      </c>
      <c r="J13">
        <f t="shared" si="2"/>
        <v>-0.16412736743275086</v>
      </c>
      <c r="K13">
        <f t="shared" si="3"/>
        <v>0.28843244843624022</v>
      </c>
      <c r="L13">
        <f t="shared" si="4"/>
        <v>0.99224806201550386</v>
      </c>
      <c r="M13">
        <f t="shared" si="5"/>
        <v>0.16285506225885357</v>
      </c>
      <c r="N13">
        <f t="shared" si="6"/>
        <v>0.28619653798324612</v>
      </c>
    </row>
    <row r="14" spans="1:14" x14ac:dyDescent="0.25">
      <c r="A14" t="s">
        <v>19</v>
      </c>
      <c r="B14">
        <v>2017</v>
      </c>
      <c r="C14">
        <v>-1.34</v>
      </c>
      <c r="D14">
        <v>-1.58</v>
      </c>
      <c r="E14">
        <v>-1.1000000000000001</v>
      </c>
      <c r="F14">
        <v>22</v>
      </c>
      <c r="G14">
        <v>155</v>
      </c>
      <c r="H14">
        <f t="shared" si="0"/>
        <v>0.12244897959183673</v>
      </c>
      <c r="I14">
        <f t="shared" si="1"/>
        <v>0.53745947883790335</v>
      </c>
      <c r="J14">
        <f t="shared" si="2"/>
        <v>-2.4932112145409593</v>
      </c>
      <c r="K14">
        <f t="shared" si="3"/>
        <v>0.22782923069213762</v>
      </c>
      <c r="L14">
        <f t="shared" si="4"/>
        <v>0.99570815450643779</v>
      </c>
      <c r="M14">
        <f t="shared" si="5"/>
        <v>2.4825107372253328</v>
      </c>
      <c r="N14">
        <f t="shared" si="6"/>
        <v>0.22685142283508983</v>
      </c>
    </row>
    <row r="15" spans="1:14" x14ac:dyDescent="0.25">
      <c r="A15" t="s">
        <v>20</v>
      </c>
      <c r="B15">
        <v>2017</v>
      </c>
      <c r="C15">
        <v>-2.6</v>
      </c>
      <c r="D15">
        <v>-5.19</v>
      </c>
      <c r="E15">
        <v>-0.01</v>
      </c>
      <c r="F15">
        <v>9</v>
      </c>
      <c r="G15">
        <v>9</v>
      </c>
      <c r="H15">
        <f t="shared" si="0"/>
        <v>1.3214285714285716</v>
      </c>
      <c r="I15">
        <f t="shared" si="1"/>
        <v>2.8031733111323853</v>
      </c>
      <c r="J15">
        <f t="shared" si="2"/>
        <v>-0.92752024631316488</v>
      </c>
      <c r="K15">
        <f t="shared" si="3"/>
        <v>0.47140452079103168</v>
      </c>
      <c r="L15">
        <f t="shared" si="4"/>
        <v>0.95238095238095233</v>
      </c>
      <c r="M15">
        <f t="shared" si="5"/>
        <v>0.88335261553634747</v>
      </c>
      <c r="N15">
        <f t="shared" si="6"/>
        <v>0.44895668646764919</v>
      </c>
    </row>
    <row r="16" spans="1:14" x14ac:dyDescent="0.25">
      <c r="A16" t="s">
        <v>21</v>
      </c>
      <c r="B16">
        <v>2016</v>
      </c>
      <c r="C16">
        <v>-2.4</v>
      </c>
      <c r="D16">
        <v>-5.29</v>
      </c>
      <c r="E16">
        <v>0.49</v>
      </c>
      <c r="F16">
        <v>10</v>
      </c>
      <c r="G16">
        <v>14</v>
      </c>
      <c r="H16">
        <f t="shared" si="0"/>
        <v>1.4744897959183674</v>
      </c>
      <c r="I16">
        <f t="shared" si="1"/>
        <v>3.5612311901775069</v>
      </c>
      <c r="J16">
        <f t="shared" si="2"/>
        <v>-0.67392423345600705</v>
      </c>
      <c r="K16">
        <f t="shared" si="3"/>
        <v>0.41403933560541251</v>
      </c>
      <c r="L16">
        <f t="shared" si="4"/>
        <v>0.96551724137931039</v>
      </c>
      <c r="M16">
        <f t="shared" si="5"/>
        <v>0.6506854667851103</v>
      </c>
      <c r="N16">
        <f t="shared" si="6"/>
        <v>0.39976211713626036</v>
      </c>
    </row>
    <row r="17" spans="1:14" x14ac:dyDescent="0.25">
      <c r="A17" t="s">
        <v>22</v>
      </c>
      <c r="B17">
        <v>2017</v>
      </c>
      <c r="C17">
        <v>-2.6</v>
      </c>
      <c r="D17">
        <v>-4.47</v>
      </c>
      <c r="E17">
        <v>-0.73</v>
      </c>
      <c r="F17">
        <v>6</v>
      </c>
      <c r="G17">
        <v>5</v>
      </c>
      <c r="H17">
        <f t="shared" si="0"/>
        <v>0.95408163265306123</v>
      </c>
      <c r="I17">
        <f t="shared" si="1"/>
        <v>1.5756139597854293</v>
      </c>
      <c r="J17">
        <f t="shared" si="2"/>
        <v>-1.650150396201157</v>
      </c>
      <c r="K17">
        <f t="shared" si="3"/>
        <v>0.60553007081949839</v>
      </c>
      <c r="L17">
        <f t="shared" si="4"/>
        <v>0.91428571428571426</v>
      </c>
      <c r="M17">
        <f t="shared" si="5"/>
        <v>1.5087089336696291</v>
      </c>
      <c r="N17">
        <f t="shared" si="6"/>
        <v>0.55362749332068417</v>
      </c>
    </row>
    <row r="18" spans="1:14" x14ac:dyDescent="0.25">
      <c r="A18" t="s">
        <v>23</v>
      </c>
      <c r="B18">
        <v>2016</v>
      </c>
      <c r="C18">
        <v>0.8</v>
      </c>
      <c r="D18">
        <v>-0.83</v>
      </c>
      <c r="E18">
        <v>2.4300000000000002</v>
      </c>
      <c r="F18">
        <v>30</v>
      </c>
      <c r="G18">
        <v>30</v>
      </c>
      <c r="H18">
        <f t="shared" si="0"/>
        <v>0.83163265306122458</v>
      </c>
      <c r="I18">
        <f t="shared" si="1"/>
        <v>3.2208994154684136</v>
      </c>
      <c r="J18">
        <f t="shared" si="2"/>
        <v>0.24837782768315864</v>
      </c>
      <c r="K18">
        <f t="shared" si="3"/>
        <v>0.2581988897471611</v>
      </c>
      <c r="L18">
        <f t="shared" si="4"/>
        <v>0.98701298701298701</v>
      </c>
      <c r="M18">
        <f t="shared" si="5"/>
        <v>-0.24515214160935139</v>
      </c>
      <c r="N18">
        <f t="shared" si="6"/>
        <v>0.25484565741278237</v>
      </c>
    </row>
    <row r="19" spans="1:14" x14ac:dyDescent="0.25">
      <c r="A19" t="s">
        <v>24</v>
      </c>
      <c r="B19">
        <v>2015</v>
      </c>
      <c r="C19">
        <v>-0.9</v>
      </c>
      <c r="D19">
        <v>-2.15</v>
      </c>
      <c r="E19">
        <v>0.35</v>
      </c>
      <c r="F19">
        <v>56</v>
      </c>
      <c r="G19">
        <v>84</v>
      </c>
      <c r="H19">
        <f t="shared" si="0"/>
        <v>0.63775510204081631</v>
      </c>
      <c r="I19">
        <f t="shared" si="1"/>
        <v>3.6967797821911832</v>
      </c>
      <c r="J19">
        <f t="shared" si="2"/>
        <v>-0.2434551293359826</v>
      </c>
      <c r="K19">
        <f t="shared" si="3"/>
        <v>0.17251638983558856</v>
      </c>
      <c r="L19">
        <f t="shared" si="4"/>
        <v>0.99455535390199634</v>
      </c>
      <c r="M19">
        <f t="shared" si="5"/>
        <v>0.24212960231600447</v>
      </c>
      <c r="N19">
        <f t="shared" si="6"/>
        <v>0.17157709914682856</v>
      </c>
    </row>
    <row r="20" spans="1:14" x14ac:dyDescent="0.25">
      <c r="A20" t="s">
        <v>25</v>
      </c>
      <c r="B20">
        <v>2015</v>
      </c>
      <c r="C20">
        <v>-6.57</v>
      </c>
      <c r="D20">
        <v>-11.26</v>
      </c>
      <c r="E20">
        <v>-1.88</v>
      </c>
      <c r="F20">
        <v>11</v>
      </c>
      <c r="G20">
        <v>10</v>
      </c>
      <c r="H20">
        <f t="shared" si="0"/>
        <v>2.3928571428571428</v>
      </c>
      <c r="I20">
        <f t="shared" si="1"/>
        <v>5.4765047233112947</v>
      </c>
      <c r="J20">
        <f t="shared" si="2"/>
        <v>-1.1996702882468324</v>
      </c>
      <c r="K20">
        <f t="shared" si="3"/>
        <v>0.4369314487526515</v>
      </c>
      <c r="L20">
        <f t="shared" si="4"/>
        <v>0.96</v>
      </c>
      <c r="M20">
        <f t="shared" si="5"/>
        <v>1.151683476716959</v>
      </c>
      <c r="N20">
        <f t="shared" si="6"/>
        <v>0.41945419080254542</v>
      </c>
    </row>
    <row r="21" spans="1:14" x14ac:dyDescent="0.25">
      <c r="A21" t="s">
        <v>26</v>
      </c>
      <c r="B21">
        <v>2013</v>
      </c>
      <c r="C21">
        <v>-8</v>
      </c>
      <c r="D21">
        <v>-15.06</v>
      </c>
      <c r="E21">
        <v>-0.94</v>
      </c>
      <c r="F21">
        <v>15</v>
      </c>
      <c r="G21">
        <v>15</v>
      </c>
      <c r="H21">
        <f t="shared" si="0"/>
        <v>3.6020408163265309</v>
      </c>
      <c r="I21">
        <f t="shared" si="1"/>
        <v>9.8645950407818201</v>
      </c>
      <c r="J21">
        <f t="shared" si="2"/>
        <v>-0.81098108608885766</v>
      </c>
      <c r="K21">
        <f t="shared" si="3"/>
        <v>0.36514837167011072</v>
      </c>
      <c r="L21">
        <f t="shared" si="4"/>
        <v>0.97297297297297303</v>
      </c>
      <c r="M21">
        <f t="shared" si="5"/>
        <v>0.78906267835672639</v>
      </c>
      <c r="N21">
        <f t="shared" si="6"/>
        <v>0.35527949676010773</v>
      </c>
    </row>
    <row r="22" spans="1:14" x14ac:dyDescent="0.25">
      <c r="A22" t="s">
        <v>27</v>
      </c>
      <c r="B22">
        <v>2013</v>
      </c>
      <c r="C22">
        <v>-9.6</v>
      </c>
      <c r="D22">
        <v>-11.69</v>
      </c>
      <c r="E22">
        <v>-7.51</v>
      </c>
      <c r="F22">
        <v>28</v>
      </c>
      <c r="G22">
        <v>28</v>
      </c>
      <c r="H22">
        <f t="shared" si="0"/>
        <v>1.0663265306122449</v>
      </c>
      <c r="I22">
        <f t="shared" si="1"/>
        <v>3.9898285399783355</v>
      </c>
      <c r="J22">
        <f t="shared" si="2"/>
        <v>-2.4061184343656348</v>
      </c>
      <c r="K22">
        <f t="shared" si="3"/>
        <v>0.2672612419124244</v>
      </c>
      <c r="L22">
        <f t="shared" si="4"/>
        <v>0.98604651162790702</v>
      </c>
      <c r="M22">
        <f t="shared" si="5"/>
        <v>2.3725446887698354</v>
      </c>
      <c r="N22">
        <f t="shared" si="6"/>
        <v>0.26353201528108827</v>
      </c>
    </row>
    <row r="23" spans="1:14" x14ac:dyDescent="0.25">
      <c r="A23" t="s">
        <v>28</v>
      </c>
      <c r="B23">
        <v>2013</v>
      </c>
      <c r="C23">
        <v>-1.1000000000000001</v>
      </c>
      <c r="D23">
        <v>-7.3</v>
      </c>
      <c r="E23">
        <v>5.0999999999999996</v>
      </c>
      <c r="F23">
        <v>16</v>
      </c>
      <c r="G23">
        <v>16</v>
      </c>
      <c r="H23">
        <f t="shared" si="0"/>
        <v>3.1632653061224487</v>
      </c>
      <c r="I23">
        <f t="shared" si="1"/>
        <v>8.9470653946052945</v>
      </c>
      <c r="J23">
        <f t="shared" si="2"/>
        <v>-0.12294534034179005</v>
      </c>
      <c r="K23">
        <f t="shared" si="3"/>
        <v>0.35355339059327379</v>
      </c>
      <c r="L23">
        <f t="shared" si="4"/>
        <v>0.97478991596638653</v>
      </c>
      <c r="M23">
        <f t="shared" si="5"/>
        <v>0.11984587798023232</v>
      </c>
      <c r="N23">
        <f t="shared" si="6"/>
        <v>0.3446402799060484</v>
      </c>
    </row>
    <row r="24" spans="1:14" x14ac:dyDescent="0.25">
      <c r="A24" t="s">
        <v>29</v>
      </c>
      <c r="B24">
        <v>2013</v>
      </c>
      <c r="C24">
        <v>-4</v>
      </c>
      <c r="D24">
        <v>-9.5399999999999991</v>
      </c>
      <c r="E24">
        <v>1.54</v>
      </c>
      <c r="F24">
        <v>16</v>
      </c>
      <c r="G24">
        <v>16</v>
      </c>
      <c r="H24">
        <f t="shared" si="0"/>
        <v>2.8265306122448974</v>
      </c>
      <c r="I24">
        <f t="shared" si="1"/>
        <v>7.9946358525989227</v>
      </c>
      <c r="J24">
        <f t="shared" si="2"/>
        <v>-0.50033548416087859</v>
      </c>
      <c r="K24">
        <f t="shared" si="3"/>
        <v>0.35355339059327379</v>
      </c>
      <c r="L24">
        <f t="shared" si="4"/>
        <v>0.97478991596638653</v>
      </c>
      <c r="M24">
        <f t="shared" si="5"/>
        <v>0.48772198456018417</v>
      </c>
      <c r="N24">
        <f t="shared" si="6"/>
        <v>0.3446402799060484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2026-04-18T22:03:19Z</dcterms:modified>
</cp:coreProperties>
</file>