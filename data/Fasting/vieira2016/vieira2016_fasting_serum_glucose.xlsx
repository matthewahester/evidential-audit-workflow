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vieira2016\"/>
    </mc:Choice>
  </mc:AlternateContent>
  <xr:revisionPtr revIDLastSave="0" documentId="13_ncr:1_{75D343A2-D674-4AE5-9CC1-EB4CF28897E3}" xr6:coauthVersionLast="47" xr6:coauthVersionMax="47" xr10:uidLastSave="{00000000-0000-0000-0000-000000000000}"/>
  <bookViews>
    <workbookView xWindow="42255" yWindow="6795" windowWidth="12135" windowHeight="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J3" i="1"/>
  <c r="K3" i="1" s="1"/>
  <c r="L3" i="1"/>
  <c r="N3" i="1"/>
  <c r="J4" i="1"/>
  <c r="K4" i="1" s="1"/>
  <c r="L4" i="1"/>
  <c r="N4" i="1"/>
  <c r="J5" i="1"/>
  <c r="K5" i="1" s="1"/>
  <c r="L5" i="1"/>
  <c r="J6" i="1"/>
  <c r="K6" i="1"/>
  <c r="L6" i="1"/>
  <c r="N6" i="1"/>
  <c r="J7" i="1"/>
  <c r="K7" i="1"/>
  <c r="L7" i="1"/>
  <c r="N7" i="1" s="1"/>
  <c r="J8" i="1"/>
  <c r="K8" i="1" s="1"/>
  <c r="L8" i="1"/>
  <c r="N8" i="1"/>
  <c r="J9" i="1"/>
  <c r="K9" i="1"/>
  <c r="L9" i="1"/>
  <c r="N9" i="1"/>
  <c r="J10" i="1"/>
  <c r="K10" i="1" s="1"/>
  <c r="L10" i="1"/>
  <c r="J11" i="1"/>
  <c r="K11" i="1"/>
  <c r="L11" i="1"/>
  <c r="N11" i="1"/>
  <c r="J12" i="1"/>
  <c r="K12" i="1"/>
  <c r="L12" i="1"/>
  <c r="J13" i="1"/>
  <c r="K13" i="1" s="1"/>
  <c r="L13" i="1"/>
  <c r="N13" i="1"/>
  <c r="J14" i="1"/>
  <c r="K14" i="1"/>
  <c r="L14" i="1"/>
  <c r="N14" i="1"/>
  <c r="J15" i="1"/>
  <c r="K15" i="1"/>
  <c r="L15" i="1"/>
  <c r="N15" i="1"/>
  <c r="J16" i="1"/>
  <c r="K16" i="1"/>
  <c r="L16" i="1"/>
  <c r="N16" i="1"/>
  <c r="J17" i="1"/>
  <c r="N17" i="1" s="1"/>
  <c r="K17" i="1"/>
  <c r="L17" i="1"/>
  <c r="J18" i="1"/>
  <c r="K18" i="1"/>
  <c r="L18" i="1"/>
  <c r="N18" i="1"/>
  <c r="J19" i="1"/>
  <c r="K19" i="1"/>
  <c r="L19" i="1"/>
  <c r="N19" i="1" s="1"/>
  <c r="J20" i="1"/>
  <c r="K20" i="1" s="1"/>
  <c r="L20" i="1"/>
  <c r="N20" i="1"/>
  <c r="J21" i="1"/>
  <c r="K21" i="1"/>
  <c r="L21" i="1"/>
  <c r="N21" i="1"/>
  <c r="J22" i="1"/>
  <c r="K22" i="1" s="1"/>
  <c r="L22" i="1"/>
  <c r="J23" i="1"/>
  <c r="K23" i="1"/>
  <c r="L23" i="1"/>
  <c r="N23" i="1"/>
  <c r="J24" i="1"/>
  <c r="K24" i="1"/>
  <c r="L24" i="1"/>
  <c r="J25" i="1"/>
  <c r="K25" i="1" s="1"/>
  <c r="L25" i="1"/>
  <c r="N25" i="1"/>
  <c r="L2" i="1"/>
  <c r="N2" i="1" s="1"/>
  <c r="J2" i="1"/>
  <c r="K2" i="1" s="1"/>
  <c r="N22" i="1" l="1"/>
  <c r="N10" i="1"/>
  <c r="N5" i="1"/>
  <c r="N24" i="1"/>
  <c r="N12" i="1"/>
</calcChain>
</file>

<file path=xl/sharedStrings.xml><?xml version="1.0" encoding="utf-8"?>
<sst xmlns="http://schemas.openxmlformats.org/spreadsheetml/2006/main" count="38" uniqueCount="36">
  <si>
    <t>author</t>
  </si>
  <si>
    <t>year</t>
  </si>
  <si>
    <t>md</t>
  </si>
  <si>
    <t>se_md</t>
  </si>
  <si>
    <t>var_md</t>
  </si>
  <si>
    <t>lCI_md</t>
  </si>
  <si>
    <t>uCI_md</t>
  </si>
  <si>
    <t>z</t>
  </si>
  <si>
    <t>n</t>
  </si>
  <si>
    <t>Aziz</t>
  </si>
  <si>
    <t>Bouhlel</t>
  </si>
  <si>
    <t>Coyle</t>
  </si>
  <si>
    <t>Dohm</t>
  </si>
  <si>
    <t>Farah &amp; Gill</t>
  </si>
  <si>
    <t>Gonzalez</t>
  </si>
  <si>
    <t>Guéye</t>
  </si>
  <si>
    <t>Horowitz</t>
  </si>
  <si>
    <t>Isaccoa</t>
  </si>
  <si>
    <t>Isaccob</t>
  </si>
  <si>
    <t>Kirwana</t>
  </si>
  <si>
    <t>Kirwanb</t>
  </si>
  <si>
    <t>Little</t>
  </si>
  <si>
    <t>Massicotte</t>
  </si>
  <si>
    <t>Montaina</t>
  </si>
  <si>
    <t>Montainb</t>
  </si>
  <si>
    <t>Ramos-Jiménez</t>
  </si>
  <si>
    <t>Satabin</t>
  </si>
  <si>
    <t>Schabort</t>
  </si>
  <si>
    <t>Shin</t>
  </si>
  <si>
    <t>Wu</t>
  </si>
  <si>
    <t>Ziogas &amp; Thomas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</si>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</sst>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4" sqref="B4"/>
    </sheetView>
  </sheetViews>
  <sheetFormatPr defaultRowHeight="15" x14ac:dyDescent="0.25"/>
  <cols>
    <col min="1" max="1" width="25.140625" bestFit="1" customWidth="1"/>
    <col min="3" max="3" width="5.5703125" bestFit="1" customWidth="1"/>
    <col min="4" max="5" width="5" bestFit="1" customWidth="1"/>
    <col min="6" max="6" width="5.5703125" bestFit="1" customWidth="1"/>
    <col min="7" max="7" width="5" bestFit="1" customWidth="1"/>
    <col min="8" max="8" width="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x14ac:dyDescent="0.25">
      <c r="A2" t="s">
        <v>9</v>
      </c>
      <c r="B2">
        <v>2010</v>
      </c>
      <c r="C2">
        <v>1.3</v>
      </c>
      <c r="D2">
        <v>0.59</v>
      </c>
      <c r="E2">
        <v>0.35</v>
      </c>
      <c r="F2">
        <v>0.14000000000000001</v>
      </c>
      <c r="G2">
        <v>2.46</v>
      </c>
      <c r="H2">
        <v>2.2000000000000002</v>
      </c>
      <c r="I2">
        <v>10</v>
      </c>
      <c r="J2">
        <f>D2*SQRT(I2)</f>
        <v>1.8657438194993439</v>
      </c>
      <c r="K2">
        <f>C2/J2</f>
        <v>0.69677304376591409</v>
      </c>
      <c r="L2">
        <f>1-3/(4*(I2-1)-1)</f>
        <v>0.91428571428571426</v>
      </c>
      <c r="M2">
        <f>L2*K2</f>
        <v>0.63704964001455</v>
      </c>
      <c r="N2">
        <f>L2*D2/J2</f>
        <v>0.28912252892968038</v>
      </c>
    </row>
    <row r="3" spans="1:14" x14ac:dyDescent="0.25">
      <c r="A3" t="s">
        <v>10</v>
      </c>
      <c r="B3">
        <v>2006</v>
      </c>
      <c r="C3">
        <v>0.2</v>
      </c>
      <c r="D3">
        <v>0.27</v>
      </c>
      <c r="E3">
        <v>7.0000000000000007E-2</v>
      </c>
      <c r="F3">
        <v>-0.33</v>
      </c>
      <c r="G3">
        <v>0.73</v>
      </c>
      <c r="H3">
        <v>0.74</v>
      </c>
      <c r="I3">
        <v>9</v>
      </c>
      <c r="J3">
        <f t="shared" ref="J3:J25" si="0">D3*SQRT(I3)</f>
        <v>0.81</v>
      </c>
      <c r="K3">
        <f t="shared" ref="K3:K25" si="1">C3/J3</f>
        <v>0.24691358024691357</v>
      </c>
      <c r="L3">
        <f t="shared" ref="L3:L25" si="2">1-3/(4*(I3-1)-1)</f>
        <v>0.90322580645161288</v>
      </c>
      <c r="M3">
        <f t="shared" ref="M3:M25" si="3">L3*K3</f>
        <v>0.22301871764237355</v>
      </c>
      <c r="N3">
        <f t="shared" ref="N3:N25" si="4">L3*D3/J3</f>
        <v>0.30107526881720426</v>
      </c>
    </row>
    <row r="4" spans="1:14" x14ac:dyDescent="0.25">
      <c r="A4" t="s">
        <v>11</v>
      </c>
      <c r="B4">
        <v>1985</v>
      </c>
      <c r="C4">
        <v>-0.06</v>
      </c>
      <c r="D4">
        <v>0.16</v>
      </c>
      <c r="E4">
        <v>0.02</v>
      </c>
      <c r="F4">
        <v>-0.36</v>
      </c>
      <c r="G4">
        <v>0.24</v>
      </c>
      <c r="H4">
        <v>-0.39</v>
      </c>
      <c r="I4">
        <v>7</v>
      </c>
      <c r="J4">
        <f t="shared" si="0"/>
        <v>0.42332020977033452</v>
      </c>
      <c r="K4">
        <f t="shared" si="1"/>
        <v>-0.14173667737846019</v>
      </c>
      <c r="L4">
        <f t="shared" si="2"/>
        <v>0.86956521739130432</v>
      </c>
      <c r="M4">
        <f t="shared" si="3"/>
        <v>-0.12324928467692189</v>
      </c>
      <c r="N4">
        <f t="shared" si="4"/>
        <v>0.32866475913845844</v>
      </c>
    </row>
    <row r="5" spans="1:14" x14ac:dyDescent="0.25">
      <c r="A5" t="s">
        <v>11</v>
      </c>
      <c r="B5">
        <v>1997</v>
      </c>
      <c r="C5">
        <v>0.93</v>
      </c>
      <c r="D5">
        <v>0.5</v>
      </c>
      <c r="E5">
        <v>0.25</v>
      </c>
      <c r="F5">
        <v>-0.05</v>
      </c>
      <c r="G5">
        <v>1.91</v>
      </c>
      <c r="H5">
        <v>1.86</v>
      </c>
      <c r="I5">
        <v>6</v>
      </c>
      <c r="J5">
        <f t="shared" si="0"/>
        <v>1.2247448713915889</v>
      </c>
      <c r="K5">
        <f t="shared" si="1"/>
        <v>0.75934182026278529</v>
      </c>
      <c r="L5">
        <f t="shared" si="2"/>
        <v>0.84210526315789469</v>
      </c>
      <c r="M5">
        <f t="shared" si="3"/>
        <v>0.63944574337918758</v>
      </c>
      <c r="N5">
        <f t="shared" si="4"/>
        <v>0.34378803407483205</v>
      </c>
    </row>
    <row r="6" spans="1:14" x14ac:dyDescent="0.25">
      <c r="A6" t="s">
        <v>12</v>
      </c>
      <c r="B6">
        <v>1986</v>
      </c>
      <c r="C6">
        <v>0.94</v>
      </c>
      <c r="D6">
        <v>0.88</v>
      </c>
      <c r="E6">
        <v>0.78</v>
      </c>
      <c r="F6">
        <v>-0.79</v>
      </c>
      <c r="G6">
        <v>2.67</v>
      </c>
      <c r="H6">
        <v>1.06</v>
      </c>
      <c r="I6">
        <v>9</v>
      </c>
      <c r="J6">
        <f t="shared" si="0"/>
        <v>2.64</v>
      </c>
      <c r="K6">
        <f t="shared" si="1"/>
        <v>0.35606060606060602</v>
      </c>
      <c r="L6">
        <f t="shared" si="2"/>
        <v>0.90322580645161288</v>
      </c>
      <c r="M6">
        <f t="shared" si="3"/>
        <v>0.32160312805474089</v>
      </c>
      <c r="N6">
        <f t="shared" si="4"/>
        <v>0.30107526881720426</v>
      </c>
    </row>
    <row r="7" spans="1:14" x14ac:dyDescent="0.25">
      <c r="A7" t="s">
        <v>13</v>
      </c>
      <c r="B7">
        <v>2013</v>
      </c>
      <c r="C7">
        <v>0.21</v>
      </c>
      <c r="D7">
        <v>0.21</v>
      </c>
      <c r="E7">
        <v>0.05</v>
      </c>
      <c r="F7">
        <v>-0.2</v>
      </c>
      <c r="G7">
        <v>0.62</v>
      </c>
      <c r="H7">
        <v>0.99</v>
      </c>
      <c r="I7">
        <v>10</v>
      </c>
      <c r="J7">
        <f t="shared" si="0"/>
        <v>0.66407830863535966</v>
      </c>
      <c r="K7">
        <f t="shared" si="1"/>
        <v>0.31622776601683794</v>
      </c>
      <c r="L7">
        <f t="shared" si="2"/>
        <v>0.91428571428571426</v>
      </c>
      <c r="M7">
        <f t="shared" si="3"/>
        <v>0.28912252892968038</v>
      </c>
      <c r="N7">
        <f t="shared" si="4"/>
        <v>0.28912252892968038</v>
      </c>
    </row>
    <row r="8" spans="1:14" x14ac:dyDescent="0.25">
      <c r="A8" t="s">
        <v>14</v>
      </c>
      <c r="B8">
        <v>2013</v>
      </c>
      <c r="C8">
        <v>-0.04</v>
      </c>
      <c r="D8">
        <v>0.14000000000000001</v>
      </c>
      <c r="E8">
        <v>0.02</v>
      </c>
      <c r="F8">
        <v>-0.31</v>
      </c>
      <c r="G8">
        <v>0.23</v>
      </c>
      <c r="H8">
        <v>-0.28999999999999998</v>
      </c>
      <c r="I8">
        <v>12</v>
      </c>
      <c r="J8">
        <f t="shared" si="0"/>
        <v>0.48497422611928565</v>
      </c>
      <c r="K8">
        <f t="shared" si="1"/>
        <v>-8.2478609884232251E-2</v>
      </c>
      <c r="L8">
        <f t="shared" si="2"/>
        <v>0.93023255813953487</v>
      </c>
      <c r="M8">
        <f t="shared" si="3"/>
        <v>-7.6724288264402099E-2</v>
      </c>
      <c r="N8">
        <f t="shared" si="4"/>
        <v>0.26853500892540733</v>
      </c>
    </row>
    <row r="9" spans="1:14" x14ac:dyDescent="0.25">
      <c r="A9" t="s">
        <v>15</v>
      </c>
      <c r="B9">
        <v>2003</v>
      </c>
      <c r="C9">
        <v>1.39</v>
      </c>
      <c r="D9">
        <v>0.28999999999999998</v>
      </c>
      <c r="E9">
        <v>0.09</v>
      </c>
      <c r="F9">
        <v>0.82</v>
      </c>
      <c r="G9">
        <v>1.96</v>
      </c>
      <c r="H9">
        <v>4.7699999999999996</v>
      </c>
      <c r="I9">
        <v>12</v>
      </c>
      <c r="J9">
        <f t="shared" si="0"/>
        <v>1.0045894683899488</v>
      </c>
      <c r="K9">
        <f t="shared" si="1"/>
        <v>1.3836497830578962</v>
      </c>
      <c r="L9">
        <f t="shared" si="2"/>
        <v>0.93023255813953487</v>
      </c>
      <c r="M9">
        <f t="shared" si="3"/>
        <v>1.2871160772631594</v>
      </c>
      <c r="N9">
        <f t="shared" si="4"/>
        <v>0.26853500892540733</v>
      </c>
    </row>
    <row r="10" spans="1:14" x14ac:dyDescent="0.25">
      <c r="A10" t="s">
        <v>16</v>
      </c>
      <c r="B10">
        <v>1997</v>
      </c>
      <c r="C10">
        <v>2.23</v>
      </c>
      <c r="D10">
        <v>0.52</v>
      </c>
      <c r="E10">
        <v>0.27</v>
      </c>
      <c r="F10">
        <v>1.22</v>
      </c>
      <c r="G10">
        <v>3.24</v>
      </c>
      <c r="H10">
        <v>4.33</v>
      </c>
      <c r="I10">
        <v>6</v>
      </c>
      <c r="J10">
        <f t="shared" si="0"/>
        <v>1.2737346662472526</v>
      </c>
      <c r="K10">
        <f t="shared" si="1"/>
        <v>1.750757091796951</v>
      </c>
      <c r="L10">
        <f t="shared" si="2"/>
        <v>0.84210526315789469</v>
      </c>
      <c r="M10">
        <f t="shared" si="3"/>
        <v>1.4743217615132218</v>
      </c>
      <c r="N10">
        <f t="shared" si="4"/>
        <v>0.34378803407483205</v>
      </c>
    </row>
    <row r="11" spans="1:14" x14ac:dyDescent="0.25">
      <c r="A11" t="s">
        <v>17</v>
      </c>
      <c r="B11">
        <v>2012</v>
      </c>
      <c r="C11">
        <v>0.55000000000000004</v>
      </c>
      <c r="D11">
        <v>0.22</v>
      </c>
      <c r="E11">
        <v>0.05</v>
      </c>
      <c r="F11">
        <v>0.12</v>
      </c>
      <c r="G11">
        <v>0.98</v>
      </c>
      <c r="H11">
        <v>2.52</v>
      </c>
      <c r="I11">
        <v>10</v>
      </c>
      <c r="J11">
        <f t="shared" si="0"/>
        <v>0.69570108523704355</v>
      </c>
      <c r="K11">
        <f t="shared" si="1"/>
        <v>0.79056941504209477</v>
      </c>
      <c r="L11">
        <f t="shared" si="2"/>
        <v>0.91428571428571426</v>
      </c>
      <c r="M11">
        <f t="shared" si="3"/>
        <v>0.72280632232420094</v>
      </c>
      <c r="N11">
        <f t="shared" si="4"/>
        <v>0.28912252892968038</v>
      </c>
    </row>
    <row r="12" spans="1:14" x14ac:dyDescent="0.25">
      <c r="A12" t="s">
        <v>18</v>
      </c>
      <c r="B12">
        <v>2012</v>
      </c>
      <c r="C12">
        <v>0.39</v>
      </c>
      <c r="D12">
        <v>0.21</v>
      </c>
      <c r="E12">
        <v>0.04</v>
      </c>
      <c r="F12">
        <v>-0.02</v>
      </c>
      <c r="G12">
        <v>0.8</v>
      </c>
      <c r="H12">
        <v>1.87</v>
      </c>
      <c r="I12">
        <v>11</v>
      </c>
      <c r="J12">
        <f t="shared" si="0"/>
        <v>0.69649120597463399</v>
      </c>
      <c r="K12">
        <f t="shared" si="1"/>
        <v>0.55994963993013247</v>
      </c>
      <c r="L12">
        <f t="shared" si="2"/>
        <v>0.92307692307692313</v>
      </c>
      <c r="M12">
        <f t="shared" si="3"/>
        <v>0.51687659070473768</v>
      </c>
      <c r="N12">
        <f t="shared" si="4"/>
        <v>0.278318164225628</v>
      </c>
    </row>
    <row r="13" spans="1:14" x14ac:dyDescent="0.25">
      <c r="A13" t="s">
        <v>19</v>
      </c>
      <c r="B13">
        <v>2001</v>
      </c>
      <c r="C13">
        <v>1.26</v>
      </c>
      <c r="D13">
        <v>0.38</v>
      </c>
      <c r="E13">
        <v>0.15</v>
      </c>
      <c r="F13">
        <v>0.51</v>
      </c>
      <c r="G13">
        <v>2.0099999999999998</v>
      </c>
      <c r="H13">
        <v>3.31</v>
      </c>
      <c r="I13">
        <v>6</v>
      </c>
      <c r="J13">
        <f t="shared" si="0"/>
        <v>0.93080610225760763</v>
      </c>
      <c r="K13">
        <f t="shared" si="1"/>
        <v>1.3536653841696511</v>
      </c>
      <c r="L13">
        <f t="shared" si="2"/>
        <v>0.84210526315789469</v>
      </c>
      <c r="M13">
        <f t="shared" si="3"/>
        <v>1.1399287445639166</v>
      </c>
      <c r="N13">
        <f t="shared" si="4"/>
        <v>0.34378803407483205</v>
      </c>
    </row>
    <row r="14" spans="1:14" x14ac:dyDescent="0.25">
      <c r="A14" t="s">
        <v>20</v>
      </c>
      <c r="B14">
        <v>2001</v>
      </c>
      <c r="C14">
        <v>3.26</v>
      </c>
      <c r="D14">
        <v>0.26</v>
      </c>
      <c r="E14">
        <v>7.0000000000000007E-2</v>
      </c>
      <c r="F14">
        <v>2.75</v>
      </c>
      <c r="G14">
        <v>3.77</v>
      </c>
      <c r="H14">
        <v>12.46</v>
      </c>
      <c r="I14">
        <v>6</v>
      </c>
      <c r="J14">
        <f t="shared" si="0"/>
        <v>0.63686733312362631</v>
      </c>
      <c r="K14">
        <f t="shared" si="1"/>
        <v>5.1188054881238205</v>
      </c>
      <c r="L14">
        <f t="shared" si="2"/>
        <v>0.84210526315789469</v>
      </c>
      <c r="M14">
        <f t="shared" si="3"/>
        <v>4.3105730426305851</v>
      </c>
      <c r="N14">
        <f t="shared" si="4"/>
        <v>0.34378803407483205</v>
      </c>
    </row>
    <row r="15" spans="1:14" x14ac:dyDescent="0.25">
      <c r="A15" t="s">
        <v>21</v>
      </c>
      <c r="B15">
        <v>2009</v>
      </c>
      <c r="C15">
        <v>-0.27</v>
      </c>
      <c r="D15">
        <v>0.34</v>
      </c>
      <c r="E15">
        <v>0.11</v>
      </c>
      <c r="F15">
        <v>-0.93</v>
      </c>
      <c r="G15">
        <v>0.39</v>
      </c>
      <c r="H15">
        <v>-0.8</v>
      </c>
      <c r="I15">
        <v>7</v>
      </c>
      <c r="J15">
        <f t="shared" si="0"/>
        <v>0.89955544576196089</v>
      </c>
      <c r="K15">
        <f t="shared" si="1"/>
        <v>-0.30014825797791572</v>
      </c>
      <c r="L15">
        <f t="shared" si="2"/>
        <v>0.86956521739130432</v>
      </c>
      <c r="M15">
        <f t="shared" si="3"/>
        <v>-0.26099848519818758</v>
      </c>
      <c r="N15">
        <f t="shared" si="4"/>
        <v>0.32866475913845844</v>
      </c>
    </row>
    <row r="16" spans="1:14" x14ac:dyDescent="0.25">
      <c r="A16" t="s">
        <v>21</v>
      </c>
      <c r="B16">
        <v>2010</v>
      </c>
      <c r="C16">
        <v>-0.32</v>
      </c>
      <c r="D16">
        <v>0.24</v>
      </c>
      <c r="E16">
        <v>0.06</v>
      </c>
      <c r="F16">
        <v>-0.78</v>
      </c>
      <c r="G16">
        <v>0.14000000000000001</v>
      </c>
      <c r="H16">
        <v>-1.35</v>
      </c>
      <c r="I16">
        <v>13</v>
      </c>
      <c r="J16">
        <f t="shared" si="0"/>
        <v>0.86533230611135736</v>
      </c>
      <c r="K16">
        <f t="shared" si="1"/>
        <v>-0.36980013081681945</v>
      </c>
      <c r="L16">
        <f t="shared" si="2"/>
        <v>0.93617021276595747</v>
      </c>
      <c r="M16">
        <f t="shared" si="3"/>
        <v>-0.34619586714766076</v>
      </c>
      <c r="N16">
        <f t="shared" si="4"/>
        <v>0.25964690036074556</v>
      </c>
    </row>
    <row r="17" spans="1:14" x14ac:dyDescent="0.25">
      <c r="A17" t="s">
        <v>22</v>
      </c>
      <c r="B17">
        <v>1990</v>
      </c>
      <c r="C17">
        <v>0.15</v>
      </c>
      <c r="D17">
        <v>0.74</v>
      </c>
      <c r="E17">
        <v>0.54</v>
      </c>
      <c r="F17">
        <v>-1.28</v>
      </c>
      <c r="G17">
        <v>1.58</v>
      </c>
      <c r="H17">
        <v>0.21</v>
      </c>
      <c r="I17">
        <v>5</v>
      </c>
      <c r="J17">
        <f t="shared" si="0"/>
        <v>1.6546903033498443</v>
      </c>
      <c r="K17">
        <f t="shared" si="1"/>
        <v>9.0651404493234722E-2</v>
      </c>
      <c r="L17">
        <f t="shared" si="2"/>
        <v>0.8</v>
      </c>
      <c r="M17">
        <f t="shared" si="3"/>
        <v>7.2521123594587775E-2</v>
      </c>
      <c r="N17">
        <f t="shared" si="4"/>
        <v>0.35777087639996635</v>
      </c>
    </row>
    <row r="18" spans="1:14" x14ac:dyDescent="0.25">
      <c r="A18" t="s">
        <v>23</v>
      </c>
      <c r="B18">
        <v>1991</v>
      </c>
      <c r="C18">
        <v>0.06</v>
      </c>
      <c r="D18">
        <v>0.2</v>
      </c>
      <c r="E18">
        <v>0.04</v>
      </c>
      <c r="F18">
        <v>-0.33</v>
      </c>
      <c r="G18">
        <v>0.45</v>
      </c>
      <c r="H18">
        <v>0.3</v>
      </c>
      <c r="I18">
        <v>9</v>
      </c>
      <c r="J18">
        <f t="shared" si="0"/>
        <v>0.60000000000000009</v>
      </c>
      <c r="K18">
        <f t="shared" si="1"/>
        <v>9.9999999999999978E-2</v>
      </c>
      <c r="L18">
        <f t="shared" si="2"/>
        <v>0.90322580645161288</v>
      </c>
      <c r="M18">
        <f t="shared" si="3"/>
        <v>9.0322580645161271E-2</v>
      </c>
      <c r="N18">
        <f t="shared" si="4"/>
        <v>0.30107526881720431</v>
      </c>
    </row>
    <row r="19" spans="1:14" x14ac:dyDescent="0.25">
      <c r="A19" t="s">
        <v>24</v>
      </c>
      <c r="B19">
        <v>1991</v>
      </c>
      <c r="C19">
        <v>0.47</v>
      </c>
      <c r="D19">
        <v>0.32</v>
      </c>
      <c r="E19">
        <v>0.1</v>
      </c>
      <c r="F19">
        <v>-0.16</v>
      </c>
      <c r="G19">
        <v>1.1000000000000001</v>
      </c>
      <c r="H19">
        <v>1.47</v>
      </c>
      <c r="I19">
        <v>8</v>
      </c>
      <c r="J19">
        <f t="shared" si="0"/>
        <v>0.90509667991878096</v>
      </c>
      <c r="K19">
        <f t="shared" si="1"/>
        <v>0.5192815424338707</v>
      </c>
      <c r="L19">
        <f t="shared" si="2"/>
        <v>0.88888888888888884</v>
      </c>
      <c r="M19">
        <f t="shared" si="3"/>
        <v>0.46158359327455173</v>
      </c>
      <c r="N19">
        <f t="shared" si="4"/>
        <v>0.31426968052735443</v>
      </c>
    </row>
    <row r="20" spans="1:14" x14ac:dyDescent="0.25">
      <c r="A20" t="s">
        <v>25</v>
      </c>
      <c r="B20">
        <v>2014</v>
      </c>
      <c r="C20">
        <v>0.41</v>
      </c>
      <c r="D20">
        <v>0.55000000000000004</v>
      </c>
      <c r="E20">
        <v>0.3</v>
      </c>
      <c r="F20">
        <v>-0.67</v>
      </c>
      <c r="G20">
        <v>1.49</v>
      </c>
      <c r="H20">
        <v>0.75</v>
      </c>
      <c r="I20">
        <v>30</v>
      </c>
      <c r="J20">
        <f t="shared" si="0"/>
        <v>3.012474066278414</v>
      </c>
      <c r="K20">
        <f t="shared" si="1"/>
        <v>0.13610075671340488</v>
      </c>
      <c r="L20">
        <f t="shared" si="2"/>
        <v>0.97391304347826091</v>
      </c>
      <c r="M20">
        <f t="shared" si="3"/>
        <v>0.1325503021904465</v>
      </c>
      <c r="N20">
        <f t="shared" si="4"/>
        <v>0.17781138098718435</v>
      </c>
    </row>
    <row r="21" spans="1:14" x14ac:dyDescent="0.25">
      <c r="A21" t="s">
        <v>26</v>
      </c>
      <c r="B21">
        <v>1987</v>
      </c>
      <c r="C21">
        <v>-0.11</v>
      </c>
      <c r="D21">
        <v>0.19</v>
      </c>
      <c r="E21">
        <v>0.04</v>
      </c>
      <c r="F21">
        <v>-0.49</v>
      </c>
      <c r="G21">
        <v>0.27</v>
      </c>
      <c r="H21">
        <v>-0.56999999999999995</v>
      </c>
      <c r="I21">
        <v>9</v>
      </c>
      <c r="J21">
        <f t="shared" si="0"/>
        <v>0.57000000000000006</v>
      </c>
      <c r="K21">
        <f t="shared" si="1"/>
        <v>-0.19298245614035087</v>
      </c>
      <c r="L21">
        <f t="shared" si="2"/>
        <v>0.90322580645161288</v>
      </c>
      <c r="M21">
        <f t="shared" si="3"/>
        <v>-0.17430673457838142</v>
      </c>
      <c r="N21">
        <f t="shared" si="4"/>
        <v>0.30107526881720426</v>
      </c>
    </row>
    <row r="22" spans="1:14" x14ac:dyDescent="0.25">
      <c r="A22" t="s">
        <v>27</v>
      </c>
      <c r="B22">
        <v>1999</v>
      </c>
      <c r="C22">
        <v>-0.33</v>
      </c>
      <c r="D22">
        <v>0.36</v>
      </c>
      <c r="E22">
        <v>0.13</v>
      </c>
      <c r="F22">
        <v>-1.04</v>
      </c>
      <c r="G22">
        <v>0.38</v>
      </c>
      <c r="H22">
        <v>-0.92</v>
      </c>
      <c r="I22">
        <v>7</v>
      </c>
      <c r="J22">
        <f t="shared" si="0"/>
        <v>0.95247047198325263</v>
      </c>
      <c r="K22">
        <f t="shared" si="1"/>
        <v>-0.34646743359179161</v>
      </c>
      <c r="L22">
        <f t="shared" si="2"/>
        <v>0.86956521739130432</v>
      </c>
      <c r="M22">
        <f t="shared" si="3"/>
        <v>-0.30127602921025354</v>
      </c>
      <c r="N22">
        <f t="shared" si="4"/>
        <v>0.32866475913845844</v>
      </c>
    </row>
    <row r="23" spans="1:14" x14ac:dyDescent="0.25">
      <c r="A23" t="s">
        <v>28</v>
      </c>
      <c r="B23">
        <v>2013</v>
      </c>
      <c r="C23">
        <v>2.4900000000000002</v>
      </c>
      <c r="D23">
        <v>0.32</v>
      </c>
      <c r="E23">
        <v>0.1</v>
      </c>
      <c r="F23">
        <v>1.87</v>
      </c>
      <c r="G23">
        <v>3.11</v>
      </c>
      <c r="H23">
        <v>7.86</v>
      </c>
      <c r="I23">
        <v>8</v>
      </c>
      <c r="J23">
        <f t="shared" si="0"/>
        <v>0.90509667991878096</v>
      </c>
      <c r="K23">
        <f t="shared" si="1"/>
        <v>2.7510873205539115</v>
      </c>
      <c r="L23">
        <f t="shared" si="2"/>
        <v>0.88888888888888884</v>
      </c>
      <c r="M23">
        <f t="shared" si="3"/>
        <v>2.4454109516034768</v>
      </c>
      <c r="N23">
        <f t="shared" si="4"/>
        <v>0.31426968052735443</v>
      </c>
    </row>
    <row r="24" spans="1:14" x14ac:dyDescent="0.25">
      <c r="A24" t="s">
        <v>29</v>
      </c>
      <c r="B24">
        <v>2003</v>
      </c>
      <c r="C24">
        <v>0</v>
      </c>
      <c r="D24">
        <v>0.19</v>
      </c>
      <c r="E24">
        <v>0.04</v>
      </c>
      <c r="F24">
        <v>-0.36</v>
      </c>
      <c r="G24">
        <v>0.36</v>
      </c>
      <c r="H24">
        <v>0</v>
      </c>
      <c r="I24">
        <v>9</v>
      </c>
      <c r="J24">
        <f t="shared" si="0"/>
        <v>0.57000000000000006</v>
      </c>
      <c r="K24">
        <f t="shared" si="1"/>
        <v>0</v>
      </c>
      <c r="L24">
        <f t="shared" si="2"/>
        <v>0.90322580645161288</v>
      </c>
      <c r="M24">
        <f t="shared" si="3"/>
        <v>0</v>
      </c>
      <c r="N24">
        <f t="shared" si="4"/>
        <v>0.30107526881720426</v>
      </c>
    </row>
    <row r="25" spans="1:14" x14ac:dyDescent="0.25">
      <c r="A25" t="s">
        <v>30</v>
      </c>
      <c r="B25">
        <v>1998</v>
      </c>
      <c r="C25">
        <v>7.0000000000000007E-2</v>
      </c>
      <c r="D25">
        <v>0.2</v>
      </c>
      <c r="E25">
        <v>0.04</v>
      </c>
      <c r="F25">
        <v>-0.33</v>
      </c>
      <c r="G25">
        <v>0.47</v>
      </c>
      <c r="H25">
        <v>0.35</v>
      </c>
      <c r="I25">
        <v>7</v>
      </c>
      <c r="J25">
        <f t="shared" si="0"/>
        <v>0.52915026221291817</v>
      </c>
      <c r="K25">
        <f t="shared" si="1"/>
        <v>0.13228756555322954</v>
      </c>
      <c r="L25">
        <f t="shared" si="2"/>
        <v>0.86956521739130432</v>
      </c>
      <c r="M25">
        <f t="shared" si="3"/>
        <v>0.11503266569846046</v>
      </c>
      <c r="N25">
        <f t="shared" si="4"/>
        <v>0.32866475913845844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2026-04-24T12:49:11Z</dcterms:modified>
</cp:coreProperties>
</file>