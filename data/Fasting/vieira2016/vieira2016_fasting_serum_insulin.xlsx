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vieira2016\"/>
    </mc:Choice>
  </mc:AlternateContent>
  <xr:revisionPtr revIDLastSave="0" documentId="13_ncr:1_{C61C6AFA-CC36-41E6-9CE4-CB071B1F45CE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J3" i="1"/>
  <c r="K3" i="1" s="1"/>
  <c r="L3" i="1"/>
  <c r="J4" i="1"/>
  <c r="K4" i="1" s="1"/>
  <c r="L4" i="1"/>
  <c r="N4" i="1"/>
  <c r="J5" i="1"/>
  <c r="N5" i="1" s="1"/>
  <c r="K5" i="1"/>
  <c r="L5" i="1"/>
  <c r="J6" i="1"/>
  <c r="K6" i="1" s="1"/>
  <c r="L6" i="1"/>
  <c r="N6" i="1"/>
  <c r="J7" i="1"/>
  <c r="K7" i="1"/>
  <c r="L7" i="1"/>
  <c r="N7" i="1" s="1"/>
  <c r="J8" i="1"/>
  <c r="K8" i="1"/>
  <c r="L8" i="1"/>
  <c r="N8" i="1"/>
  <c r="J9" i="1"/>
  <c r="K9" i="1" s="1"/>
  <c r="L9" i="1"/>
  <c r="N9" i="1"/>
  <c r="J10" i="1"/>
  <c r="K10" i="1" s="1"/>
  <c r="L10" i="1"/>
  <c r="J11" i="1"/>
  <c r="K11" i="1"/>
  <c r="L11" i="1"/>
  <c r="N11" i="1"/>
  <c r="J12" i="1"/>
  <c r="K12" i="1" s="1"/>
  <c r="L12" i="1"/>
  <c r="J13" i="1"/>
  <c r="K13" i="1" s="1"/>
  <c r="L13" i="1"/>
  <c r="J14" i="1"/>
  <c r="K14" i="1"/>
  <c r="L14" i="1"/>
  <c r="N14" i="1"/>
  <c r="J15" i="1"/>
  <c r="K15" i="1" s="1"/>
  <c r="L15" i="1"/>
  <c r="J16" i="1"/>
  <c r="K16" i="1"/>
  <c r="L16" i="1"/>
  <c r="N16" i="1"/>
  <c r="J17" i="1"/>
  <c r="N17" i="1" s="1"/>
  <c r="K17" i="1"/>
  <c r="L17" i="1"/>
  <c r="J18" i="1"/>
  <c r="K18" i="1" s="1"/>
  <c r="L18" i="1"/>
  <c r="N18" i="1"/>
  <c r="L2" i="1"/>
  <c r="N2" i="1" s="1"/>
  <c r="J2" i="1"/>
  <c r="K2" i="1" s="1"/>
  <c r="N15" i="1" l="1"/>
  <c r="N3" i="1"/>
  <c r="N13" i="1"/>
  <c r="N10" i="1"/>
  <c r="N12" i="1"/>
</calcChain>
</file>

<file path=xl/sharedStrings.xml><?xml version="1.0" encoding="utf-8"?>
<sst xmlns="http://schemas.openxmlformats.org/spreadsheetml/2006/main" count="31" uniqueCount="30">
  <si>
    <t>author</t>
  </si>
  <si>
    <t>year</t>
  </si>
  <si>
    <t>md</t>
  </si>
  <si>
    <t>se_md</t>
  </si>
  <si>
    <t>var_md</t>
  </si>
  <si>
    <t>lCI_md</t>
  </si>
  <si>
    <t>uCI_md</t>
  </si>
  <si>
    <t>z</t>
  </si>
  <si>
    <t>n</t>
  </si>
  <si>
    <t>Coyle</t>
  </si>
  <si>
    <t>Dohm</t>
  </si>
  <si>
    <t>Gonzalez</t>
  </si>
  <si>
    <t>Horowitz</t>
  </si>
  <si>
    <t>Isaccoa</t>
  </si>
  <si>
    <t>Isaccob</t>
  </si>
  <si>
    <t>Kirwana</t>
  </si>
  <si>
    <t>Kirwanb</t>
  </si>
  <si>
    <t>Little</t>
  </si>
  <si>
    <t>Massicotte</t>
  </si>
  <si>
    <t>Montaina</t>
  </si>
  <si>
    <t>Montainb</t>
  </si>
  <si>
    <t>Schabort</t>
  </si>
  <si>
    <t>Shin</t>
  </si>
  <si>
    <t>Whitley</t>
  </si>
  <si>
    <t>Wu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</si>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</sst>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7" sqref="K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 t="s">
        <v>9</v>
      </c>
      <c r="B2">
        <v>1985</v>
      </c>
      <c r="C2">
        <v>32.6</v>
      </c>
      <c r="D2">
        <v>19.7</v>
      </c>
      <c r="E2">
        <v>386.6</v>
      </c>
      <c r="F2">
        <v>-5.9</v>
      </c>
      <c r="G2">
        <v>71.099999999999994</v>
      </c>
      <c r="H2">
        <v>1.7</v>
      </c>
      <c r="I2">
        <v>7</v>
      </c>
      <c r="J2">
        <f>D2*SQRT(I2)</f>
        <v>52.121300827972433</v>
      </c>
      <c r="K2">
        <f>C2/J2</f>
        <v>0.62546405178176689</v>
      </c>
      <c r="L2">
        <f>1-3/(4*(I2-1)-1)</f>
        <v>0.86956521739130432</v>
      </c>
      <c r="M2">
        <f>L2*K2</f>
        <v>0.5438817841580581</v>
      </c>
      <c r="N2">
        <f>L2*D2/J2</f>
        <v>0.32866475913845844</v>
      </c>
    </row>
    <row r="3" spans="1:14" x14ac:dyDescent="0.25">
      <c r="A3" t="s">
        <v>9</v>
      </c>
      <c r="B3">
        <v>1997</v>
      </c>
      <c r="C3">
        <v>200.4</v>
      </c>
      <c r="D3">
        <v>47.2</v>
      </c>
      <c r="E3">
        <v>2232.1</v>
      </c>
      <c r="F3">
        <v>107.8</v>
      </c>
      <c r="G3">
        <v>293</v>
      </c>
      <c r="H3">
        <v>4.2</v>
      </c>
      <c r="I3">
        <v>6</v>
      </c>
      <c r="J3">
        <f t="shared" ref="J3:J18" si="0">D3*SQRT(I3)</f>
        <v>115.615915859366</v>
      </c>
      <c r="K3">
        <f t="shared" ref="K3:K18" si="1">C3/J3</f>
        <v>1.7333253688338592</v>
      </c>
      <c r="L3">
        <f t="shared" ref="L3:L18" si="2">1-3/(4*(I3-1)-1)</f>
        <v>0.84210526315789469</v>
      </c>
      <c r="M3">
        <f t="shared" ref="M3:M18" si="3">L3*K3</f>
        <v>1.4596424158600918</v>
      </c>
      <c r="N3">
        <f t="shared" ref="N3:N18" si="4">L3*D3/J3</f>
        <v>0.34378803407483205</v>
      </c>
    </row>
    <row r="4" spans="1:14" x14ac:dyDescent="0.25">
      <c r="A4" t="s">
        <v>10</v>
      </c>
      <c r="B4">
        <v>1986</v>
      </c>
      <c r="C4">
        <v>165.5</v>
      </c>
      <c r="D4">
        <v>72.2</v>
      </c>
      <c r="E4">
        <v>5218.8999999999996</v>
      </c>
      <c r="F4">
        <v>23.9</v>
      </c>
      <c r="G4">
        <v>307.10000000000002</v>
      </c>
      <c r="H4">
        <v>2.2999999999999998</v>
      </c>
      <c r="I4">
        <v>9</v>
      </c>
      <c r="J4">
        <f t="shared" si="0"/>
        <v>216.60000000000002</v>
      </c>
      <c r="K4">
        <f t="shared" si="1"/>
        <v>0.76408125577100638</v>
      </c>
      <c r="L4">
        <f t="shared" si="2"/>
        <v>0.90322580645161288</v>
      </c>
      <c r="M4">
        <f t="shared" si="3"/>
        <v>0.69013790843832834</v>
      </c>
      <c r="N4">
        <f t="shared" si="4"/>
        <v>0.30107526881720431</v>
      </c>
    </row>
    <row r="5" spans="1:14" x14ac:dyDescent="0.25">
      <c r="A5" t="s">
        <v>11</v>
      </c>
      <c r="B5">
        <v>2013</v>
      </c>
      <c r="C5">
        <v>107.5</v>
      </c>
      <c r="D5">
        <v>35.4</v>
      </c>
      <c r="E5">
        <v>1254.5999999999999</v>
      </c>
      <c r="F5">
        <v>38.1</v>
      </c>
      <c r="G5">
        <v>176.9</v>
      </c>
      <c r="H5">
        <v>3</v>
      </c>
      <c r="I5">
        <v>12</v>
      </c>
      <c r="J5">
        <f t="shared" si="0"/>
        <v>122.6291971758765</v>
      </c>
      <c r="K5">
        <f t="shared" si="1"/>
        <v>0.87662646804921995</v>
      </c>
      <c r="L5">
        <f t="shared" si="2"/>
        <v>0.93023255813953487</v>
      </c>
      <c r="M5">
        <f t="shared" si="3"/>
        <v>0.81546648190625115</v>
      </c>
      <c r="N5">
        <f t="shared" si="4"/>
        <v>0.26853500892540738</v>
      </c>
    </row>
    <row r="6" spans="1:14" x14ac:dyDescent="0.25">
      <c r="A6" t="s">
        <v>12</v>
      </c>
      <c r="B6">
        <v>1997</v>
      </c>
      <c r="C6">
        <v>192.5</v>
      </c>
      <c r="D6">
        <v>45.7</v>
      </c>
      <c r="E6">
        <v>2087.6999999999998</v>
      </c>
      <c r="F6">
        <v>102.9</v>
      </c>
      <c r="G6">
        <v>282</v>
      </c>
      <c r="H6">
        <v>4.2</v>
      </c>
      <c r="I6">
        <v>6</v>
      </c>
      <c r="J6">
        <f t="shared" si="0"/>
        <v>111.94168124519123</v>
      </c>
      <c r="K6">
        <f t="shared" si="1"/>
        <v>1.7196454248204296</v>
      </c>
      <c r="L6">
        <f t="shared" si="2"/>
        <v>0.84210526315789469</v>
      </c>
      <c r="M6">
        <f t="shared" si="3"/>
        <v>1.4481224630066776</v>
      </c>
      <c r="N6">
        <f t="shared" si="4"/>
        <v>0.34378803407483205</v>
      </c>
    </row>
    <row r="7" spans="1:14" x14ac:dyDescent="0.25">
      <c r="A7" t="s">
        <v>13</v>
      </c>
      <c r="B7">
        <v>2012</v>
      </c>
      <c r="C7">
        <v>103.1</v>
      </c>
      <c r="D7">
        <v>37</v>
      </c>
      <c r="E7">
        <v>1372</v>
      </c>
      <c r="F7">
        <v>30.5</v>
      </c>
      <c r="G7">
        <v>175.7</v>
      </c>
      <c r="H7">
        <v>2.8</v>
      </c>
      <c r="I7">
        <v>10</v>
      </c>
      <c r="J7">
        <f t="shared" si="0"/>
        <v>117.00427342623004</v>
      </c>
      <c r="K7">
        <f t="shared" si="1"/>
        <v>0.88116439665772939</v>
      </c>
      <c r="L7">
        <f t="shared" si="2"/>
        <v>0.91428571428571426</v>
      </c>
      <c r="M7">
        <f t="shared" si="3"/>
        <v>0.80563601980135258</v>
      </c>
      <c r="N7">
        <f t="shared" si="4"/>
        <v>0.28912252892968038</v>
      </c>
    </row>
    <row r="8" spans="1:14" x14ac:dyDescent="0.25">
      <c r="A8" t="s">
        <v>14</v>
      </c>
      <c r="B8">
        <v>2012</v>
      </c>
      <c r="C8">
        <v>68.7</v>
      </c>
      <c r="D8">
        <v>18.2</v>
      </c>
      <c r="E8">
        <v>330.9</v>
      </c>
      <c r="F8">
        <v>33</v>
      </c>
      <c r="G8">
        <v>104.3</v>
      </c>
      <c r="H8">
        <v>3.8</v>
      </c>
      <c r="I8">
        <v>11</v>
      </c>
      <c r="J8">
        <f t="shared" si="0"/>
        <v>60.362571184468273</v>
      </c>
      <c r="K8">
        <f t="shared" si="1"/>
        <v>1.1381224929940859</v>
      </c>
      <c r="L8">
        <f t="shared" si="2"/>
        <v>0.92307692307692313</v>
      </c>
      <c r="M8">
        <f t="shared" si="3"/>
        <v>1.0505746089176178</v>
      </c>
      <c r="N8">
        <f t="shared" si="4"/>
        <v>0.278318164225628</v>
      </c>
    </row>
    <row r="9" spans="1:14" x14ac:dyDescent="0.25">
      <c r="A9" t="s">
        <v>15</v>
      </c>
      <c r="B9">
        <v>2001</v>
      </c>
      <c r="C9">
        <v>61.2</v>
      </c>
      <c r="D9">
        <v>9.9</v>
      </c>
      <c r="E9">
        <v>97.9</v>
      </c>
      <c r="F9">
        <v>41.8</v>
      </c>
      <c r="G9">
        <v>80.599999999999994</v>
      </c>
      <c r="H9">
        <v>6.2</v>
      </c>
      <c r="I9">
        <v>6</v>
      </c>
      <c r="J9">
        <f t="shared" si="0"/>
        <v>24.249948453553461</v>
      </c>
      <c r="K9">
        <f t="shared" si="1"/>
        <v>2.523716704685699</v>
      </c>
      <c r="L9">
        <f t="shared" si="2"/>
        <v>0.84210526315789469</v>
      </c>
      <c r="M9">
        <f t="shared" si="3"/>
        <v>2.1252351197353252</v>
      </c>
      <c r="N9">
        <f t="shared" si="4"/>
        <v>0.34378803407483199</v>
      </c>
    </row>
    <row r="10" spans="1:14" x14ac:dyDescent="0.25">
      <c r="A10" t="s">
        <v>16</v>
      </c>
      <c r="B10">
        <v>2001</v>
      </c>
      <c r="C10">
        <v>923.7</v>
      </c>
      <c r="D10">
        <v>125.6</v>
      </c>
      <c r="E10">
        <v>15773.6</v>
      </c>
      <c r="F10">
        <v>677.6</v>
      </c>
      <c r="G10">
        <v>1169.9000000000001</v>
      </c>
      <c r="H10">
        <v>7.4</v>
      </c>
      <c r="I10">
        <v>6</v>
      </c>
      <c r="J10">
        <f t="shared" si="0"/>
        <v>307.65591169356713</v>
      </c>
      <c r="K10">
        <f t="shared" si="1"/>
        <v>3.0023801425276302</v>
      </c>
      <c r="L10">
        <f t="shared" si="2"/>
        <v>0.84210526315789469</v>
      </c>
      <c r="M10">
        <f t="shared" si="3"/>
        <v>2.5283201200232672</v>
      </c>
      <c r="N10">
        <f t="shared" si="4"/>
        <v>0.34378803407483199</v>
      </c>
    </row>
    <row r="11" spans="1:14" x14ac:dyDescent="0.25">
      <c r="A11" t="s">
        <v>17</v>
      </c>
      <c r="B11">
        <v>2010</v>
      </c>
      <c r="C11">
        <v>15.6</v>
      </c>
      <c r="D11">
        <v>13</v>
      </c>
      <c r="E11">
        <v>170.1</v>
      </c>
      <c r="F11">
        <v>-9.9</v>
      </c>
      <c r="G11">
        <v>41.2</v>
      </c>
      <c r="H11">
        <v>1.2</v>
      </c>
      <c r="I11">
        <v>13</v>
      </c>
      <c r="J11">
        <f t="shared" si="0"/>
        <v>46.872166581031856</v>
      </c>
      <c r="K11">
        <f t="shared" si="1"/>
        <v>0.33282011773513748</v>
      </c>
      <c r="L11">
        <f t="shared" si="2"/>
        <v>0.93617021276595747</v>
      </c>
      <c r="M11">
        <f t="shared" si="3"/>
        <v>0.31157628043289465</v>
      </c>
      <c r="N11">
        <f t="shared" si="4"/>
        <v>0.25964690036074561</v>
      </c>
    </row>
    <row r="12" spans="1:14" x14ac:dyDescent="0.25">
      <c r="A12" t="s">
        <v>18</v>
      </c>
      <c r="B12">
        <v>1990</v>
      </c>
      <c r="C12">
        <v>45.1</v>
      </c>
      <c r="D12">
        <v>17.3</v>
      </c>
      <c r="E12">
        <v>300.89999999999998</v>
      </c>
      <c r="F12">
        <v>11.1</v>
      </c>
      <c r="G12">
        <v>79.099999999999994</v>
      </c>
      <c r="H12">
        <v>2.6</v>
      </c>
      <c r="I12">
        <v>5</v>
      </c>
      <c r="J12">
        <f t="shared" si="0"/>
        <v>38.683976010746363</v>
      </c>
      <c r="K12">
        <f t="shared" si="1"/>
        <v>1.1658574079218555</v>
      </c>
      <c r="L12">
        <f t="shared" si="2"/>
        <v>0.8</v>
      </c>
      <c r="M12">
        <f t="shared" si="3"/>
        <v>0.93268592633748448</v>
      </c>
      <c r="N12">
        <f t="shared" si="4"/>
        <v>0.35777087639996635</v>
      </c>
    </row>
    <row r="13" spans="1:14" x14ac:dyDescent="0.25">
      <c r="A13" t="s">
        <v>19</v>
      </c>
      <c r="B13">
        <v>1991</v>
      </c>
      <c r="C13">
        <v>82.6</v>
      </c>
      <c r="D13">
        <v>23.6</v>
      </c>
      <c r="E13">
        <v>555.6</v>
      </c>
      <c r="F13">
        <v>36.4</v>
      </c>
      <c r="G13">
        <v>128.80000000000001</v>
      </c>
      <c r="H13">
        <v>3.5</v>
      </c>
      <c r="I13">
        <v>9</v>
      </c>
      <c r="J13">
        <f t="shared" si="0"/>
        <v>70.800000000000011</v>
      </c>
      <c r="K13">
        <f t="shared" si="1"/>
        <v>1.1666666666666663</v>
      </c>
      <c r="L13">
        <f t="shared" si="2"/>
        <v>0.90322580645161288</v>
      </c>
      <c r="M13">
        <f t="shared" si="3"/>
        <v>1.0537634408602148</v>
      </c>
      <c r="N13">
        <f t="shared" si="4"/>
        <v>0.30107526881720426</v>
      </c>
    </row>
    <row r="14" spans="1:14" x14ac:dyDescent="0.25">
      <c r="A14" t="s">
        <v>20</v>
      </c>
      <c r="B14">
        <v>1991</v>
      </c>
      <c r="C14">
        <v>188.2</v>
      </c>
      <c r="D14">
        <v>49.6</v>
      </c>
      <c r="E14">
        <v>2458.4</v>
      </c>
      <c r="F14">
        <v>91</v>
      </c>
      <c r="G14">
        <v>285.39999999999998</v>
      </c>
      <c r="H14">
        <v>3.8</v>
      </c>
      <c r="I14">
        <v>8</v>
      </c>
      <c r="J14">
        <f t="shared" si="0"/>
        <v>140.28998538741104</v>
      </c>
      <c r="K14">
        <f t="shared" si="1"/>
        <v>1.3415070183398008</v>
      </c>
      <c r="L14">
        <f t="shared" si="2"/>
        <v>0.88888888888888884</v>
      </c>
      <c r="M14">
        <f t="shared" si="3"/>
        <v>1.1924506829687118</v>
      </c>
      <c r="N14">
        <f t="shared" si="4"/>
        <v>0.31426968052735443</v>
      </c>
    </row>
    <row r="15" spans="1:14" x14ac:dyDescent="0.25">
      <c r="A15" t="s">
        <v>21</v>
      </c>
      <c r="B15">
        <v>1999</v>
      </c>
      <c r="C15">
        <v>-6.9</v>
      </c>
      <c r="D15">
        <v>4.4000000000000004</v>
      </c>
      <c r="E15">
        <v>19.3</v>
      </c>
      <c r="F15">
        <v>-15.5</v>
      </c>
      <c r="G15">
        <v>1.7</v>
      </c>
      <c r="H15">
        <v>-1.6</v>
      </c>
      <c r="I15">
        <v>7</v>
      </c>
      <c r="J15">
        <f t="shared" si="0"/>
        <v>11.6413057686842</v>
      </c>
      <c r="K15">
        <f t="shared" si="1"/>
        <v>-0.59271701449174263</v>
      </c>
      <c r="L15">
        <f t="shared" si="2"/>
        <v>0.86956521739130432</v>
      </c>
      <c r="M15">
        <f t="shared" si="3"/>
        <v>-0.51540609955803707</v>
      </c>
      <c r="N15">
        <f t="shared" si="4"/>
        <v>0.32866475913845844</v>
      </c>
    </row>
    <row r="16" spans="1:14" x14ac:dyDescent="0.25">
      <c r="A16" t="s">
        <v>22</v>
      </c>
      <c r="B16">
        <v>2013</v>
      </c>
      <c r="C16">
        <v>196.4</v>
      </c>
      <c r="D16">
        <v>40.1</v>
      </c>
      <c r="E16">
        <v>1610.5</v>
      </c>
      <c r="F16">
        <v>117.7</v>
      </c>
      <c r="G16">
        <v>275.10000000000002</v>
      </c>
      <c r="H16">
        <v>4.9000000000000004</v>
      </c>
      <c r="I16">
        <v>8</v>
      </c>
      <c r="J16">
        <f t="shared" si="0"/>
        <v>113.41992770232224</v>
      </c>
      <c r="K16">
        <f t="shared" si="1"/>
        <v>1.7316181025565824</v>
      </c>
      <c r="L16">
        <f t="shared" si="2"/>
        <v>0.88888888888888884</v>
      </c>
      <c r="M16">
        <f t="shared" si="3"/>
        <v>1.5392160911614066</v>
      </c>
      <c r="N16">
        <f t="shared" si="4"/>
        <v>0.31426968052735443</v>
      </c>
    </row>
    <row r="17" spans="1:14" x14ac:dyDescent="0.25">
      <c r="A17" t="s">
        <v>23</v>
      </c>
      <c r="B17">
        <v>1998</v>
      </c>
      <c r="C17">
        <v>34.200000000000003</v>
      </c>
      <c r="D17">
        <v>18.7</v>
      </c>
      <c r="E17">
        <v>349.5</v>
      </c>
      <c r="F17">
        <v>-2.5</v>
      </c>
      <c r="G17">
        <v>70.8</v>
      </c>
      <c r="H17">
        <v>1.8</v>
      </c>
      <c r="I17">
        <v>8</v>
      </c>
      <c r="J17">
        <f t="shared" si="0"/>
        <v>52.891587232753757</v>
      </c>
      <c r="K17">
        <f t="shared" si="1"/>
        <v>0.64660566621871463</v>
      </c>
      <c r="L17">
        <f t="shared" si="2"/>
        <v>0.88888888888888884</v>
      </c>
      <c r="M17">
        <f t="shared" si="3"/>
        <v>0.574760592194413</v>
      </c>
      <c r="N17">
        <f t="shared" si="4"/>
        <v>0.31426968052735438</v>
      </c>
    </row>
    <row r="18" spans="1:14" x14ac:dyDescent="0.25">
      <c r="A18" t="s">
        <v>24</v>
      </c>
      <c r="B18">
        <v>2003</v>
      </c>
      <c r="C18">
        <v>188.9</v>
      </c>
      <c r="D18">
        <v>42.8</v>
      </c>
      <c r="E18">
        <v>1833.2</v>
      </c>
      <c r="F18">
        <v>104.9</v>
      </c>
      <c r="G18">
        <v>272.8</v>
      </c>
      <c r="H18">
        <v>4.4000000000000004</v>
      </c>
      <c r="I18">
        <v>9</v>
      </c>
      <c r="J18">
        <f t="shared" si="0"/>
        <v>128.39999999999998</v>
      </c>
      <c r="K18">
        <f t="shared" si="1"/>
        <v>1.4711838006230533</v>
      </c>
      <c r="L18">
        <f t="shared" si="2"/>
        <v>0.90322580645161288</v>
      </c>
      <c r="M18">
        <f t="shared" si="3"/>
        <v>1.3288111747563063</v>
      </c>
      <c r="N18">
        <f t="shared" si="4"/>
        <v>0.30107526881720437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2026-04-24T12:49:54Z</dcterms:modified>
</cp:coreProperties>
</file>