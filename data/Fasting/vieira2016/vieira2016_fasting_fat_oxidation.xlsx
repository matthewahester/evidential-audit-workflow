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vieira2016\"/>
    </mc:Choice>
  </mc:AlternateContent>
  <xr:revisionPtr revIDLastSave="0" documentId="13_ncr:1_{685E8672-EF15-4023-8C36-4863711AAF73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L3" i="1"/>
  <c r="M3" i="1" s="1"/>
  <c r="J4" i="1"/>
  <c r="N4" i="1" s="1"/>
  <c r="L4" i="1"/>
  <c r="J5" i="1"/>
  <c r="N5" i="1" s="1"/>
  <c r="K5" i="1"/>
  <c r="L5" i="1"/>
  <c r="M5" i="1" s="1"/>
  <c r="J6" i="1"/>
  <c r="K6" i="1" s="1"/>
  <c r="M6" i="1" s="1"/>
  <c r="L6" i="1"/>
  <c r="N6" i="1"/>
  <c r="J7" i="1"/>
  <c r="K7" i="1"/>
  <c r="L7" i="1"/>
  <c r="N7" i="1" s="1"/>
  <c r="M7" i="1"/>
  <c r="J8" i="1"/>
  <c r="K8" i="1"/>
  <c r="L8" i="1"/>
  <c r="M8" i="1" s="1"/>
  <c r="N8" i="1"/>
  <c r="J9" i="1"/>
  <c r="K9" i="1"/>
  <c r="L9" i="1"/>
  <c r="M9" i="1"/>
  <c r="N9" i="1"/>
  <c r="J10" i="1"/>
  <c r="K10" i="1" s="1"/>
  <c r="M10" i="1" s="1"/>
  <c r="L10" i="1"/>
  <c r="J11" i="1"/>
  <c r="K11" i="1"/>
  <c r="L11" i="1"/>
  <c r="M11" i="1"/>
  <c r="N11" i="1"/>
  <c r="J12" i="1"/>
  <c r="K12" i="1" s="1"/>
  <c r="L12" i="1"/>
  <c r="M12" i="1" s="1"/>
  <c r="J13" i="1"/>
  <c r="K13" i="1"/>
  <c r="L13" i="1"/>
  <c r="M13" i="1"/>
  <c r="N13" i="1"/>
  <c r="J14" i="1"/>
  <c r="K14" i="1" s="1"/>
  <c r="M14" i="1" s="1"/>
  <c r="L14" i="1"/>
  <c r="N14" i="1"/>
  <c r="N2" i="1"/>
  <c r="M2" i="1"/>
  <c r="L2" i="1"/>
  <c r="K2" i="1"/>
  <c r="J2" i="1"/>
  <c r="K4" i="1" l="1"/>
  <c r="M4" i="1" s="1"/>
  <c r="N3" i="1"/>
  <c r="N10" i="1"/>
  <c r="N12" i="1"/>
</calcChain>
</file>

<file path=xl/sharedStrings.xml><?xml version="1.0" encoding="utf-8"?>
<sst xmlns="http://schemas.openxmlformats.org/spreadsheetml/2006/main" count="27" uniqueCount="27">
  <si>
    <t>author</t>
  </si>
  <si>
    <t>year</t>
  </si>
  <si>
    <t>md</t>
  </si>
  <si>
    <t>se_md</t>
  </si>
  <si>
    <t>var_md</t>
  </si>
  <si>
    <t>lCI_md</t>
  </si>
  <si>
    <t>uCI_md</t>
  </si>
  <si>
    <t>z</t>
  </si>
  <si>
    <t>n</t>
  </si>
  <si>
    <t>Bergman &amp; Brooksa</t>
  </si>
  <si>
    <t>Bergman &amp; Brooksb</t>
  </si>
  <si>
    <t>Farah &amp; Gill</t>
  </si>
  <si>
    <t>Gonzalez</t>
  </si>
  <si>
    <t>Isaccoa</t>
  </si>
  <si>
    <t>Isaccob</t>
  </si>
  <si>
    <t>Little</t>
  </si>
  <si>
    <t>Massicotte</t>
  </si>
  <si>
    <t>Maughan &amp; Gleeson</t>
  </si>
  <si>
    <t>Paul</t>
  </si>
  <si>
    <t>Whitley</t>
  </si>
  <si>
    <t>Willcutts</t>
  </si>
  <si>
    <t>Wu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</si>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</sst>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6" sqref="I6"/>
    </sheetView>
  </sheetViews>
  <sheetFormatPr defaultRowHeight="15" x14ac:dyDescent="0.25"/>
  <cols>
    <col min="1" max="1" width="19" bestFit="1" customWidth="1"/>
    <col min="2" max="2" width="5" bestFit="1" customWidth="1"/>
    <col min="3" max="3" width="6.5703125" bestFit="1" customWidth="1"/>
    <col min="4" max="4" width="6.85546875" bestFit="1" customWidth="1"/>
    <col min="5" max="5" width="7.5703125" bestFit="1" customWidth="1"/>
    <col min="6" max="6" width="7.140625" bestFit="1" customWidth="1"/>
    <col min="7" max="7" width="7.7109375" bestFit="1" customWidth="1"/>
    <col min="8" max="8" width="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5">
      <c r="A2" t="s">
        <v>9</v>
      </c>
      <c r="B2">
        <v>1999</v>
      </c>
      <c r="C2">
        <v>-7.87</v>
      </c>
      <c r="D2">
        <v>7.65</v>
      </c>
      <c r="E2">
        <v>58.57</v>
      </c>
      <c r="F2">
        <v>-22.87</v>
      </c>
      <c r="G2">
        <v>7.13</v>
      </c>
      <c r="H2">
        <v>-1.03</v>
      </c>
      <c r="I2">
        <v>7</v>
      </c>
      <c r="J2">
        <f>D2*SQRT(I2)</f>
        <v>20.239997529644121</v>
      </c>
      <c r="K2">
        <f>C2/J2</f>
        <v>-0.38883403955328338</v>
      </c>
      <c r="L2">
        <f>1-3/(4*(I2-1)-1)</f>
        <v>0.86956521739130432</v>
      </c>
      <c r="M2">
        <f>-L2*K2</f>
        <v>0.33811655613328989</v>
      </c>
      <c r="N2">
        <f>L2*D2/J2</f>
        <v>0.32866475913845844</v>
      </c>
    </row>
    <row r="3" spans="1:14" x14ac:dyDescent="0.25">
      <c r="A3" t="s">
        <v>10</v>
      </c>
      <c r="B3">
        <v>1999</v>
      </c>
      <c r="C3">
        <v>-4.49</v>
      </c>
      <c r="D3">
        <v>5.24</v>
      </c>
      <c r="E3">
        <v>27.46</v>
      </c>
      <c r="F3">
        <v>-14.76</v>
      </c>
      <c r="G3">
        <v>5.78</v>
      </c>
      <c r="H3">
        <v>-0.86</v>
      </c>
      <c r="I3">
        <v>7</v>
      </c>
      <c r="J3">
        <f t="shared" ref="J3:J14" si="0">D3*SQRT(I3)</f>
        <v>13.863736869978457</v>
      </c>
      <c r="K3">
        <f t="shared" ref="K3:K14" si="1">C3/J3</f>
        <v>-0.32386650454416605</v>
      </c>
      <c r="L3">
        <f t="shared" ref="L3:L14" si="2">1-3/(4*(I3-1)-1)</f>
        <v>0.86956521739130432</v>
      </c>
      <c r="M3">
        <f t="shared" ref="M3:M14" si="3">-L3*K3</f>
        <v>0.28162304742970962</v>
      </c>
      <c r="N3">
        <f t="shared" ref="N3:N14" si="4">L3*D3/J3</f>
        <v>0.32866475913845844</v>
      </c>
    </row>
    <row r="4" spans="1:14" x14ac:dyDescent="0.25">
      <c r="A4" t="s">
        <v>11</v>
      </c>
      <c r="B4">
        <v>2013</v>
      </c>
      <c r="C4">
        <v>-5.7</v>
      </c>
      <c r="D4">
        <v>1.84</v>
      </c>
      <c r="E4">
        <v>3.38</v>
      </c>
      <c r="F4">
        <v>-9.3000000000000007</v>
      </c>
      <c r="G4">
        <v>-2.1</v>
      </c>
      <c r="H4">
        <v>-3.1</v>
      </c>
      <c r="I4">
        <v>10</v>
      </c>
      <c r="J4">
        <f t="shared" si="0"/>
        <v>5.8185908947098186</v>
      </c>
      <c r="K4">
        <f t="shared" si="1"/>
        <v>-0.97961862298694347</v>
      </c>
      <c r="L4">
        <f t="shared" si="2"/>
        <v>0.91428571428571426</v>
      </c>
      <c r="M4">
        <f t="shared" si="3"/>
        <v>0.89565131244520546</v>
      </c>
      <c r="N4">
        <f t="shared" si="4"/>
        <v>0.28912252892968038</v>
      </c>
    </row>
    <row r="5" spans="1:14" x14ac:dyDescent="0.25">
      <c r="A5" t="s">
        <v>12</v>
      </c>
      <c r="B5">
        <v>2013</v>
      </c>
      <c r="C5">
        <v>-6</v>
      </c>
      <c r="D5">
        <v>4.46</v>
      </c>
      <c r="E5">
        <v>19.86</v>
      </c>
      <c r="F5">
        <v>-14.74</v>
      </c>
      <c r="G5">
        <v>2.74</v>
      </c>
      <c r="H5">
        <v>-1.35</v>
      </c>
      <c r="I5">
        <v>12</v>
      </c>
      <c r="J5">
        <f t="shared" si="0"/>
        <v>15.449893203514385</v>
      </c>
      <c r="K5">
        <f t="shared" si="1"/>
        <v>-0.38835219900647472</v>
      </c>
      <c r="L5">
        <f t="shared" si="2"/>
        <v>0.93023255813953487</v>
      </c>
      <c r="M5">
        <f t="shared" si="3"/>
        <v>0.36125785954090672</v>
      </c>
      <c r="N5">
        <f t="shared" si="4"/>
        <v>0.26853500892540733</v>
      </c>
    </row>
    <row r="6" spans="1:14" x14ac:dyDescent="0.25">
      <c r="A6" t="s">
        <v>13</v>
      </c>
      <c r="B6">
        <v>2012</v>
      </c>
      <c r="C6">
        <v>-4.59</v>
      </c>
      <c r="D6">
        <v>1.86</v>
      </c>
      <c r="E6">
        <v>3.48</v>
      </c>
      <c r="F6">
        <v>-8.24</v>
      </c>
      <c r="G6">
        <v>-0.94</v>
      </c>
      <c r="H6">
        <v>-2.46</v>
      </c>
      <c r="I6">
        <v>10</v>
      </c>
      <c r="J6">
        <f t="shared" si="0"/>
        <v>5.8818364479131864</v>
      </c>
      <c r="K6">
        <f t="shared" si="1"/>
        <v>-0.78036851936413221</v>
      </c>
      <c r="L6">
        <f t="shared" si="2"/>
        <v>0.91428571428571426</v>
      </c>
      <c r="M6">
        <f t="shared" si="3"/>
        <v>0.71347978913292087</v>
      </c>
      <c r="N6">
        <f t="shared" si="4"/>
        <v>0.28912252892968038</v>
      </c>
    </row>
    <row r="7" spans="1:14" x14ac:dyDescent="0.25">
      <c r="A7" t="s">
        <v>14</v>
      </c>
      <c r="B7">
        <v>2012</v>
      </c>
      <c r="C7">
        <v>-1.74</v>
      </c>
      <c r="D7">
        <v>1.2</v>
      </c>
      <c r="E7">
        <v>1.45</v>
      </c>
      <c r="F7">
        <v>-4.0999999999999996</v>
      </c>
      <c r="G7">
        <v>0.62</v>
      </c>
      <c r="H7">
        <v>-1.45</v>
      </c>
      <c r="I7">
        <v>11</v>
      </c>
      <c r="J7">
        <f t="shared" si="0"/>
        <v>3.9799497484264794</v>
      </c>
      <c r="K7">
        <f t="shared" si="1"/>
        <v>-0.4371914496377573</v>
      </c>
      <c r="L7">
        <f t="shared" si="2"/>
        <v>0.92307692307692313</v>
      </c>
      <c r="M7">
        <f t="shared" si="3"/>
        <v>0.40356133812716061</v>
      </c>
      <c r="N7">
        <f t="shared" si="4"/>
        <v>0.278318164225628</v>
      </c>
    </row>
    <row r="8" spans="1:14" x14ac:dyDescent="0.25">
      <c r="A8" t="s">
        <v>15</v>
      </c>
      <c r="B8">
        <v>2010</v>
      </c>
      <c r="C8">
        <v>-5.15</v>
      </c>
      <c r="D8">
        <v>3.43</v>
      </c>
      <c r="E8">
        <v>11.74</v>
      </c>
      <c r="F8">
        <v>-11.87</v>
      </c>
      <c r="G8">
        <v>1.57</v>
      </c>
      <c r="H8">
        <v>-1.5</v>
      </c>
      <c r="I8">
        <v>13</v>
      </c>
      <c r="J8">
        <f t="shared" si="0"/>
        <v>12.367040874841484</v>
      </c>
      <c r="K8">
        <f t="shared" si="1"/>
        <v>-0.41642944760348832</v>
      </c>
      <c r="L8">
        <f t="shared" si="2"/>
        <v>0.93617021276595747</v>
      </c>
      <c r="M8">
        <f t="shared" si="3"/>
        <v>0.38984884456496782</v>
      </c>
      <c r="N8">
        <f t="shared" si="4"/>
        <v>0.25964690036074556</v>
      </c>
    </row>
    <row r="9" spans="1:14" x14ac:dyDescent="0.25">
      <c r="A9" t="s">
        <v>16</v>
      </c>
      <c r="B9">
        <v>1990</v>
      </c>
      <c r="C9">
        <v>-5</v>
      </c>
      <c r="D9">
        <v>4.99</v>
      </c>
      <c r="E9">
        <v>24.99</v>
      </c>
      <c r="F9">
        <v>-14.8</v>
      </c>
      <c r="G9">
        <v>4.8</v>
      </c>
      <c r="H9">
        <v>-1</v>
      </c>
      <c r="I9">
        <v>5</v>
      </c>
      <c r="J9">
        <f t="shared" si="0"/>
        <v>11.157979207723951</v>
      </c>
      <c r="K9">
        <f t="shared" si="1"/>
        <v>-0.44810981513021836</v>
      </c>
      <c r="L9">
        <f t="shared" si="2"/>
        <v>0.8</v>
      </c>
      <c r="M9">
        <f t="shared" si="3"/>
        <v>0.35848785210417472</v>
      </c>
      <c r="N9">
        <f t="shared" si="4"/>
        <v>0.35777087639996635</v>
      </c>
    </row>
    <row r="10" spans="1:14" x14ac:dyDescent="0.25">
      <c r="A10" t="s">
        <v>17</v>
      </c>
      <c r="B10">
        <v>1988</v>
      </c>
      <c r="C10">
        <v>-0.9</v>
      </c>
      <c r="D10">
        <v>7.63</v>
      </c>
      <c r="E10">
        <v>58.27</v>
      </c>
      <c r="F10">
        <v>-15.86</v>
      </c>
      <c r="G10">
        <v>14.06</v>
      </c>
      <c r="H10">
        <v>-0.12</v>
      </c>
      <c r="I10">
        <v>5</v>
      </c>
      <c r="J10">
        <f t="shared" si="0"/>
        <v>17.061198668323396</v>
      </c>
      <c r="K10">
        <f t="shared" si="1"/>
        <v>-5.2751276009169352E-2</v>
      </c>
      <c r="L10">
        <f t="shared" si="2"/>
        <v>0.8</v>
      </c>
      <c r="M10">
        <f t="shared" si="3"/>
        <v>4.2201020807335482E-2</v>
      </c>
      <c r="N10">
        <f t="shared" si="4"/>
        <v>0.35777087639996635</v>
      </c>
    </row>
    <row r="11" spans="1:14" x14ac:dyDescent="0.25">
      <c r="A11" t="s">
        <v>18</v>
      </c>
      <c r="B11">
        <v>1996</v>
      </c>
      <c r="C11">
        <v>-41.4</v>
      </c>
      <c r="D11">
        <v>17.54</v>
      </c>
      <c r="E11">
        <v>307.60000000000002</v>
      </c>
      <c r="F11">
        <v>-75.78</v>
      </c>
      <c r="G11">
        <v>-7.03</v>
      </c>
      <c r="H11">
        <v>-2.36</v>
      </c>
      <c r="I11">
        <v>12</v>
      </c>
      <c r="J11">
        <f t="shared" si="0"/>
        <v>60.760342329516206</v>
      </c>
      <c r="K11">
        <f t="shared" si="1"/>
        <v>-0.68136548302310462</v>
      </c>
      <c r="L11">
        <f t="shared" si="2"/>
        <v>0.93023255813953487</v>
      </c>
      <c r="M11">
        <f t="shared" si="3"/>
        <v>0.63382835630056245</v>
      </c>
      <c r="N11">
        <f t="shared" si="4"/>
        <v>0.26853500892540733</v>
      </c>
    </row>
    <row r="12" spans="1:14" x14ac:dyDescent="0.25">
      <c r="A12" t="s">
        <v>19</v>
      </c>
      <c r="B12">
        <v>1998</v>
      </c>
      <c r="C12">
        <v>-14.38</v>
      </c>
      <c r="D12">
        <v>9.67</v>
      </c>
      <c r="E12">
        <v>93.52</v>
      </c>
      <c r="F12">
        <v>-33.33</v>
      </c>
      <c r="G12">
        <v>4.57</v>
      </c>
      <c r="H12">
        <v>-1.49</v>
      </c>
      <c r="I12">
        <v>8</v>
      </c>
      <c r="J12">
        <f t="shared" si="0"/>
        <v>27.35089029629566</v>
      </c>
      <c r="K12">
        <f t="shared" si="1"/>
        <v>-0.52575985074780529</v>
      </c>
      <c r="L12">
        <f t="shared" si="2"/>
        <v>0.88888888888888884</v>
      </c>
      <c r="M12">
        <f t="shared" si="3"/>
        <v>0.46734208955360468</v>
      </c>
      <c r="N12">
        <f t="shared" si="4"/>
        <v>0.31426968052735438</v>
      </c>
    </row>
    <row r="13" spans="1:14" x14ac:dyDescent="0.25">
      <c r="A13" t="s">
        <v>20</v>
      </c>
      <c r="B13">
        <v>1988</v>
      </c>
      <c r="C13">
        <v>-2.62</v>
      </c>
      <c r="D13">
        <v>1.02</v>
      </c>
      <c r="E13">
        <v>1.04</v>
      </c>
      <c r="F13">
        <v>-4.62</v>
      </c>
      <c r="G13">
        <v>-0.62</v>
      </c>
      <c r="H13">
        <v>-2.57</v>
      </c>
      <c r="I13">
        <v>8</v>
      </c>
      <c r="J13">
        <f t="shared" si="0"/>
        <v>2.8849956672411143</v>
      </c>
      <c r="K13">
        <f t="shared" si="1"/>
        <v>-0.9081469444650756</v>
      </c>
      <c r="L13">
        <f t="shared" si="2"/>
        <v>0.88888888888888884</v>
      </c>
      <c r="M13">
        <f t="shared" si="3"/>
        <v>0.80724172841340047</v>
      </c>
      <c r="N13">
        <f t="shared" si="4"/>
        <v>0.31426968052735438</v>
      </c>
    </row>
    <row r="14" spans="1:14" x14ac:dyDescent="0.25">
      <c r="A14" t="s">
        <v>21</v>
      </c>
      <c r="B14">
        <v>2003</v>
      </c>
      <c r="C14">
        <v>-18.100000000000001</v>
      </c>
      <c r="D14">
        <v>5.16</v>
      </c>
      <c r="E14">
        <v>26.65</v>
      </c>
      <c r="F14">
        <v>-28.22</v>
      </c>
      <c r="G14">
        <v>-7.98</v>
      </c>
      <c r="H14">
        <v>-3.51</v>
      </c>
      <c r="I14">
        <v>9</v>
      </c>
      <c r="J14">
        <f t="shared" si="0"/>
        <v>15.48</v>
      </c>
      <c r="K14">
        <f t="shared" si="1"/>
        <v>-1.1692506459948322</v>
      </c>
      <c r="L14">
        <f t="shared" si="2"/>
        <v>0.90322580645161288</v>
      </c>
      <c r="M14">
        <f t="shared" si="3"/>
        <v>1.0560973576727517</v>
      </c>
      <c r="N14">
        <f t="shared" si="4"/>
        <v>0.30107526881720426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2026-04-24T12:47:49Z</dcterms:modified>
</cp:coreProperties>
</file>