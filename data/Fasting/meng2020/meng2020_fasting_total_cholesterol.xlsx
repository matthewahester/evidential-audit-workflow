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meng2020\"/>
    </mc:Choice>
  </mc:AlternateContent>
  <xr:revisionPtr revIDLastSave="0" documentId="13_ncr:1_{26D97C93-5B96-411F-9092-F8C7DC492219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 s="1"/>
  <c r="J3" i="1" s="1"/>
  <c r="M3" i="1" s="1"/>
  <c r="L3" i="1"/>
  <c r="H4" i="1"/>
  <c r="K4" i="1" s="1"/>
  <c r="N4" i="1" s="1"/>
  <c r="I4" i="1"/>
  <c r="J4" i="1" s="1"/>
  <c r="M4" i="1" s="1"/>
  <c r="L4" i="1"/>
  <c r="H5" i="1"/>
  <c r="I5" i="1" s="1"/>
  <c r="L5" i="1"/>
  <c r="H6" i="1"/>
  <c r="I6" i="1"/>
  <c r="K6" i="1" s="1"/>
  <c r="N6" i="1" s="1"/>
  <c r="J6" i="1"/>
  <c r="M6" i="1" s="1"/>
  <c r="L6" i="1"/>
  <c r="H7" i="1"/>
  <c r="I7" i="1"/>
  <c r="J7" i="1" s="1"/>
  <c r="M7" i="1" s="1"/>
  <c r="L7" i="1"/>
  <c r="H8" i="1"/>
  <c r="I8" i="1" s="1"/>
  <c r="J8" i="1" s="1"/>
  <c r="M8" i="1" s="1"/>
  <c r="L8" i="1"/>
  <c r="H9" i="1"/>
  <c r="K9" i="1" s="1"/>
  <c r="N9" i="1" s="1"/>
  <c r="I9" i="1"/>
  <c r="J9" i="1"/>
  <c r="L9" i="1"/>
  <c r="M9" i="1"/>
  <c r="H10" i="1"/>
  <c r="I10" i="1" s="1"/>
  <c r="J10" i="1" s="1"/>
  <c r="M10" i="1" s="1"/>
  <c r="L10" i="1"/>
  <c r="H11" i="1"/>
  <c r="I11" i="1" s="1"/>
  <c r="L11" i="1"/>
  <c r="H12" i="1"/>
  <c r="I12" i="1"/>
  <c r="K12" i="1" s="1"/>
  <c r="N12" i="1" s="1"/>
  <c r="J12" i="1"/>
  <c r="L12" i="1"/>
  <c r="M12" i="1"/>
  <c r="H13" i="1"/>
  <c r="K13" i="1" s="1"/>
  <c r="N13" i="1" s="1"/>
  <c r="I13" i="1"/>
  <c r="J13" i="1" s="1"/>
  <c r="M13" i="1" s="1"/>
  <c r="L13" i="1"/>
  <c r="H14" i="1"/>
  <c r="I14" i="1" s="1"/>
  <c r="L14" i="1"/>
  <c r="H15" i="1"/>
  <c r="I15" i="1" s="1"/>
  <c r="J15" i="1" s="1"/>
  <c r="M15" i="1" s="1"/>
  <c r="L15" i="1"/>
  <c r="H16" i="1"/>
  <c r="I16" i="1"/>
  <c r="J16" i="1" s="1"/>
  <c r="M16" i="1" s="1"/>
  <c r="L16" i="1"/>
  <c r="H17" i="1"/>
  <c r="I17" i="1" s="1"/>
  <c r="L17" i="1"/>
  <c r="H18" i="1"/>
  <c r="I18" i="1"/>
  <c r="K18" i="1" s="1"/>
  <c r="N18" i="1" s="1"/>
  <c r="J18" i="1"/>
  <c r="M18" i="1" s="1"/>
  <c r="L18" i="1"/>
  <c r="H19" i="1"/>
  <c r="I19" i="1"/>
  <c r="J19" i="1" s="1"/>
  <c r="M19" i="1" s="1"/>
  <c r="K19" i="1"/>
  <c r="L19" i="1"/>
  <c r="N19" i="1" s="1"/>
  <c r="H20" i="1"/>
  <c r="I20" i="1" s="1"/>
  <c r="J20" i="1" s="1"/>
  <c r="M20" i="1" s="1"/>
  <c r="L20" i="1"/>
  <c r="H21" i="1"/>
  <c r="K21" i="1" s="1"/>
  <c r="N21" i="1" s="1"/>
  <c r="I21" i="1"/>
  <c r="J21" i="1"/>
  <c r="L21" i="1"/>
  <c r="M21" i="1"/>
  <c r="H22" i="1"/>
  <c r="I22" i="1" s="1"/>
  <c r="L22" i="1"/>
  <c r="H23" i="1"/>
  <c r="I23" i="1" s="1"/>
  <c r="L23" i="1"/>
  <c r="H24" i="1"/>
  <c r="I24" i="1"/>
  <c r="K24" i="1" s="1"/>
  <c r="N24" i="1" s="1"/>
  <c r="J24" i="1"/>
  <c r="L24" i="1"/>
  <c r="M24" i="1"/>
  <c r="H25" i="1"/>
  <c r="K25" i="1" s="1"/>
  <c r="N25" i="1" s="1"/>
  <c r="I25" i="1"/>
  <c r="J25" i="1" s="1"/>
  <c r="M25" i="1" s="1"/>
  <c r="L25" i="1"/>
  <c r="H26" i="1"/>
  <c r="I26" i="1" s="1"/>
  <c r="L26" i="1"/>
  <c r="H27" i="1"/>
  <c r="I27" i="1" s="1"/>
  <c r="J27" i="1" s="1"/>
  <c r="M27" i="1" s="1"/>
  <c r="L27" i="1"/>
  <c r="H28" i="1"/>
  <c r="I28" i="1"/>
  <c r="J28" i="1" s="1"/>
  <c r="M28" i="1" s="1"/>
  <c r="L28" i="1"/>
  <c r="H29" i="1"/>
  <c r="I29" i="1" s="1"/>
  <c r="L29" i="1"/>
  <c r="H30" i="1"/>
  <c r="I30" i="1"/>
  <c r="K30" i="1" s="1"/>
  <c r="N30" i="1" s="1"/>
  <c r="J30" i="1"/>
  <c r="M30" i="1" s="1"/>
  <c r="L30" i="1"/>
  <c r="H31" i="1"/>
  <c r="I31" i="1"/>
  <c r="J31" i="1" s="1"/>
  <c r="M31" i="1" s="1"/>
  <c r="K31" i="1"/>
  <c r="L31" i="1"/>
  <c r="N31" i="1" s="1"/>
  <c r="H32" i="1"/>
  <c r="I32" i="1" s="1"/>
  <c r="J32" i="1" s="1"/>
  <c r="M32" i="1" s="1"/>
  <c r="L32" i="1"/>
  <c r="H33" i="1"/>
  <c r="K33" i="1" s="1"/>
  <c r="N33" i="1" s="1"/>
  <c r="I33" i="1"/>
  <c r="J33" i="1"/>
  <c r="L33" i="1"/>
  <c r="M33" i="1"/>
  <c r="H34" i="1"/>
  <c r="I34" i="1" s="1"/>
  <c r="L34" i="1"/>
  <c r="L2" i="1"/>
  <c r="H2" i="1"/>
  <c r="K26" i="1" l="1"/>
  <c r="N26" i="1" s="1"/>
  <c r="J26" i="1"/>
  <c r="M26" i="1" s="1"/>
  <c r="K5" i="1"/>
  <c r="N5" i="1" s="1"/>
  <c r="J5" i="1"/>
  <c r="M5" i="1" s="1"/>
  <c r="K23" i="1"/>
  <c r="N23" i="1" s="1"/>
  <c r="J23" i="1"/>
  <c r="M23" i="1" s="1"/>
  <c r="K34" i="1"/>
  <c r="N34" i="1" s="1"/>
  <c r="J34" i="1"/>
  <c r="M34" i="1" s="1"/>
  <c r="K17" i="1"/>
  <c r="N17" i="1" s="1"/>
  <c r="J17" i="1"/>
  <c r="M17" i="1" s="1"/>
  <c r="K11" i="1"/>
  <c r="N11" i="1" s="1"/>
  <c r="J11" i="1"/>
  <c r="M11" i="1" s="1"/>
  <c r="K14" i="1"/>
  <c r="N14" i="1" s="1"/>
  <c r="J14" i="1"/>
  <c r="M14" i="1" s="1"/>
  <c r="J22" i="1"/>
  <c r="M22" i="1" s="1"/>
  <c r="K22" i="1"/>
  <c r="N22" i="1" s="1"/>
  <c r="K29" i="1"/>
  <c r="N29" i="1" s="1"/>
  <c r="J29" i="1"/>
  <c r="M29" i="1" s="1"/>
  <c r="K28" i="1"/>
  <c r="N28" i="1" s="1"/>
  <c r="K16" i="1"/>
  <c r="N16" i="1" s="1"/>
  <c r="K7" i="1"/>
  <c r="N7" i="1" s="1"/>
  <c r="K10" i="1"/>
  <c r="N10" i="1" s="1"/>
  <c r="K27" i="1"/>
  <c r="N27" i="1" s="1"/>
  <c r="K15" i="1"/>
  <c r="N15" i="1" s="1"/>
  <c r="K3" i="1"/>
  <c r="N3" i="1" s="1"/>
  <c r="K32" i="1"/>
  <c r="N32" i="1" s="1"/>
  <c r="K20" i="1"/>
  <c r="N20" i="1" s="1"/>
  <c r="K8" i="1"/>
  <c r="N8" i="1" s="1"/>
  <c r="I2" i="1"/>
  <c r="J2" i="1" s="1"/>
  <c r="M2" i="1" s="1"/>
  <c r="K2" i="1" l="1"/>
  <c r="N2" i="1" s="1"/>
</calcChain>
</file>

<file path=xl/sharedStrings.xml><?xml version="1.0" encoding="utf-8"?>
<sst xmlns="http://schemas.openxmlformats.org/spreadsheetml/2006/main" count="47" uniqueCount="47">
  <si>
    <t>author</t>
  </si>
  <si>
    <t>year</t>
  </si>
  <si>
    <t>wmd</t>
  </si>
  <si>
    <t>lci</t>
  </si>
  <si>
    <t>uci</t>
  </si>
  <si>
    <t>n_treat</t>
  </si>
  <si>
    <t>n_control</t>
  </si>
  <si>
    <t>Shojasaadat</t>
  </si>
  <si>
    <t>Ong</t>
  </si>
  <si>
    <t>Hirsh</t>
  </si>
  <si>
    <t>Mahon (a)</t>
  </si>
  <si>
    <t>Bowen</t>
  </si>
  <si>
    <t>Teng</t>
  </si>
  <si>
    <t>Lambert (b)</t>
  </si>
  <si>
    <t>Astbury</t>
  </si>
  <si>
    <t>Zuo</t>
  </si>
  <si>
    <t>Cho (a)</t>
  </si>
  <si>
    <t>Ramezankhany</t>
  </si>
  <si>
    <t>Wei</t>
  </si>
  <si>
    <t>Harder-Lauridsen</t>
  </si>
  <si>
    <t>Trepanowski (CR)</t>
  </si>
  <si>
    <t>Bhutani (b)</t>
  </si>
  <si>
    <t>Izadi</t>
  </si>
  <si>
    <t>Lee</t>
  </si>
  <si>
    <t>Bhutani (a)</t>
  </si>
  <si>
    <t>Karimi</t>
  </si>
  <si>
    <t>Mahon (b)</t>
  </si>
  <si>
    <t>Trepanowski (ADF)</t>
  </si>
  <si>
    <t>Lambert (a)</t>
  </si>
  <si>
    <t>Moro</t>
  </si>
  <si>
    <t>Varady</t>
  </si>
  <si>
    <t>Kessler</t>
  </si>
  <si>
    <t>Tapsell (b)</t>
  </si>
  <si>
    <t>Cho (b)</t>
  </si>
  <si>
    <t>Fernandes</t>
  </si>
  <si>
    <t>Li</t>
  </si>
  <si>
    <t>Tapsell (a)</t>
  </si>
  <si>
    <t>Tinsley</t>
  </si>
  <si>
    <t>do Valle</t>
  </si>
  <si>
    <t>Mahon (c)</t>
  </si>
  <si>
    <t>se_wmd</t>
  </si>
  <si>
    <t>pooled_sd</t>
  </si>
  <si>
    <t>d</t>
  </si>
  <si>
    <t>se_d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</si>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</sst>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I6" sqref="I6"/>
    </sheetView>
  </sheetViews>
  <sheetFormatPr defaultRowHeight="15" x14ac:dyDescent="0.25"/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</row>
    <row r="2" spans="1:14" ht="30" x14ac:dyDescent="0.25">
      <c r="A2" s="2" t="s">
        <v>7</v>
      </c>
      <c r="B2" s="2">
        <v>2019</v>
      </c>
      <c r="C2" s="2">
        <v>-11.61</v>
      </c>
      <c r="D2" s="2">
        <v>-27.2</v>
      </c>
      <c r="E2" s="2">
        <v>3.98</v>
      </c>
      <c r="F2" s="2">
        <v>35</v>
      </c>
      <c r="G2" s="2">
        <v>34</v>
      </c>
      <c r="H2">
        <f>(E2-D2)/2/1.96</f>
        <v>7.954081632653061</v>
      </c>
      <c r="I2">
        <f>H2/SQRT(1/F2+1/G2)</f>
        <v>33.032312550184322</v>
      </c>
      <c r="J2">
        <f>C2/I2</f>
        <v>-0.35147402962966984</v>
      </c>
      <c r="K2">
        <f>H2/I2</f>
        <v>0.24079699598896767</v>
      </c>
      <c r="L2">
        <f>1-3/(4*(F2+G2-2)-1)</f>
        <v>0.9887640449438202</v>
      </c>
      <c r="M2">
        <f>-J2*L2</f>
        <v>0.34752488322933645</v>
      </c>
      <c r="N2">
        <f>K2*L2</f>
        <v>0.23809141176437251</v>
      </c>
    </row>
    <row r="3" spans="1:14" x14ac:dyDescent="0.25">
      <c r="A3" s="2" t="s">
        <v>8</v>
      </c>
      <c r="B3" s="2">
        <v>2009</v>
      </c>
      <c r="C3" s="2">
        <v>-54.13</v>
      </c>
      <c r="D3" s="2">
        <v>-76.739999999999995</v>
      </c>
      <c r="E3" s="2">
        <v>-31.52</v>
      </c>
      <c r="F3" s="2">
        <v>10</v>
      </c>
      <c r="G3" s="2">
        <v>9</v>
      </c>
      <c r="H3">
        <f t="shared" ref="H3:H34" si="0">(E3-D3)/2/1.96</f>
        <v>11.535714285714286</v>
      </c>
      <c r="I3">
        <f t="shared" ref="I3:I34" si="1">H3/SQRT(1/F3+1/G3)</f>
        <v>25.106660227021475</v>
      </c>
      <c r="J3">
        <f t="shared" ref="J3:J34" si="2">C3/I3</f>
        <v>-2.156001615130859</v>
      </c>
      <c r="K3">
        <f t="shared" ref="K3:K34" si="3">H3/I3</f>
        <v>0.45946829173634074</v>
      </c>
      <c r="L3">
        <f t="shared" ref="L3:L34" si="4">1-3/(4*(F3+G3-2)-1)</f>
        <v>0.95522388059701491</v>
      </c>
      <c r="M3">
        <f t="shared" ref="M3:M34" si="5">-J3*L3</f>
        <v>2.0594642293787309</v>
      </c>
      <c r="N3">
        <f t="shared" ref="N3:N34" si="6">K3*L3</f>
        <v>0.43889508464366878</v>
      </c>
    </row>
    <row r="4" spans="1:14" x14ac:dyDescent="0.25">
      <c r="A4" s="2" t="s">
        <v>9</v>
      </c>
      <c r="B4" s="2">
        <v>2019</v>
      </c>
      <c r="C4" s="2">
        <v>-3.2</v>
      </c>
      <c r="D4" s="2">
        <v>-17.579999999999998</v>
      </c>
      <c r="E4" s="2">
        <v>11.18</v>
      </c>
      <c r="F4" s="2">
        <v>10</v>
      </c>
      <c r="G4" s="2">
        <v>12</v>
      </c>
      <c r="H4">
        <f t="shared" si="0"/>
        <v>7.3367346938775508</v>
      </c>
      <c r="I4">
        <f t="shared" si="1"/>
        <v>17.134920638330662</v>
      </c>
      <c r="J4">
        <f t="shared" si="2"/>
        <v>-0.18675312641026356</v>
      </c>
      <c r="K4">
        <f t="shared" si="3"/>
        <v>0.42817441928883765</v>
      </c>
      <c r="L4">
        <f t="shared" si="4"/>
        <v>0.96202531645569622</v>
      </c>
      <c r="M4">
        <f t="shared" si="5"/>
        <v>0.17966123553392443</v>
      </c>
      <c r="N4">
        <f t="shared" si="6"/>
        <v>0.411914631214578</v>
      </c>
    </row>
    <row r="5" spans="1:14" ht="30" x14ac:dyDescent="0.25">
      <c r="A5" s="2" t="s">
        <v>10</v>
      </c>
      <c r="B5" s="2">
        <v>2007</v>
      </c>
      <c r="C5" s="2">
        <v>-38</v>
      </c>
      <c r="D5" s="2">
        <v>-85.86</v>
      </c>
      <c r="E5" s="2">
        <v>9.86</v>
      </c>
      <c r="F5" s="2">
        <v>14</v>
      </c>
      <c r="G5" s="2">
        <v>11</v>
      </c>
      <c r="H5">
        <f t="shared" si="0"/>
        <v>24.418367346938776</v>
      </c>
      <c r="I5">
        <f t="shared" si="1"/>
        <v>60.604793948685959</v>
      </c>
      <c r="J5">
        <f t="shared" si="2"/>
        <v>-0.62701310447775094</v>
      </c>
      <c r="K5">
        <f t="shared" si="3"/>
        <v>0.40291148201269017</v>
      </c>
      <c r="L5">
        <f t="shared" si="4"/>
        <v>0.96703296703296704</v>
      </c>
      <c r="M5">
        <f t="shared" si="5"/>
        <v>0.60634234279167121</v>
      </c>
      <c r="N5">
        <f t="shared" si="6"/>
        <v>0.3896286859023817</v>
      </c>
    </row>
    <row r="6" spans="1:14" x14ac:dyDescent="0.25">
      <c r="A6" s="2" t="s">
        <v>11</v>
      </c>
      <c r="B6" s="2">
        <v>2018</v>
      </c>
      <c r="C6" s="2">
        <v>3.87</v>
      </c>
      <c r="D6" s="2">
        <v>-8.86</v>
      </c>
      <c r="E6" s="2">
        <v>16.600000000000001</v>
      </c>
      <c r="F6" s="2">
        <v>67</v>
      </c>
      <c r="G6" s="2">
        <v>68</v>
      </c>
      <c r="H6">
        <f t="shared" si="0"/>
        <v>6.4948979591836737</v>
      </c>
      <c r="I6">
        <f t="shared" si="1"/>
        <v>37.730912262626127</v>
      </c>
      <c r="J6">
        <f t="shared" si="2"/>
        <v>0.1025684185174971</v>
      </c>
      <c r="K6">
        <f t="shared" si="3"/>
        <v>0.17213731578966121</v>
      </c>
      <c r="L6">
        <f t="shared" si="4"/>
        <v>0.99435028248587576</v>
      </c>
      <c r="M6">
        <f t="shared" si="5"/>
        <v>-0.10198893592700277</v>
      </c>
      <c r="N6">
        <f t="shared" si="6"/>
        <v>0.17116478858181003</v>
      </c>
    </row>
    <row r="7" spans="1:14" x14ac:dyDescent="0.25">
      <c r="A7" s="2" t="s">
        <v>12</v>
      </c>
      <c r="B7" s="2">
        <v>2013</v>
      </c>
      <c r="C7" s="2">
        <v>-20.87</v>
      </c>
      <c r="D7" s="2">
        <v>-40.14</v>
      </c>
      <c r="E7" s="2">
        <v>-1.6</v>
      </c>
      <c r="F7" s="2">
        <v>28</v>
      </c>
      <c r="G7" s="2">
        <v>28</v>
      </c>
      <c r="H7">
        <f t="shared" si="0"/>
        <v>9.8316326530612237</v>
      </c>
      <c r="I7">
        <f t="shared" si="1"/>
        <v>36.786600940374406</v>
      </c>
      <c r="J7">
        <f t="shared" si="2"/>
        <v>-0.56732613143103816</v>
      </c>
      <c r="K7">
        <f t="shared" si="3"/>
        <v>0.2672612419124244</v>
      </c>
      <c r="L7">
        <f t="shared" si="4"/>
        <v>0.98604651162790702</v>
      </c>
      <c r="M7">
        <f t="shared" si="5"/>
        <v>0.55940995285293071</v>
      </c>
      <c r="N7">
        <f t="shared" si="6"/>
        <v>0.26353201528108827</v>
      </c>
    </row>
    <row r="8" spans="1:14" ht="30" x14ac:dyDescent="0.25">
      <c r="A8" s="2" t="s">
        <v>13</v>
      </c>
      <c r="B8" s="2">
        <v>2017</v>
      </c>
      <c r="C8" s="2">
        <v>-31.18</v>
      </c>
      <c r="D8" s="2">
        <v>-51.49</v>
      </c>
      <c r="E8" s="2">
        <v>-10.86</v>
      </c>
      <c r="F8" s="2">
        <v>11</v>
      </c>
      <c r="G8" s="2">
        <v>10</v>
      </c>
      <c r="H8">
        <f t="shared" si="0"/>
        <v>10.364795918367347</v>
      </c>
      <c r="I8">
        <f t="shared" si="1"/>
        <v>23.721789649055214</v>
      </c>
      <c r="J8">
        <f t="shared" si="2"/>
        <v>-1.3144033591597855</v>
      </c>
      <c r="K8">
        <f t="shared" si="3"/>
        <v>0.4369314487526515</v>
      </c>
      <c r="L8">
        <f t="shared" si="4"/>
        <v>0.96</v>
      </c>
      <c r="M8">
        <f t="shared" si="5"/>
        <v>1.2618272247933939</v>
      </c>
      <c r="N8">
        <f t="shared" si="6"/>
        <v>0.41945419080254542</v>
      </c>
    </row>
    <row r="9" spans="1:14" x14ac:dyDescent="0.25">
      <c r="A9" s="2" t="s">
        <v>14</v>
      </c>
      <c r="B9" s="2">
        <v>2018</v>
      </c>
      <c r="C9" s="2">
        <v>-7.73</v>
      </c>
      <c r="D9" s="2">
        <v>-18.25</v>
      </c>
      <c r="E9" s="2">
        <v>2.79</v>
      </c>
      <c r="F9" s="2">
        <v>89</v>
      </c>
      <c r="G9" s="2">
        <v>76</v>
      </c>
      <c r="H9">
        <f t="shared" si="0"/>
        <v>5.3673469387755102</v>
      </c>
      <c r="I9">
        <f t="shared" si="1"/>
        <v>34.365249063044708</v>
      </c>
      <c r="J9">
        <f t="shared" si="2"/>
        <v>-0.22493653358423046</v>
      </c>
      <c r="K9">
        <f t="shared" si="3"/>
        <v>0.15618530594464347</v>
      </c>
      <c r="L9">
        <f t="shared" si="4"/>
        <v>0.99539170506912444</v>
      </c>
      <c r="M9">
        <f t="shared" si="5"/>
        <v>0.22389995969674553</v>
      </c>
      <c r="N9">
        <f t="shared" si="6"/>
        <v>0.15546555799098152</v>
      </c>
    </row>
    <row r="10" spans="1:14" x14ac:dyDescent="0.25">
      <c r="A10" s="2" t="s">
        <v>15</v>
      </c>
      <c r="B10" s="2">
        <v>2016</v>
      </c>
      <c r="C10" s="2">
        <v>-10.4</v>
      </c>
      <c r="D10" s="2">
        <v>-41.83</v>
      </c>
      <c r="E10" s="2">
        <v>21.03</v>
      </c>
      <c r="F10" s="2">
        <v>10</v>
      </c>
      <c r="G10" s="2">
        <v>14</v>
      </c>
      <c r="H10">
        <f t="shared" si="0"/>
        <v>16.035714285714285</v>
      </c>
      <c r="I10">
        <f t="shared" si="1"/>
        <v>38.729929518089634</v>
      </c>
      <c r="J10">
        <f t="shared" si="2"/>
        <v>-0.26852617935032547</v>
      </c>
      <c r="K10">
        <f t="shared" si="3"/>
        <v>0.41403933560541245</v>
      </c>
      <c r="L10">
        <f t="shared" si="4"/>
        <v>0.96551724137931039</v>
      </c>
      <c r="M10">
        <f t="shared" si="5"/>
        <v>0.25926665592445219</v>
      </c>
      <c r="N10">
        <f t="shared" si="6"/>
        <v>0.39976211713626031</v>
      </c>
    </row>
    <row r="11" spans="1:14" x14ac:dyDescent="0.25">
      <c r="A11" s="2" t="s">
        <v>16</v>
      </c>
      <c r="B11" s="2">
        <v>2019</v>
      </c>
      <c r="C11" s="2">
        <v>-27.8</v>
      </c>
      <c r="D11" s="2">
        <v>-58.65</v>
      </c>
      <c r="E11" s="2">
        <v>3.05</v>
      </c>
      <c r="F11" s="2">
        <v>8</v>
      </c>
      <c r="G11" s="2">
        <v>5</v>
      </c>
      <c r="H11">
        <f t="shared" si="0"/>
        <v>15.739795918367346</v>
      </c>
      <c r="I11">
        <f t="shared" si="1"/>
        <v>27.609428464920253</v>
      </c>
      <c r="J11">
        <f t="shared" si="2"/>
        <v>-1.0069024078249893</v>
      </c>
      <c r="K11">
        <f t="shared" si="3"/>
        <v>0.57008771254956903</v>
      </c>
      <c r="L11">
        <f t="shared" si="4"/>
        <v>0.93023255813953487</v>
      </c>
      <c r="M11">
        <f t="shared" si="5"/>
        <v>0.93665340262789698</v>
      </c>
      <c r="N11">
        <f t="shared" si="6"/>
        <v>0.53031415120890146</v>
      </c>
    </row>
    <row r="12" spans="1:14" ht="30" x14ac:dyDescent="0.25">
      <c r="A12" s="2" t="s">
        <v>17</v>
      </c>
      <c r="B12" s="2">
        <v>2011</v>
      </c>
      <c r="C12" s="2">
        <v>-2.0299999999999998</v>
      </c>
      <c r="D12" s="2">
        <v>-18.52</v>
      </c>
      <c r="E12" s="2">
        <v>14.46</v>
      </c>
      <c r="F12" s="2">
        <v>12</v>
      </c>
      <c r="G12" s="2">
        <v>12</v>
      </c>
      <c r="H12">
        <f t="shared" si="0"/>
        <v>8.4132653061224509</v>
      </c>
      <c r="I12">
        <f t="shared" si="1"/>
        <v>20.608207070660519</v>
      </c>
      <c r="J12">
        <f t="shared" si="2"/>
        <v>-9.8504445002887658E-2</v>
      </c>
      <c r="K12">
        <f t="shared" si="3"/>
        <v>0.40824829046386302</v>
      </c>
      <c r="L12">
        <f t="shared" si="4"/>
        <v>0.96551724137931039</v>
      </c>
      <c r="M12">
        <f t="shared" si="5"/>
        <v>9.5107740002788085E-2</v>
      </c>
      <c r="N12">
        <f t="shared" si="6"/>
        <v>0.39417076320648847</v>
      </c>
    </row>
    <row r="13" spans="1:14" x14ac:dyDescent="0.25">
      <c r="A13" s="2" t="s">
        <v>18</v>
      </c>
      <c r="B13" s="2">
        <v>2017</v>
      </c>
      <c r="C13" s="2">
        <v>1.1000000000000001</v>
      </c>
      <c r="D13" s="2">
        <v>-8.07</v>
      </c>
      <c r="E13" s="2">
        <v>10.27</v>
      </c>
      <c r="F13" s="2">
        <v>30</v>
      </c>
      <c r="G13" s="2">
        <v>37</v>
      </c>
      <c r="H13">
        <f t="shared" si="0"/>
        <v>4.6785714285714288</v>
      </c>
      <c r="I13">
        <f t="shared" si="1"/>
        <v>19.043087036363222</v>
      </c>
      <c r="J13">
        <f t="shared" si="2"/>
        <v>5.7763743761687601E-2</v>
      </c>
      <c r="K13">
        <f t="shared" si="3"/>
        <v>0.2456834556097752</v>
      </c>
      <c r="L13">
        <f t="shared" si="4"/>
        <v>0.98841698841698844</v>
      </c>
      <c r="M13">
        <f t="shared" si="5"/>
        <v>-5.7094665648617864E-2</v>
      </c>
      <c r="N13">
        <f t="shared" si="6"/>
        <v>0.24283770129769286</v>
      </c>
    </row>
    <row r="14" spans="1:14" ht="45" x14ac:dyDescent="0.25">
      <c r="A14" s="2" t="s">
        <v>19</v>
      </c>
      <c r="B14" s="2">
        <v>2017</v>
      </c>
      <c r="C14" s="2">
        <v>0</v>
      </c>
      <c r="D14" s="2">
        <v>-6.66</v>
      </c>
      <c r="E14" s="2">
        <v>6.66</v>
      </c>
      <c r="F14" s="2">
        <v>10</v>
      </c>
      <c r="G14" s="2">
        <v>10</v>
      </c>
      <c r="H14">
        <f t="shared" si="0"/>
        <v>3.3979591836734695</v>
      </c>
      <c r="I14">
        <f t="shared" si="1"/>
        <v>7.5980677194635717</v>
      </c>
      <c r="J14">
        <f t="shared" si="2"/>
        <v>0</v>
      </c>
      <c r="K14">
        <f t="shared" si="3"/>
        <v>0.44721359549995793</v>
      </c>
      <c r="L14">
        <f t="shared" si="4"/>
        <v>0.95774647887323949</v>
      </c>
      <c r="M14">
        <f t="shared" si="5"/>
        <v>0</v>
      </c>
      <c r="N14">
        <f t="shared" si="6"/>
        <v>0.42831724639432595</v>
      </c>
    </row>
    <row r="15" spans="1:14" ht="30" x14ac:dyDescent="0.25">
      <c r="A15" s="2" t="s">
        <v>20</v>
      </c>
      <c r="B15" s="2">
        <v>2017</v>
      </c>
      <c r="C15" s="2">
        <v>-11</v>
      </c>
      <c r="D15" s="2">
        <v>-13.96</v>
      </c>
      <c r="E15" s="2">
        <v>-8.0399999999999991</v>
      </c>
      <c r="F15" s="2">
        <v>29</v>
      </c>
      <c r="G15" s="2">
        <v>25</v>
      </c>
      <c r="H15">
        <f t="shared" si="0"/>
        <v>1.5102040816326536</v>
      </c>
      <c r="I15">
        <f t="shared" si="1"/>
        <v>5.5336000051711816</v>
      </c>
      <c r="J15">
        <f t="shared" si="2"/>
        <v>-1.9878560050817615</v>
      </c>
      <c r="K15">
        <f t="shared" si="3"/>
        <v>0.27291529568840522</v>
      </c>
      <c r="L15">
        <f t="shared" si="4"/>
        <v>0.98550724637681164</v>
      </c>
      <c r="M15">
        <f t="shared" si="5"/>
        <v>1.9590464977617361</v>
      </c>
      <c r="N15">
        <f t="shared" si="6"/>
        <v>0.26896000154799354</v>
      </c>
    </row>
    <row r="16" spans="1:14" ht="30" x14ac:dyDescent="0.25">
      <c r="A16" s="2" t="s">
        <v>21</v>
      </c>
      <c r="B16" s="2">
        <v>2013</v>
      </c>
      <c r="C16" s="2">
        <v>-2</v>
      </c>
      <c r="D16" s="2">
        <v>-13.43</v>
      </c>
      <c r="E16" s="2">
        <v>9.43</v>
      </c>
      <c r="F16" s="2">
        <v>16</v>
      </c>
      <c r="G16" s="2">
        <v>16</v>
      </c>
      <c r="H16">
        <f t="shared" si="0"/>
        <v>5.8316326530612246</v>
      </c>
      <c r="I16">
        <f t="shared" si="1"/>
        <v>16.494347977473954</v>
      </c>
      <c r="J16">
        <f t="shared" si="2"/>
        <v>-0.12125365626645961</v>
      </c>
      <c r="K16">
        <f t="shared" si="3"/>
        <v>0.35355339059327379</v>
      </c>
      <c r="L16">
        <f t="shared" si="4"/>
        <v>0.97478991596638653</v>
      </c>
      <c r="M16">
        <f t="shared" si="5"/>
        <v>0.11819684140259927</v>
      </c>
      <c r="N16">
        <f t="shared" si="6"/>
        <v>0.3446402799060484</v>
      </c>
    </row>
    <row r="17" spans="1:14" x14ac:dyDescent="0.25">
      <c r="A17" s="2" t="s">
        <v>22</v>
      </c>
      <c r="B17" s="2">
        <v>2018</v>
      </c>
      <c r="C17" s="2">
        <v>-0.7</v>
      </c>
      <c r="D17" s="2">
        <v>-0.92</v>
      </c>
      <c r="E17" s="2">
        <v>-0.48</v>
      </c>
      <c r="F17" s="2">
        <v>30</v>
      </c>
      <c r="G17" s="2">
        <v>30</v>
      </c>
      <c r="H17">
        <f t="shared" si="0"/>
        <v>0.11224489795918369</v>
      </c>
      <c r="I17">
        <f t="shared" si="1"/>
        <v>0.43472262049266935</v>
      </c>
      <c r="J17">
        <f t="shared" si="2"/>
        <v>-1.6102221669686589</v>
      </c>
      <c r="K17">
        <f t="shared" si="3"/>
        <v>0.2581988897471611</v>
      </c>
      <c r="L17">
        <f t="shared" si="4"/>
        <v>0.98701298701298701</v>
      </c>
      <c r="M17">
        <f t="shared" si="5"/>
        <v>1.5893101907742608</v>
      </c>
      <c r="N17">
        <f t="shared" si="6"/>
        <v>0.25484565741278237</v>
      </c>
    </row>
    <row r="18" spans="1:14" x14ac:dyDescent="0.25">
      <c r="A18" s="2" t="s">
        <v>23</v>
      </c>
      <c r="B18" s="2">
        <v>2017</v>
      </c>
      <c r="C18" s="2">
        <v>-34.79</v>
      </c>
      <c r="D18" s="2">
        <v>-72.010000000000005</v>
      </c>
      <c r="E18" s="2">
        <v>2.4300000000000002</v>
      </c>
      <c r="F18" s="2">
        <v>30</v>
      </c>
      <c r="G18" s="2">
        <v>30</v>
      </c>
      <c r="H18">
        <f t="shared" si="0"/>
        <v>18.989795918367349</v>
      </c>
      <c r="I18">
        <f t="shared" si="1"/>
        <v>73.547163339714331</v>
      </c>
      <c r="J18">
        <f t="shared" si="2"/>
        <v>-0.47302980047381293</v>
      </c>
      <c r="K18">
        <f t="shared" si="3"/>
        <v>0.2581988897471611</v>
      </c>
      <c r="L18">
        <f t="shared" si="4"/>
        <v>0.98701298701298701</v>
      </c>
      <c r="M18">
        <f t="shared" si="5"/>
        <v>0.46688655631181536</v>
      </c>
      <c r="N18">
        <f t="shared" si="6"/>
        <v>0.25484565741278237</v>
      </c>
    </row>
    <row r="19" spans="1:14" ht="30" x14ac:dyDescent="0.25">
      <c r="A19" s="2" t="s">
        <v>24</v>
      </c>
      <c r="B19" s="2">
        <v>2013</v>
      </c>
      <c r="C19" s="2">
        <v>6</v>
      </c>
      <c r="D19" s="2">
        <v>-5.09</v>
      </c>
      <c r="E19" s="2">
        <v>17.09</v>
      </c>
      <c r="F19" s="2">
        <v>16</v>
      </c>
      <c r="G19" s="2">
        <v>16</v>
      </c>
      <c r="H19">
        <f t="shared" si="0"/>
        <v>5.6581632653061229</v>
      </c>
      <c r="I19">
        <f t="shared" si="1"/>
        <v>16.003702455834311</v>
      </c>
      <c r="J19">
        <f t="shared" si="2"/>
        <v>0.37491324376707835</v>
      </c>
      <c r="K19">
        <f t="shared" si="3"/>
        <v>0.35355339059327379</v>
      </c>
      <c r="L19">
        <f t="shared" si="4"/>
        <v>0.97478991596638653</v>
      </c>
      <c r="M19">
        <f t="shared" si="5"/>
        <v>-0.36546164938639569</v>
      </c>
      <c r="N19">
        <f t="shared" si="6"/>
        <v>0.3446402799060484</v>
      </c>
    </row>
    <row r="20" spans="1:14" x14ac:dyDescent="0.25">
      <c r="A20" s="2" t="s">
        <v>25</v>
      </c>
      <c r="B20" s="2">
        <v>2016</v>
      </c>
      <c r="C20" s="2">
        <v>-5.5</v>
      </c>
      <c r="D20" s="2">
        <v>-23.9</v>
      </c>
      <c r="E20" s="2">
        <v>12.9</v>
      </c>
      <c r="F20" s="2">
        <v>30</v>
      </c>
      <c r="G20" s="2">
        <v>30</v>
      </c>
      <c r="H20">
        <f t="shared" si="0"/>
        <v>9.3877551020408152</v>
      </c>
      <c r="I20">
        <f t="shared" si="1"/>
        <v>36.358619168477787</v>
      </c>
      <c r="J20">
        <f t="shared" si="2"/>
        <v>-0.15127087127578245</v>
      </c>
      <c r="K20">
        <f t="shared" si="3"/>
        <v>0.2581988897471611</v>
      </c>
      <c r="L20">
        <f t="shared" si="4"/>
        <v>0.98701298701298701</v>
      </c>
      <c r="M20">
        <f t="shared" si="5"/>
        <v>0.1493063145059671</v>
      </c>
      <c r="N20">
        <f t="shared" si="6"/>
        <v>0.25484565741278237</v>
      </c>
    </row>
    <row r="21" spans="1:14" ht="30" x14ac:dyDescent="0.25">
      <c r="A21" s="2" t="s">
        <v>26</v>
      </c>
      <c r="B21" s="2">
        <v>2007</v>
      </c>
      <c r="C21" s="2">
        <v>-13</v>
      </c>
      <c r="D21" s="2">
        <v>-54.05</v>
      </c>
      <c r="E21" s="2">
        <v>28.05</v>
      </c>
      <c r="F21" s="2">
        <v>15</v>
      </c>
      <c r="G21" s="2">
        <v>11</v>
      </c>
      <c r="H21">
        <f t="shared" si="0"/>
        <v>20.943877551020407</v>
      </c>
      <c r="I21">
        <f t="shared" si="1"/>
        <v>52.760923452983981</v>
      </c>
      <c r="J21">
        <f t="shared" si="2"/>
        <v>-0.24639447434206657</v>
      </c>
      <c r="K21">
        <f t="shared" si="3"/>
        <v>0.39695813075909858</v>
      </c>
      <c r="L21">
        <f t="shared" si="4"/>
        <v>0.96842105263157896</v>
      </c>
      <c r="M21">
        <f t="shared" si="5"/>
        <v>0.23861359620494868</v>
      </c>
      <c r="N21">
        <f t="shared" si="6"/>
        <v>0.3844226108403902</v>
      </c>
    </row>
    <row r="22" spans="1:14" ht="45" x14ac:dyDescent="0.25">
      <c r="A22" s="2" t="s">
        <v>27</v>
      </c>
      <c r="B22" s="2">
        <v>2017</v>
      </c>
      <c r="C22" s="2">
        <v>-7.7</v>
      </c>
      <c r="D22" s="2">
        <v>-10.77</v>
      </c>
      <c r="E22" s="2">
        <v>-4.63</v>
      </c>
      <c r="F22" s="2">
        <v>25</v>
      </c>
      <c r="G22" s="2">
        <v>25</v>
      </c>
      <c r="H22">
        <f t="shared" si="0"/>
        <v>1.5663265306122449</v>
      </c>
      <c r="I22">
        <f t="shared" si="1"/>
        <v>5.5378005567415842</v>
      </c>
      <c r="J22">
        <f t="shared" si="2"/>
        <v>-1.3904437187840228</v>
      </c>
      <c r="K22">
        <f t="shared" si="3"/>
        <v>0.28284271247461901</v>
      </c>
      <c r="L22">
        <f t="shared" si="4"/>
        <v>0.98429319371727753</v>
      </c>
      <c r="M22">
        <f t="shared" si="5"/>
        <v>1.3686042886460539</v>
      </c>
      <c r="N22">
        <f t="shared" si="6"/>
        <v>0.27840015678130037</v>
      </c>
    </row>
    <row r="23" spans="1:14" ht="30" x14ac:dyDescent="0.25">
      <c r="A23" s="2" t="s">
        <v>28</v>
      </c>
      <c r="B23" s="2">
        <v>2017</v>
      </c>
      <c r="C23" s="2">
        <v>-10.82</v>
      </c>
      <c r="D23" s="2">
        <v>-42.67</v>
      </c>
      <c r="E23" s="2">
        <v>21.03</v>
      </c>
      <c r="F23" s="2">
        <v>10</v>
      </c>
      <c r="G23" s="2">
        <v>6</v>
      </c>
      <c r="H23">
        <f t="shared" si="0"/>
        <v>16.25</v>
      </c>
      <c r="I23">
        <f t="shared" si="1"/>
        <v>31.467989687935265</v>
      </c>
      <c r="J23">
        <f t="shared" si="2"/>
        <v>-0.34384147533098869</v>
      </c>
      <c r="K23">
        <f t="shared" si="3"/>
        <v>0.5163977794943222</v>
      </c>
      <c r="L23">
        <f t="shared" si="4"/>
        <v>0.94545454545454544</v>
      </c>
      <c r="M23">
        <f t="shared" si="5"/>
        <v>0.32508648576748023</v>
      </c>
      <c r="N23">
        <f t="shared" si="6"/>
        <v>0.488230627885541</v>
      </c>
    </row>
    <row r="24" spans="1:14" x14ac:dyDescent="0.25">
      <c r="A24" s="2" t="s">
        <v>29</v>
      </c>
      <c r="B24" s="2">
        <v>2016</v>
      </c>
      <c r="C24" s="2">
        <v>-2.87</v>
      </c>
      <c r="D24" s="2">
        <v>-9.99</v>
      </c>
      <c r="E24" s="2">
        <v>4.25</v>
      </c>
      <c r="F24" s="2">
        <v>17</v>
      </c>
      <c r="G24" s="2">
        <v>17</v>
      </c>
      <c r="H24">
        <f t="shared" si="0"/>
        <v>3.6326530612244898</v>
      </c>
      <c r="I24">
        <f t="shared" si="1"/>
        <v>10.59091262533126</v>
      </c>
      <c r="J24">
        <f t="shared" si="2"/>
        <v>-0.27098703402911256</v>
      </c>
      <c r="K24">
        <f t="shared" si="3"/>
        <v>0.34299717028501769</v>
      </c>
      <c r="L24">
        <f t="shared" si="4"/>
        <v>0.97637795275590555</v>
      </c>
      <c r="M24">
        <f t="shared" si="5"/>
        <v>0.26458576550873986</v>
      </c>
      <c r="N24">
        <f t="shared" si="6"/>
        <v>0.33489487492395431</v>
      </c>
    </row>
    <row r="25" spans="1:14" x14ac:dyDescent="0.25">
      <c r="A25" s="2" t="s">
        <v>30</v>
      </c>
      <c r="B25" s="2">
        <v>2013</v>
      </c>
      <c r="C25" s="2">
        <v>-17</v>
      </c>
      <c r="D25" s="2">
        <v>-32.299999999999997</v>
      </c>
      <c r="E25" s="2">
        <v>-1.7</v>
      </c>
      <c r="F25" s="2">
        <v>15</v>
      </c>
      <c r="G25" s="2">
        <v>15</v>
      </c>
      <c r="H25">
        <f t="shared" si="0"/>
        <v>7.8061224489795915</v>
      </c>
      <c r="I25">
        <f t="shared" si="1"/>
        <v>21.377946759767962</v>
      </c>
      <c r="J25">
        <f t="shared" si="2"/>
        <v>-0.79521200941490788</v>
      </c>
      <c r="K25">
        <f t="shared" si="3"/>
        <v>0.36514837167011077</v>
      </c>
      <c r="L25">
        <f t="shared" si="4"/>
        <v>0.97297297297297303</v>
      </c>
      <c r="M25">
        <f t="shared" si="5"/>
        <v>0.77371979294423476</v>
      </c>
      <c r="N25">
        <f t="shared" si="6"/>
        <v>0.35527949676010778</v>
      </c>
    </row>
    <row r="26" spans="1:14" x14ac:dyDescent="0.25">
      <c r="A26" s="2" t="s">
        <v>31</v>
      </c>
      <c r="B26" s="2">
        <v>2018</v>
      </c>
      <c r="C26" s="2">
        <v>-8.5</v>
      </c>
      <c r="D26" s="2">
        <v>-22.01</v>
      </c>
      <c r="E26" s="2">
        <v>5.01</v>
      </c>
      <c r="F26" s="2">
        <v>20</v>
      </c>
      <c r="G26" s="2">
        <v>13</v>
      </c>
      <c r="H26">
        <f t="shared" si="0"/>
        <v>6.8928571428571441</v>
      </c>
      <c r="I26">
        <f t="shared" si="1"/>
        <v>19.347683828082396</v>
      </c>
      <c r="J26">
        <f t="shared" si="2"/>
        <v>-0.43932907295407564</v>
      </c>
      <c r="K26">
        <f t="shared" si="3"/>
        <v>0.35626265159721265</v>
      </c>
      <c r="L26">
        <f t="shared" si="4"/>
        <v>0.97560975609756095</v>
      </c>
      <c r="M26">
        <f t="shared" si="5"/>
        <v>0.4286137297112933</v>
      </c>
      <c r="N26">
        <f t="shared" si="6"/>
        <v>0.34757331863142699</v>
      </c>
    </row>
    <row r="27" spans="1:14" ht="30" x14ac:dyDescent="0.25">
      <c r="A27" s="2" t="s">
        <v>32</v>
      </c>
      <c r="B27" s="2">
        <v>2010</v>
      </c>
      <c r="C27" s="2">
        <v>7.73</v>
      </c>
      <c r="D27" s="2">
        <v>-16.899999999999999</v>
      </c>
      <c r="E27" s="2">
        <v>32.36</v>
      </c>
      <c r="F27" s="2">
        <v>27</v>
      </c>
      <c r="G27" s="2">
        <v>21</v>
      </c>
      <c r="H27">
        <f t="shared" si="0"/>
        <v>12.566326530612244</v>
      </c>
      <c r="I27">
        <f t="shared" si="1"/>
        <v>43.189606900546814</v>
      </c>
      <c r="J27">
        <f t="shared" si="2"/>
        <v>0.17897824395114215</v>
      </c>
      <c r="K27">
        <f t="shared" si="3"/>
        <v>0.29095718698132317</v>
      </c>
      <c r="L27">
        <f t="shared" si="4"/>
        <v>0.98360655737704916</v>
      </c>
      <c r="M27">
        <f t="shared" si="5"/>
        <v>-0.1760441743781726</v>
      </c>
      <c r="N27">
        <f t="shared" si="6"/>
        <v>0.28618739703080964</v>
      </c>
    </row>
    <row r="28" spans="1:14" x14ac:dyDescent="0.25">
      <c r="A28" s="2" t="s">
        <v>33</v>
      </c>
      <c r="B28" s="2">
        <v>2019</v>
      </c>
      <c r="C28" s="2">
        <v>-5.2</v>
      </c>
      <c r="D28" s="2">
        <v>-29.31</v>
      </c>
      <c r="E28" s="2">
        <v>18.91</v>
      </c>
      <c r="F28" s="2">
        <v>9</v>
      </c>
      <c r="G28" s="2">
        <v>9</v>
      </c>
      <c r="H28">
        <f t="shared" si="0"/>
        <v>12.301020408163264</v>
      </c>
      <c r="I28">
        <f t="shared" si="1"/>
        <v>26.09440483837907</v>
      </c>
      <c r="J28">
        <f t="shared" si="2"/>
        <v>-0.19927643616350874</v>
      </c>
      <c r="K28">
        <f t="shared" si="3"/>
        <v>0.47140452079103168</v>
      </c>
      <c r="L28">
        <f t="shared" si="4"/>
        <v>0.95238095238095233</v>
      </c>
      <c r="M28">
        <f t="shared" si="5"/>
        <v>0.1897870820604845</v>
      </c>
      <c r="N28">
        <f t="shared" si="6"/>
        <v>0.44895668646764919</v>
      </c>
    </row>
    <row r="29" spans="1:14" ht="30" x14ac:dyDescent="0.25">
      <c r="A29" s="2" t="s">
        <v>34</v>
      </c>
      <c r="B29" s="2">
        <v>2015</v>
      </c>
      <c r="C29" s="2">
        <v>-5.0199999999999996</v>
      </c>
      <c r="D29" s="2">
        <v>-21.7</v>
      </c>
      <c r="E29" s="2">
        <v>11.66</v>
      </c>
      <c r="F29" s="2">
        <v>11</v>
      </c>
      <c r="G29" s="2">
        <v>10</v>
      </c>
      <c r="H29">
        <f t="shared" si="0"/>
        <v>8.5102040816326525</v>
      </c>
      <c r="I29">
        <f t="shared" si="1"/>
        <v>19.477206563930146</v>
      </c>
      <c r="J29">
        <f t="shared" si="2"/>
        <v>-0.25773716490210363</v>
      </c>
      <c r="K29">
        <f t="shared" si="3"/>
        <v>0.43693144875265155</v>
      </c>
      <c r="L29">
        <f t="shared" si="4"/>
        <v>0.96</v>
      </c>
      <c r="M29">
        <f t="shared" si="5"/>
        <v>0.24742767830601947</v>
      </c>
      <c r="N29">
        <f t="shared" si="6"/>
        <v>0.41945419080254548</v>
      </c>
    </row>
    <row r="30" spans="1:14" x14ac:dyDescent="0.25">
      <c r="A30" s="2" t="s">
        <v>35</v>
      </c>
      <c r="B30" s="2">
        <v>2017</v>
      </c>
      <c r="C30" s="2">
        <v>15</v>
      </c>
      <c r="D30" s="2">
        <v>-3.88</v>
      </c>
      <c r="E30" s="2">
        <v>33.880000000000003</v>
      </c>
      <c r="F30" s="2">
        <v>16</v>
      </c>
      <c r="G30" s="2">
        <v>16</v>
      </c>
      <c r="H30">
        <f t="shared" si="0"/>
        <v>9.6326530612244916</v>
      </c>
      <c r="I30">
        <f t="shared" si="1"/>
        <v>27.245257201636772</v>
      </c>
      <c r="J30">
        <f t="shared" si="2"/>
        <v>0.55055453831791568</v>
      </c>
      <c r="K30">
        <f t="shared" si="3"/>
        <v>0.35355339059327379</v>
      </c>
      <c r="L30">
        <f t="shared" si="4"/>
        <v>0.97478991596638653</v>
      </c>
      <c r="M30">
        <f t="shared" si="5"/>
        <v>-0.53667501214183377</v>
      </c>
      <c r="N30">
        <f t="shared" si="6"/>
        <v>0.3446402799060484</v>
      </c>
    </row>
    <row r="31" spans="1:14" ht="30" x14ac:dyDescent="0.25">
      <c r="A31" s="2" t="s">
        <v>36</v>
      </c>
      <c r="B31" s="2">
        <v>2010</v>
      </c>
      <c r="C31" s="2">
        <v>-0.78</v>
      </c>
      <c r="D31" s="2">
        <v>-10.17</v>
      </c>
      <c r="E31" s="2">
        <v>8.61</v>
      </c>
      <c r="F31" s="2">
        <v>21</v>
      </c>
      <c r="G31" s="2">
        <v>26</v>
      </c>
      <c r="H31">
        <f t="shared" si="0"/>
        <v>4.7908163265306127</v>
      </c>
      <c r="I31">
        <f t="shared" si="1"/>
        <v>16.328899395299736</v>
      </c>
      <c r="J31">
        <f t="shared" si="2"/>
        <v>-4.7768069428152801E-2</v>
      </c>
      <c r="K31">
        <f t="shared" si="3"/>
        <v>0.29339493192723365</v>
      </c>
      <c r="L31">
        <f t="shared" si="4"/>
        <v>0.98324022346368711</v>
      </c>
      <c r="M31">
        <f t="shared" si="5"/>
        <v>4.6967487258965879E-2</v>
      </c>
      <c r="N31">
        <f t="shared" si="6"/>
        <v>0.28847769843124649</v>
      </c>
    </row>
    <row r="32" spans="1:14" x14ac:dyDescent="0.25">
      <c r="A32" s="2" t="s">
        <v>37</v>
      </c>
      <c r="B32" s="2">
        <v>2019</v>
      </c>
      <c r="C32" s="2">
        <v>-16.100000000000001</v>
      </c>
      <c r="D32" s="2">
        <v>-23.91</v>
      </c>
      <c r="E32" s="2">
        <v>-8.2899999999999991</v>
      </c>
      <c r="F32" s="2">
        <v>13</v>
      </c>
      <c r="G32" s="2">
        <v>14</v>
      </c>
      <c r="H32">
        <f t="shared" si="0"/>
        <v>3.9846938775510208</v>
      </c>
      <c r="I32">
        <f t="shared" si="1"/>
        <v>10.345435429674522</v>
      </c>
      <c r="J32">
        <f t="shared" si="2"/>
        <v>-1.5562418913581217</v>
      </c>
      <c r="K32">
        <f t="shared" si="3"/>
        <v>0.38516444325982163</v>
      </c>
      <c r="L32">
        <f t="shared" si="4"/>
        <v>0.96969696969696972</v>
      </c>
      <c r="M32">
        <f t="shared" si="5"/>
        <v>1.5090830461654514</v>
      </c>
      <c r="N32">
        <f t="shared" si="6"/>
        <v>0.37349279346406949</v>
      </c>
    </row>
    <row r="33" spans="1:14" x14ac:dyDescent="0.25">
      <c r="A33" s="2" t="s">
        <v>38</v>
      </c>
      <c r="B33" s="2">
        <v>2010</v>
      </c>
      <c r="C33" s="2">
        <v>-13.1</v>
      </c>
      <c r="D33" s="2">
        <v>-22.62</v>
      </c>
      <c r="E33" s="2">
        <v>-3.58</v>
      </c>
      <c r="F33" s="2">
        <v>10</v>
      </c>
      <c r="G33" s="2">
        <v>10</v>
      </c>
      <c r="H33">
        <f t="shared" si="0"/>
        <v>4.8571428571428568</v>
      </c>
      <c r="I33">
        <f t="shared" si="1"/>
        <v>10.860901604998977</v>
      </c>
      <c r="J33">
        <f t="shared" si="2"/>
        <v>-1.2061613737454748</v>
      </c>
      <c r="K33">
        <f t="shared" si="3"/>
        <v>0.44721359549995798</v>
      </c>
      <c r="L33">
        <f t="shared" si="4"/>
        <v>0.95774647887323949</v>
      </c>
      <c r="M33">
        <f t="shared" si="5"/>
        <v>1.1551968086576379</v>
      </c>
      <c r="N33">
        <f t="shared" si="6"/>
        <v>0.428317246394326</v>
      </c>
    </row>
    <row r="34" spans="1:14" ht="30" x14ac:dyDescent="0.25">
      <c r="A34" s="2" t="s">
        <v>39</v>
      </c>
      <c r="B34" s="2">
        <v>2007</v>
      </c>
      <c r="C34" s="2">
        <v>-17</v>
      </c>
      <c r="D34" s="2">
        <v>-55.09</v>
      </c>
      <c r="E34" s="2">
        <v>21.09</v>
      </c>
      <c r="F34" s="2">
        <v>14</v>
      </c>
      <c r="G34" s="2">
        <v>11</v>
      </c>
      <c r="H34">
        <f t="shared" si="0"/>
        <v>19.433673469387756</v>
      </c>
      <c r="I34">
        <f t="shared" si="1"/>
        <v>48.233109099570584</v>
      </c>
      <c r="J34">
        <f t="shared" si="2"/>
        <v>-0.3524549903035662</v>
      </c>
      <c r="K34">
        <f t="shared" si="3"/>
        <v>0.40291148201269017</v>
      </c>
      <c r="L34">
        <f t="shared" si="4"/>
        <v>0.96703296703296704</v>
      </c>
      <c r="M34">
        <f t="shared" si="5"/>
        <v>0.34083559501883326</v>
      </c>
      <c r="N34">
        <f t="shared" si="6"/>
        <v>0.3896286859023817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2026-04-19T23:25:44Z</dcterms:modified>
</cp:coreProperties>
</file>