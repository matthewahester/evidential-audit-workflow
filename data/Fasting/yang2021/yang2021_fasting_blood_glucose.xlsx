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yang2021\"/>
    </mc:Choice>
  </mc:AlternateContent>
  <xr:revisionPtr revIDLastSave="0" documentId="13_ncr:1_{168BEDEA-C3E0-44B5-A1E6-8B721646592E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/>
  <c r="I35" i="1"/>
  <c r="M23" i="1"/>
  <c r="I23" i="1"/>
  <c r="I3" i="1"/>
  <c r="J3" i="1" s="1"/>
  <c r="K3" i="1" s="1"/>
  <c r="N3" i="1" s="1"/>
  <c r="M3" i="1"/>
  <c r="I4" i="1"/>
  <c r="J4" i="1"/>
  <c r="K4" i="1" s="1"/>
  <c r="N4" i="1" s="1"/>
  <c r="M4" i="1"/>
  <c r="I5" i="1"/>
  <c r="J5" i="1" s="1"/>
  <c r="M5" i="1"/>
  <c r="I6" i="1"/>
  <c r="L6" i="1" s="1"/>
  <c r="O6" i="1" s="1"/>
  <c r="J6" i="1"/>
  <c r="K6" i="1"/>
  <c r="N6" i="1" s="1"/>
  <c r="M6" i="1"/>
  <c r="I7" i="1"/>
  <c r="J7" i="1"/>
  <c r="K7" i="1" s="1"/>
  <c r="N7" i="1" s="1"/>
  <c r="L7" i="1"/>
  <c r="M7" i="1"/>
  <c r="O7" i="1" s="1"/>
  <c r="I8" i="1"/>
  <c r="J8" i="1" s="1"/>
  <c r="K8" i="1" s="1"/>
  <c r="N8" i="1" s="1"/>
  <c r="M8" i="1"/>
  <c r="I9" i="1"/>
  <c r="J9" i="1"/>
  <c r="K9" i="1"/>
  <c r="L9" i="1"/>
  <c r="O9" i="1" s="1"/>
  <c r="M9" i="1"/>
  <c r="N9" i="1"/>
  <c r="I10" i="1"/>
  <c r="L10" i="1" s="1"/>
  <c r="O10" i="1" s="1"/>
  <c r="J10" i="1"/>
  <c r="K10" i="1" s="1"/>
  <c r="N10" i="1" s="1"/>
  <c r="M10" i="1"/>
  <c r="I11" i="1"/>
  <c r="J11" i="1" s="1"/>
  <c r="M11" i="1"/>
  <c r="I12" i="1"/>
  <c r="J12" i="1" s="1"/>
  <c r="M12" i="1"/>
  <c r="I13" i="1"/>
  <c r="L13" i="1" s="1"/>
  <c r="O13" i="1" s="1"/>
  <c r="J13" i="1"/>
  <c r="K13" i="1" s="1"/>
  <c r="N13" i="1" s="1"/>
  <c r="M13" i="1"/>
  <c r="I14" i="1"/>
  <c r="J14" i="1" s="1"/>
  <c r="M14" i="1"/>
  <c r="I15" i="1"/>
  <c r="J15" i="1"/>
  <c r="L15" i="1" s="1"/>
  <c r="O15" i="1" s="1"/>
  <c r="K15" i="1"/>
  <c r="M15" i="1"/>
  <c r="N15" i="1"/>
  <c r="I16" i="1"/>
  <c r="J16" i="1"/>
  <c r="K16" i="1" s="1"/>
  <c r="N16" i="1" s="1"/>
  <c r="L16" i="1"/>
  <c r="O16" i="1" s="1"/>
  <c r="M16" i="1"/>
  <c r="I17" i="1"/>
  <c r="J17" i="1" s="1"/>
  <c r="M17" i="1"/>
  <c r="I18" i="1"/>
  <c r="L18" i="1" s="1"/>
  <c r="O18" i="1" s="1"/>
  <c r="J18" i="1"/>
  <c r="K18" i="1"/>
  <c r="N18" i="1" s="1"/>
  <c r="M18" i="1"/>
  <c r="I19" i="1"/>
  <c r="J19" i="1"/>
  <c r="K19" i="1" s="1"/>
  <c r="N19" i="1" s="1"/>
  <c r="L19" i="1"/>
  <c r="M19" i="1"/>
  <c r="O19" i="1"/>
  <c r="I20" i="1"/>
  <c r="J20" i="1" s="1"/>
  <c r="K20" i="1" s="1"/>
  <c r="N20" i="1" s="1"/>
  <c r="M20" i="1"/>
  <c r="I21" i="1"/>
  <c r="J21" i="1"/>
  <c r="K21" i="1"/>
  <c r="L21" i="1"/>
  <c r="O21" i="1" s="1"/>
  <c r="M21" i="1"/>
  <c r="N21" i="1"/>
  <c r="I22" i="1"/>
  <c r="L22" i="1" s="1"/>
  <c r="O22" i="1" s="1"/>
  <c r="J22" i="1"/>
  <c r="K22" i="1" s="1"/>
  <c r="N22" i="1" s="1"/>
  <c r="M22" i="1"/>
  <c r="I24" i="1"/>
  <c r="J24" i="1" s="1"/>
  <c r="M24" i="1"/>
  <c r="I25" i="1"/>
  <c r="L25" i="1" s="1"/>
  <c r="O25" i="1" s="1"/>
  <c r="J25" i="1"/>
  <c r="K25" i="1" s="1"/>
  <c r="N25" i="1" s="1"/>
  <c r="M25" i="1"/>
  <c r="I26" i="1"/>
  <c r="J26" i="1" s="1"/>
  <c r="M26" i="1"/>
  <c r="I27" i="1"/>
  <c r="J27" i="1" s="1"/>
  <c r="K27" i="1" s="1"/>
  <c r="N27" i="1" s="1"/>
  <c r="M27" i="1"/>
  <c r="I28" i="1"/>
  <c r="J28" i="1"/>
  <c r="K28" i="1"/>
  <c r="L28" i="1"/>
  <c r="O28" i="1" s="1"/>
  <c r="M28" i="1"/>
  <c r="N28" i="1"/>
  <c r="I29" i="1"/>
  <c r="J29" i="1" s="1"/>
  <c r="K29" i="1" s="1"/>
  <c r="N29" i="1" s="1"/>
  <c r="M29" i="1"/>
  <c r="I30" i="1"/>
  <c r="J30" i="1"/>
  <c r="K30" i="1"/>
  <c r="N30" i="1" s="1"/>
  <c r="L30" i="1"/>
  <c r="O30" i="1" s="1"/>
  <c r="M30" i="1"/>
  <c r="I31" i="1"/>
  <c r="J31" i="1"/>
  <c r="K31" i="1" s="1"/>
  <c r="N31" i="1" s="1"/>
  <c r="L31" i="1"/>
  <c r="M31" i="1"/>
  <c r="O31" i="1"/>
  <c r="I32" i="1"/>
  <c r="L32" i="1" s="1"/>
  <c r="O32" i="1" s="1"/>
  <c r="J32" i="1"/>
  <c r="K32" i="1" s="1"/>
  <c r="N32" i="1" s="1"/>
  <c r="M32" i="1"/>
  <c r="I33" i="1"/>
  <c r="J33" i="1"/>
  <c r="K33" i="1"/>
  <c r="L33" i="1"/>
  <c r="M33" i="1"/>
  <c r="N33" i="1"/>
  <c r="O33" i="1"/>
  <c r="I34" i="1"/>
  <c r="L34" i="1" s="1"/>
  <c r="O34" i="1" s="1"/>
  <c r="J34" i="1"/>
  <c r="K34" i="1" s="1"/>
  <c r="N34" i="1" s="1"/>
  <c r="M34" i="1"/>
  <c r="M2" i="1"/>
  <c r="I2" i="1"/>
  <c r="J35" i="1" l="1"/>
  <c r="K35" i="1" s="1"/>
  <c r="N35" i="1" s="1"/>
  <c r="J23" i="1"/>
  <c r="K23" i="1" s="1"/>
  <c r="N23" i="1" s="1"/>
  <c r="L14" i="1"/>
  <c r="O14" i="1" s="1"/>
  <c r="K14" i="1"/>
  <c r="N14" i="1" s="1"/>
  <c r="K17" i="1"/>
  <c r="N17" i="1" s="1"/>
  <c r="L17" i="1"/>
  <c r="O17" i="1" s="1"/>
  <c r="K5" i="1"/>
  <c r="N5" i="1" s="1"/>
  <c r="L5" i="1"/>
  <c r="O5" i="1" s="1"/>
  <c r="K12" i="1"/>
  <c r="N12" i="1" s="1"/>
  <c r="L12" i="1"/>
  <c r="O12" i="1" s="1"/>
  <c r="L11" i="1"/>
  <c r="O11" i="1" s="1"/>
  <c r="K11" i="1"/>
  <c r="N11" i="1" s="1"/>
  <c r="K24" i="1"/>
  <c r="N24" i="1" s="1"/>
  <c r="L24" i="1"/>
  <c r="O24" i="1" s="1"/>
  <c r="K26" i="1"/>
  <c r="N26" i="1" s="1"/>
  <c r="L26" i="1"/>
  <c r="O26" i="1" s="1"/>
  <c r="L4" i="1"/>
  <c r="O4" i="1" s="1"/>
  <c r="L29" i="1"/>
  <c r="O29" i="1" s="1"/>
  <c r="L27" i="1"/>
  <c r="O27" i="1" s="1"/>
  <c r="L3" i="1"/>
  <c r="O3" i="1" s="1"/>
  <c r="L20" i="1"/>
  <c r="O20" i="1" s="1"/>
  <c r="L8" i="1"/>
  <c r="O8" i="1" s="1"/>
  <c r="J2" i="1"/>
  <c r="K2" i="1" s="1"/>
  <c r="N2" i="1" s="1"/>
  <c r="L35" i="1" l="1"/>
  <c r="O35" i="1" s="1"/>
  <c r="L23" i="1"/>
  <c r="O23" i="1" s="1"/>
  <c r="L2" i="1"/>
  <c r="O2" i="1" s="1"/>
</calcChain>
</file>

<file path=xl/sharedStrings.xml><?xml version="1.0" encoding="utf-8"?>
<sst xmlns="http://schemas.openxmlformats.org/spreadsheetml/2006/main" count="49" uniqueCount="49">
  <si>
    <t>author</t>
  </si>
  <si>
    <t>year</t>
  </si>
  <si>
    <t>wmd</t>
  </si>
  <si>
    <t>lCI</t>
  </si>
  <si>
    <t>uCI</t>
  </si>
  <si>
    <t>n_control</t>
  </si>
  <si>
    <t>n_treat</t>
  </si>
  <si>
    <t>n_total</t>
  </si>
  <si>
    <t>Antoni</t>
  </si>
  <si>
    <t>Arguin</t>
  </si>
  <si>
    <t>Bhutani</t>
  </si>
  <si>
    <t>Bowen</t>
  </si>
  <si>
    <t>Cai (a)</t>
  </si>
  <si>
    <t>Cai (b)</t>
  </si>
  <si>
    <t>Catenacci</t>
  </si>
  <si>
    <t>Cho (a)</t>
  </si>
  <si>
    <t>Cho (b)</t>
  </si>
  <si>
    <t>Cienfuegos (b)</t>
  </si>
  <si>
    <t>Cienfuegos (a)</t>
  </si>
  <si>
    <t>Conley</t>
  </si>
  <si>
    <t>Corley</t>
  </si>
  <si>
    <t>Gabel (a)</t>
  </si>
  <si>
    <t>Gabel (b)</t>
  </si>
  <si>
    <t>Harvie</t>
  </si>
  <si>
    <t>Harvie (b)</t>
  </si>
  <si>
    <t>Harvie (a)</t>
  </si>
  <si>
    <t>Hutchison (a)</t>
  </si>
  <si>
    <t>Hutchison (b)</t>
  </si>
  <si>
    <t>Li</t>
  </si>
  <si>
    <t>Martens</t>
  </si>
  <si>
    <t>Moro</t>
  </si>
  <si>
    <t>Panizza</t>
  </si>
  <si>
    <t>Parvaresh</t>
  </si>
  <si>
    <t>Pinto</t>
  </si>
  <si>
    <t>Pureza</t>
  </si>
  <si>
    <t>Schübel</t>
  </si>
  <si>
    <t>Sundfor</t>
  </si>
  <si>
    <t>Teng</t>
  </si>
  <si>
    <t>Tinsley</t>
  </si>
  <si>
    <t>Trepanowski (a)</t>
  </si>
  <si>
    <t>Trepanowski (b)</t>
  </si>
  <si>
    <t>Wei</t>
  </si>
  <si>
    <t>se_md</t>
  </si>
  <si>
    <t>pooled_sd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</si>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</sst>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B1" workbookViewId="0">
      <selection activeCell="I18" sqref="I18"/>
    </sheetView>
  </sheetViews>
  <sheetFormatPr defaultRowHeight="15" x14ac:dyDescent="0.25"/>
  <cols>
    <col min="1" max="1" width="20.42578125" bestFit="1" customWidth="1"/>
    <col min="2" max="2" width="5" bestFit="1" customWidth="1"/>
    <col min="3" max="5" width="5.7109375" bestFit="1" customWidth="1"/>
    <col min="6" max="6" width="9.42578125" bestFit="1" customWidth="1"/>
    <col min="7" max="7" width="7.42578125" bestFit="1" customWidth="1"/>
    <col min="8" max="8" width="7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</row>
    <row r="2" spans="1:15" x14ac:dyDescent="0.25">
      <c r="A2" t="s">
        <v>8</v>
      </c>
      <c r="B2">
        <v>2018</v>
      </c>
      <c r="C2">
        <v>0.22</v>
      </c>
      <c r="D2">
        <v>-0.19</v>
      </c>
      <c r="E2">
        <v>0.63</v>
      </c>
      <c r="F2">
        <v>12</v>
      </c>
      <c r="G2">
        <v>15</v>
      </c>
      <c r="I2">
        <f>(E2-D2)/2/1.96</f>
        <v>0.20918367346938777</v>
      </c>
      <c r="J2">
        <f>I2/SQRT(1/F2+1/G2)</f>
        <v>0.54010992243028599</v>
      </c>
      <c r="K2">
        <f>C2/J2</f>
        <v>0.40732449241088736</v>
      </c>
      <c r="L2">
        <f>I2/J2</f>
        <v>0.38729833462074176</v>
      </c>
      <c r="M2">
        <f>1-3/(4*(G2+F2-2)-1)</f>
        <v>0.96969696969696972</v>
      </c>
      <c r="N2">
        <f>-K2*M2</f>
        <v>-0.39498132597419383</v>
      </c>
      <c r="O2">
        <f>L2*M2</f>
        <v>0.37556202145041628</v>
      </c>
    </row>
    <row r="3" spans="1:15" x14ac:dyDescent="0.25">
      <c r="A3" t="s">
        <v>9</v>
      </c>
      <c r="B3">
        <v>2012</v>
      </c>
      <c r="C3">
        <v>0.16</v>
      </c>
      <c r="D3">
        <v>-0.26</v>
      </c>
      <c r="E3">
        <v>0.57999999999999996</v>
      </c>
      <c r="F3">
        <v>10</v>
      </c>
      <c r="G3">
        <v>12</v>
      </c>
      <c r="I3">
        <f t="shared" ref="I3:I35" si="0">(E3-D3)/2/1.96</f>
        <v>0.21428571428571427</v>
      </c>
      <c r="J3">
        <f t="shared" ref="J3:J35" si="1">I3/SQRT(1/F3+1/G3)</f>
        <v>0.50046360696097902</v>
      </c>
      <c r="K3">
        <f t="shared" ref="K3:K35" si="2">C3/J3</f>
        <v>0.31970356640233211</v>
      </c>
      <c r="L3">
        <f t="shared" ref="L3:L35" si="3">I3/J3</f>
        <v>0.42817441928883765</v>
      </c>
      <c r="M3">
        <f t="shared" ref="M3:M35" si="4">1-3/(4*(G3+F3-2)-1)</f>
        <v>0.96202531645569622</v>
      </c>
      <c r="N3">
        <f t="shared" ref="N3:N35" si="5">-K3*M3</f>
        <v>-0.30756292464021823</v>
      </c>
      <c r="O3">
        <f t="shared" ref="O3:O35" si="6">L3*M3</f>
        <v>0.411914631214578</v>
      </c>
    </row>
    <row r="4" spans="1:15" x14ac:dyDescent="0.25">
      <c r="A4" t="s">
        <v>10</v>
      </c>
      <c r="B4">
        <v>2013</v>
      </c>
      <c r="C4">
        <v>-0.28000000000000003</v>
      </c>
      <c r="D4">
        <v>-1.27</v>
      </c>
      <c r="E4">
        <v>0.72</v>
      </c>
      <c r="F4">
        <v>16</v>
      </c>
      <c r="G4">
        <v>25</v>
      </c>
      <c r="I4">
        <f t="shared" si="0"/>
        <v>0.50765306122448983</v>
      </c>
      <c r="J4">
        <f t="shared" si="1"/>
        <v>1.5856417661139086</v>
      </c>
      <c r="K4">
        <f t="shared" si="2"/>
        <v>-0.17658465233684159</v>
      </c>
      <c r="L4">
        <f t="shared" si="3"/>
        <v>0.32015621187164245</v>
      </c>
      <c r="M4">
        <f t="shared" si="4"/>
        <v>0.98064516129032253</v>
      </c>
      <c r="N4">
        <f t="shared" si="5"/>
        <v>0.17316688487225756</v>
      </c>
      <c r="O4">
        <f t="shared" si="6"/>
        <v>0.31395964002896548</v>
      </c>
    </row>
    <row r="5" spans="1:15" x14ac:dyDescent="0.25">
      <c r="A5" t="s">
        <v>11</v>
      </c>
      <c r="B5">
        <v>2018</v>
      </c>
      <c r="C5">
        <v>0.1</v>
      </c>
      <c r="D5">
        <v>-0.06</v>
      </c>
      <c r="E5">
        <v>0.26</v>
      </c>
      <c r="F5">
        <v>81</v>
      </c>
      <c r="G5">
        <v>82</v>
      </c>
      <c r="I5">
        <f t="shared" si="0"/>
        <v>8.1632653061224497E-2</v>
      </c>
      <c r="J5">
        <f t="shared" si="1"/>
        <v>0.52109816606535486</v>
      </c>
      <c r="K5">
        <f t="shared" si="2"/>
        <v>0.19190242167818003</v>
      </c>
      <c r="L5">
        <f t="shared" si="3"/>
        <v>0.15665503810463677</v>
      </c>
      <c r="M5">
        <f t="shared" si="4"/>
        <v>0.99533437013996895</v>
      </c>
      <c r="N5">
        <f t="shared" si="5"/>
        <v>-0.19100707600938605</v>
      </c>
      <c r="O5">
        <f t="shared" si="6"/>
        <v>0.15592414368113147</v>
      </c>
    </row>
    <row r="6" spans="1:15" x14ac:dyDescent="0.25">
      <c r="A6" t="s">
        <v>12</v>
      </c>
      <c r="B6">
        <v>2019</v>
      </c>
      <c r="C6">
        <v>0.13</v>
      </c>
      <c r="D6">
        <v>-0.16</v>
      </c>
      <c r="E6">
        <v>0.42</v>
      </c>
      <c r="F6">
        <v>79</v>
      </c>
      <c r="G6">
        <v>90</v>
      </c>
      <c r="I6">
        <f t="shared" si="0"/>
        <v>0.14795918367346939</v>
      </c>
      <c r="J6">
        <f t="shared" si="1"/>
        <v>0.95969531480557457</v>
      </c>
      <c r="K6">
        <f t="shared" si="2"/>
        <v>0.1354596589088661</v>
      </c>
      <c r="L6">
        <f t="shared" si="3"/>
        <v>0.15417308117571102</v>
      </c>
      <c r="M6">
        <f t="shared" si="4"/>
        <v>0.99550224887556227</v>
      </c>
      <c r="N6">
        <f t="shared" si="5"/>
        <v>-0.1348503950756928</v>
      </c>
      <c r="O6">
        <f t="shared" si="6"/>
        <v>0.15347964902649494</v>
      </c>
    </row>
    <row r="7" spans="1:15" x14ac:dyDescent="0.25">
      <c r="A7" t="s">
        <v>13</v>
      </c>
      <c r="B7">
        <v>2019</v>
      </c>
      <c r="C7">
        <v>0.08</v>
      </c>
      <c r="D7">
        <v>-0.26</v>
      </c>
      <c r="E7">
        <v>0.42</v>
      </c>
      <c r="F7">
        <v>79</v>
      </c>
      <c r="G7">
        <v>95</v>
      </c>
      <c r="I7">
        <f t="shared" si="0"/>
        <v>0.17346938775510204</v>
      </c>
      <c r="J7">
        <f t="shared" si="1"/>
        <v>1.1392618900159068</v>
      </c>
      <c r="K7">
        <f t="shared" si="2"/>
        <v>7.0220904167068221E-2</v>
      </c>
      <c r="L7">
        <f t="shared" si="3"/>
        <v>0.1522647156683877</v>
      </c>
      <c r="M7">
        <f t="shared" si="4"/>
        <v>0.99563318777292575</v>
      </c>
      <c r="N7">
        <f t="shared" si="5"/>
        <v>-6.9914262664155263E-2</v>
      </c>
      <c r="O7">
        <f t="shared" si="6"/>
        <v>0.15159980424625499</v>
      </c>
    </row>
    <row r="8" spans="1:15" x14ac:dyDescent="0.25">
      <c r="A8" t="s">
        <v>14</v>
      </c>
      <c r="B8">
        <v>2016</v>
      </c>
      <c r="C8">
        <v>0.15</v>
      </c>
      <c r="D8">
        <v>-0.16</v>
      </c>
      <c r="E8">
        <v>0.46</v>
      </c>
      <c r="F8">
        <v>12</v>
      </c>
      <c r="G8">
        <v>13</v>
      </c>
      <c r="I8">
        <f t="shared" si="0"/>
        <v>0.15816326530612246</v>
      </c>
      <c r="J8">
        <f t="shared" si="1"/>
        <v>0.39509171010275584</v>
      </c>
      <c r="K8">
        <f t="shared" si="2"/>
        <v>0.37965868724754526</v>
      </c>
      <c r="L8">
        <f t="shared" si="3"/>
        <v>0.40032038451271784</v>
      </c>
      <c r="M8">
        <f t="shared" si="4"/>
        <v>0.96703296703296704</v>
      </c>
      <c r="N8">
        <f t="shared" si="5"/>
        <v>-0.367142466788835</v>
      </c>
      <c r="O8">
        <f t="shared" si="6"/>
        <v>0.38712300919911175</v>
      </c>
    </row>
    <row r="9" spans="1:15" x14ac:dyDescent="0.25">
      <c r="A9" t="s">
        <v>15</v>
      </c>
      <c r="B9">
        <v>2019</v>
      </c>
      <c r="C9">
        <v>-0.71</v>
      </c>
      <c r="D9">
        <v>-1.25</v>
      </c>
      <c r="E9">
        <v>-0.17</v>
      </c>
      <c r="F9">
        <v>9</v>
      </c>
      <c r="G9">
        <v>9</v>
      </c>
      <c r="I9">
        <f t="shared" si="0"/>
        <v>0.27551020408163268</v>
      </c>
      <c r="J9">
        <f t="shared" si="1"/>
        <v>0.58444540077663631</v>
      </c>
      <c r="K9">
        <f t="shared" si="2"/>
        <v>-1.2148269095051845</v>
      </c>
      <c r="L9">
        <f t="shared" si="3"/>
        <v>0.47140452079103168</v>
      </c>
      <c r="M9">
        <f t="shared" si="4"/>
        <v>0.95238095238095233</v>
      </c>
      <c r="N9">
        <f t="shared" si="5"/>
        <v>1.1569780090525565</v>
      </c>
      <c r="O9">
        <f t="shared" si="6"/>
        <v>0.44895668646764919</v>
      </c>
    </row>
    <row r="10" spans="1:15" x14ac:dyDescent="0.25">
      <c r="A10" t="s">
        <v>16</v>
      </c>
      <c r="B10">
        <v>2019</v>
      </c>
      <c r="C10">
        <v>-0.32</v>
      </c>
      <c r="D10">
        <v>-1.01</v>
      </c>
      <c r="E10">
        <v>0.38</v>
      </c>
      <c r="F10">
        <v>9</v>
      </c>
      <c r="G10">
        <v>8</v>
      </c>
      <c r="I10">
        <f t="shared" si="0"/>
        <v>0.35459183673469391</v>
      </c>
      <c r="J10">
        <f t="shared" si="1"/>
        <v>0.72974397963700199</v>
      </c>
      <c r="K10">
        <f t="shared" si="2"/>
        <v>-0.43850995544927723</v>
      </c>
      <c r="L10">
        <f t="shared" si="3"/>
        <v>0.48591265790377502</v>
      </c>
      <c r="M10">
        <f t="shared" si="4"/>
        <v>0.94915254237288138</v>
      </c>
      <c r="N10">
        <f t="shared" si="5"/>
        <v>0.41621283907050044</v>
      </c>
      <c r="O10">
        <f t="shared" si="6"/>
        <v>0.46120523462053226</v>
      </c>
    </row>
    <row r="11" spans="1:15" x14ac:dyDescent="0.25">
      <c r="A11" t="s">
        <v>17</v>
      </c>
      <c r="B11">
        <v>2020</v>
      </c>
      <c r="C11">
        <v>-0.42</v>
      </c>
      <c r="D11">
        <v>-0.92</v>
      </c>
      <c r="E11">
        <v>0.08</v>
      </c>
      <c r="F11">
        <v>14</v>
      </c>
      <c r="G11">
        <v>19</v>
      </c>
      <c r="I11">
        <f t="shared" si="0"/>
        <v>0.25510204081632654</v>
      </c>
      <c r="J11">
        <f t="shared" si="1"/>
        <v>0.72426547172985223</v>
      </c>
      <c r="K11">
        <f t="shared" si="2"/>
        <v>-0.57989786396535292</v>
      </c>
      <c r="L11">
        <f t="shared" si="3"/>
        <v>0.35222173467283341</v>
      </c>
      <c r="M11">
        <f t="shared" si="4"/>
        <v>0.97560975609756095</v>
      </c>
      <c r="N11">
        <f t="shared" si="5"/>
        <v>0.56575401362473454</v>
      </c>
      <c r="O11">
        <f t="shared" si="6"/>
        <v>0.34363096065642285</v>
      </c>
    </row>
    <row r="12" spans="1:15" x14ac:dyDescent="0.25">
      <c r="A12" t="s">
        <v>18</v>
      </c>
      <c r="B12">
        <v>2020</v>
      </c>
      <c r="C12">
        <v>-0.27</v>
      </c>
      <c r="D12">
        <v>-0.63</v>
      </c>
      <c r="E12">
        <v>0.08</v>
      </c>
      <c r="F12">
        <v>14</v>
      </c>
      <c r="G12">
        <v>16</v>
      </c>
      <c r="I12">
        <f t="shared" si="0"/>
        <v>0.18112244897959184</v>
      </c>
      <c r="J12">
        <f t="shared" si="1"/>
        <v>0.49492075128104185</v>
      </c>
      <c r="K12">
        <f t="shared" si="2"/>
        <v>-0.54554188584968</v>
      </c>
      <c r="L12">
        <f t="shared" si="3"/>
        <v>0.36596252735569995</v>
      </c>
      <c r="M12">
        <f t="shared" si="4"/>
        <v>0.97297297297297303</v>
      </c>
      <c r="N12">
        <f t="shared" si="5"/>
        <v>0.53079751055644542</v>
      </c>
      <c r="O12">
        <f t="shared" si="6"/>
        <v>0.35607164823797838</v>
      </c>
    </row>
    <row r="13" spans="1:15" x14ac:dyDescent="0.25">
      <c r="A13" t="s">
        <v>19</v>
      </c>
      <c r="B13">
        <v>2018</v>
      </c>
      <c r="C13">
        <v>0.21</v>
      </c>
      <c r="D13">
        <v>-1.04</v>
      </c>
      <c r="E13">
        <v>1.45</v>
      </c>
      <c r="F13">
        <v>12</v>
      </c>
      <c r="G13">
        <v>11</v>
      </c>
      <c r="I13">
        <f t="shared" si="0"/>
        <v>0.63520408163265307</v>
      </c>
      <c r="J13">
        <f t="shared" si="1"/>
        <v>1.5217255329081729</v>
      </c>
      <c r="K13">
        <f t="shared" si="2"/>
        <v>0.13800123311243162</v>
      </c>
      <c r="L13">
        <f t="shared" si="3"/>
        <v>0.41742355496836092</v>
      </c>
      <c r="M13">
        <f t="shared" si="4"/>
        <v>0.96385542168674698</v>
      </c>
      <c r="N13">
        <f t="shared" si="5"/>
        <v>-0.13301323673487386</v>
      </c>
      <c r="O13">
        <f t="shared" si="6"/>
        <v>0.40233595659601051</v>
      </c>
    </row>
    <row r="14" spans="1:15" x14ac:dyDescent="0.25">
      <c r="A14" t="s">
        <v>20</v>
      </c>
      <c r="B14">
        <v>2018</v>
      </c>
      <c r="C14">
        <v>0.2</v>
      </c>
      <c r="D14">
        <v>-1.25</v>
      </c>
      <c r="E14">
        <v>1.65</v>
      </c>
      <c r="F14">
        <v>18</v>
      </c>
      <c r="G14">
        <v>19</v>
      </c>
      <c r="I14">
        <f t="shared" si="0"/>
        <v>0.73979591836734693</v>
      </c>
      <c r="J14">
        <f t="shared" si="1"/>
        <v>2.2491795277923092</v>
      </c>
      <c r="K14">
        <f t="shared" si="2"/>
        <v>8.8921314429849352E-2</v>
      </c>
      <c r="L14">
        <f t="shared" si="3"/>
        <v>0.32891812735531006</v>
      </c>
      <c r="M14">
        <f t="shared" si="4"/>
        <v>0.97841726618705038</v>
      </c>
      <c r="N14">
        <f t="shared" si="5"/>
        <v>-8.700214937021232E-2</v>
      </c>
      <c r="O14">
        <f t="shared" si="6"/>
        <v>0.32181917496634654</v>
      </c>
    </row>
    <row r="15" spans="1:15" x14ac:dyDescent="0.25">
      <c r="A15" t="s">
        <v>21</v>
      </c>
      <c r="B15">
        <v>2019</v>
      </c>
      <c r="C15">
        <v>-0.39</v>
      </c>
      <c r="D15">
        <v>-1</v>
      </c>
      <c r="E15">
        <v>0.23</v>
      </c>
      <c r="F15">
        <v>17</v>
      </c>
      <c r="G15">
        <v>11</v>
      </c>
      <c r="I15">
        <f t="shared" si="0"/>
        <v>0.31377551020408162</v>
      </c>
      <c r="J15">
        <f t="shared" si="1"/>
        <v>0.81088792250744968</v>
      </c>
      <c r="K15">
        <f t="shared" si="2"/>
        <v>-0.48095425912132395</v>
      </c>
      <c r="L15">
        <f t="shared" si="3"/>
        <v>0.38695299497594743</v>
      </c>
      <c r="M15">
        <f t="shared" si="4"/>
        <v>0.970873786407767</v>
      </c>
      <c r="N15">
        <f t="shared" si="5"/>
        <v>0.4669458826420621</v>
      </c>
      <c r="O15">
        <f t="shared" si="6"/>
        <v>0.37568251939412373</v>
      </c>
    </row>
    <row r="16" spans="1:15" x14ac:dyDescent="0.25">
      <c r="A16" t="s">
        <v>22</v>
      </c>
      <c r="B16">
        <v>2019</v>
      </c>
      <c r="C16">
        <v>0.06</v>
      </c>
      <c r="D16">
        <v>-0.38</v>
      </c>
      <c r="E16">
        <v>0.5</v>
      </c>
      <c r="F16">
        <v>15</v>
      </c>
      <c r="G16">
        <v>11</v>
      </c>
      <c r="I16">
        <f t="shared" si="0"/>
        <v>0.22448979591836735</v>
      </c>
      <c r="J16">
        <f t="shared" si="1"/>
        <v>0.56552512349118034</v>
      </c>
      <c r="K16">
        <f t="shared" si="2"/>
        <v>0.10609608222106817</v>
      </c>
      <c r="L16">
        <f t="shared" si="3"/>
        <v>0.39695813075909858</v>
      </c>
      <c r="M16">
        <f t="shared" si="4"/>
        <v>0.96842105263157896</v>
      </c>
      <c r="N16">
        <f t="shared" si="5"/>
        <v>-0.1027456796246134</v>
      </c>
      <c r="O16">
        <f t="shared" si="6"/>
        <v>0.3844226108403902</v>
      </c>
    </row>
    <row r="17" spans="1:15" x14ac:dyDescent="0.25">
      <c r="A17" t="s">
        <v>23</v>
      </c>
      <c r="B17">
        <v>2011</v>
      </c>
      <c r="C17">
        <v>0</v>
      </c>
      <c r="D17">
        <v>-0.2</v>
      </c>
      <c r="E17">
        <v>0.2</v>
      </c>
      <c r="F17">
        <v>54</v>
      </c>
      <c r="G17">
        <v>53</v>
      </c>
      <c r="I17">
        <f t="shared" si="0"/>
        <v>0.10204081632653061</v>
      </c>
      <c r="J17">
        <f t="shared" si="1"/>
        <v>0.52773615698474186</v>
      </c>
      <c r="K17">
        <f t="shared" si="2"/>
        <v>0</v>
      </c>
      <c r="L17">
        <f t="shared" si="3"/>
        <v>0.19335574221320762</v>
      </c>
      <c r="M17">
        <f t="shared" si="4"/>
        <v>0.99284009546539376</v>
      </c>
      <c r="N17">
        <f t="shared" si="5"/>
        <v>0</v>
      </c>
      <c r="O17">
        <f t="shared" si="6"/>
        <v>0.19197133355774312</v>
      </c>
    </row>
    <row r="18" spans="1:15" x14ac:dyDescent="0.25">
      <c r="A18" t="s">
        <v>24</v>
      </c>
      <c r="B18">
        <v>2013</v>
      </c>
      <c r="C18">
        <v>-0.1</v>
      </c>
      <c r="D18">
        <v>-0.35</v>
      </c>
      <c r="E18">
        <v>0.15</v>
      </c>
      <c r="F18">
        <v>40</v>
      </c>
      <c r="G18">
        <v>37</v>
      </c>
      <c r="I18">
        <f t="shared" si="0"/>
        <v>0.12755102040816327</v>
      </c>
      <c r="J18">
        <f t="shared" si="1"/>
        <v>0.55920292247209147</v>
      </c>
      <c r="K18">
        <f t="shared" si="2"/>
        <v>-0.17882596099091519</v>
      </c>
      <c r="L18">
        <f t="shared" si="3"/>
        <v>0.22809433799861631</v>
      </c>
      <c r="M18">
        <f t="shared" si="4"/>
        <v>0.98996655518394649</v>
      </c>
      <c r="N18">
        <f t="shared" si="5"/>
        <v>0.17703172057963509</v>
      </c>
      <c r="O18">
        <f t="shared" si="6"/>
        <v>0.22580576604545294</v>
      </c>
    </row>
    <row r="19" spans="1:15" x14ac:dyDescent="0.25">
      <c r="A19" t="s">
        <v>25</v>
      </c>
      <c r="B19">
        <v>2013</v>
      </c>
      <c r="C19">
        <v>-0.1</v>
      </c>
      <c r="D19">
        <v>-0.33</v>
      </c>
      <c r="E19">
        <v>0.13</v>
      </c>
      <c r="F19">
        <v>40</v>
      </c>
      <c r="G19">
        <v>38</v>
      </c>
      <c r="I19">
        <f t="shared" si="0"/>
        <v>0.11734693877551021</v>
      </c>
      <c r="J19">
        <f t="shared" si="1"/>
        <v>0.51801967763801038</v>
      </c>
      <c r="K19">
        <f t="shared" si="2"/>
        <v>-0.19304285979244115</v>
      </c>
      <c r="L19">
        <f t="shared" si="3"/>
        <v>0.22652988649112993</v>
      </c>
      <c r="M19">
        <f t="shared" si="4"/>
        <v>0.99009900990099009</v>
      </c>
      <c r="N19">
        <f t="shared" si="5"/>
        <v>0.19113154434895163</v>
      </c>
      <c r="O19">
        <f t="shared" si="6"/>
        <v>0.22428701632785142</v>
      </c>
    </row>
    <row r="20" spans="1:15" x14ac:dyDescent="0.25">
      <c r="A20" t="s">
        <v>26</v>
      </c>
      <c r="B20">
        <v>2018</v>
      </c>
      <c r="C20">
        <v>-0.3</v>
      </c>
      <c r="D20">
        <v>-0.57999999999999996</v>
      </c>
      <c r="E20">
        <v>-0.02</v>
      </c>
      <c r="F20">
        <v>26</v>
      </c>
      <c r="G20">
        <v>25</v>
      </c>
      <c r="I20">
        <f t="shared" si="0"/>
        <v>0.14285714285714285</v>
      </c>
      <c r="J20">
        <f t="shared" si="1"/>
        <v>0.51000396235386902</v>
      </c>
      <c r="K20">
        <f t="shared" si="2"/>
        <v>-0.58823072396414711</v>
      </c>
      <c r="L20">
        <f t="shared" si="3"/>
        <v>0.28010986855435577</v>
      </c>
      <c r="M20">
        <f t="shared" si="4"/>
        <v>0.98461538461538467</v>
      </c>
      <c r="N20">
        <f t="shared" si="5"/>
        <v>0.57918102051854492</v>
      </c>
      <c r="O20">
        <f t="shared" si="6"/>
        <v>0.27580048596121187</v>
      </c>
    </row>
    <row r="21" spans="1:15" x14ac:dyDescent="0.25">
      <c r="A21" t="s">
        <v>27</v>
      </c>
      <c r="B21">
        <v>2018</v>
      </c>
      <c r="C21">
        <v>0.09</v>
      </c>
      <c r="D21">
        <v>-0.19</v>
      </c>
      <c r="E21">
        <v>0.37</v>
      </c>
      <c r="F21">
        <v>12</v>
      </c>
      <c r="G21">
        <v>25</v>
      </c>
      <c r="I21">
        <f t="shared" si="0"/>
        <v>0.14285714285714288</v>
      </c>
      <c r="J21">
        <f t="shared" si="1"/>
        <v>0.4067819981796425</v>
      </c>
      <c r="K21">
        <f t="shared" si="2"/>
        <v>0.22124872880990748</v>
      </c>
      <c r="L21">
        <f t="shared" si="3"/>
        <v>0.35118845842842461</v>
      </c>
      <c r="M21">
        <f t="shared" si="4"/>
        <v>0.97841726618705038</v>
      </c>
      <c r="N21">
        <f t="shared" si="5"/>
        <v>-0.21647357638954978</v>
      </c>
      <c r="O21">
        <f t="shared" si="6"/>
        <v>0.34360885141198377</v>
      </c>
    </row>
    <row r="22" spans="1:15" x14ac:dyDescent="0.25">
      <c r="A22" t="s">
        <v>28</v>
      </c>
      <c r="B22">
        <v>2017</v>
      </c>
      <c r="C22">
        <v>1.54</v>
      </c>
      <c r="D22">
        <v>0.04</v>
      </c>
      <c r="E22">
        <v>3.05</v>
      </c>
      <c r="F22">
        <v>23</v>
      </c>
      <c r="G22">
        <v>23</v>
      </c>
      <c r="I22">
        <f t="shared" si="0"/>
        <v>0.76785714285714279</v>
      </c>
      <c r="J22">
        <f t="shared" si="1"/>
        <v>2.603930261378451</v>
      </c>
      <c r="K22">
        <f t="shared" si="2"/>
        <v>0.59141368831620145</v>
      </c>
      <c r="L22">
        <f t="shared" si="3"/>
        <v>0.29488391230979427</v>
      </c>
      <c r="M22">
        <f t="shared" si="4"/>
        <v>0.98285714285714287</v>
      </c>
      <c r="N22">
        <f t="shared" si="5"/>
        <v>-0.58127516794506662</v>
      </c>
      <c r="O22">
        <f t="shared" si="6"/>
        <v>0.28982875952734066</v>
      </c>
    </row>
    <row r="23" spans="1:15" x14ac:dyDescent="0.25">
      <c r="A23" t="s">
        <v>29</v>
      </c>
      <c r="B23">
        <v>2020</v>
      </c>
      <c r="C23">
        <v>-0.44</v>
      </c>
      <c r="D23">
        <v>-0.74</v>
      </c>
      <c r="E23">
        <v>-0.15</v>
      </c>
      <c r="H23">
        <v>24</v>
      </c>
      <c r="I23">
        <f t="shared" si="0"/>
        <v>0.15051020408163265</v>
      </c>
      <c r="J23">
        <f>I23*SQRT(H23)</f>
        <v>0.73734640216432401</v>
      </c>
      <c r="K23">
        <f>C23/J23</f>
        <v>-0.59673445033226347</v>
      </c>
      <c r="L23">
        <f>I23/J23</f>
        <v>0.20412414523193151</v>
      </c>
      <c r="M23">
        <f>1-3/(4*(H23-1)-1)</f>
        <v>0.96703296703296704</v>
      </c>
      <c r="N23">
        <f t="shared" si="5"/>
        <v>0.57706188603559549</v>
      </c>
      <c r="O23">
        <f t="shared" si="6"/>
        <v>0.197394777806703</v>
      </c>
    </row>
    <row r="24" spans="1:15" x14ac:dyDescent="0.25">
      <c r="A24" t="s">
        <v>30</v>
      </c>
      <c r="B24">
        <v>2016</v>
      </c>
      <c r="C24">
        <v>-0.64</v>
      </c>
      <c r="D24">
        <v>-2.2000000000000002</v>
      </c>
      <c r="E24">
        <v>0.91</v>
      </c>
      <c r="F24">
        <v>17</v>
      </c>
      <c r="G24">
        <v>17</v>
      </c>
      <c r="I24">
        <f t="shared" si="0"/>
        <v>0.79336734693877564</v>
      </c>
      <c r="J24">
        <f t="shared" si="1"/>
        <v>2.3130434174705212</v>
      </c>
      <c r="K24">
        <f t="shared" si="2"/>
        <v>-0.27669173659519364</v>
      </c>
      <c r="L24">
        <f t="shared" si="3"/>
        <v>0.34299717028501769</v>
      </c>
      <c r="M24">
        <f t="shared" si="4"/>
        <v>0.97637795275590555</v>
      </c>
      <c r="N24">
        <f t="shared" si="5"/>
        <v>0.27015571132129146</v>
      </c>
      <c r="O24">
        <f t="shared" si="6"/>
        <v>0.33489487492395431</v>
      </c>
    </row>
    <row r="25" spans="1:15" x14ac:dyDescent="0.25">
      <c r="A25" t="s">
        <v>31</v>
      </c>
      <c r="B25">
        <v>2019</v>
      </c>
      <c r="C25">
        <v>0.02</v>
      </c>
      <c r="D25">
        <v>-0.35</v>
      </c>
      <c r="E25">
        <v>0.38</v>
      </c>
      <c r="F25">
        <v>30</v>
      </c>
      <c r="G25">
        <v>30</v>
      </c>
      <c r="I25">
        <f t="shared" si="0"/>
        <v>0.18622448979591838</v>
      </c>
      <c r="J25">
        <f t="shared" si="1"/>
        <v>0.721244347635565</v>
      </c>
      <c r="K25">
        <f t="shared" si="2"/>
        <v>2.7729853364626616E-2</v>
      </c>
      <c r="L25">
        <f t="shared" si="3"/>
        <v>0.2581988897471611</v>
      </c>
      <c r="M25">
        <f t="shared" si="4"/>
        <v>0.98701298701298701</v>
      </c>
      <c r="N25">
        <f t="shared" si="5"/>
        <v>-2.7369725398852244E-2</v>
      </c>
      <c r="O25">
        <f t="shared" si="6"/>
        <v>0.25484565741278237</v>
      </c>
    </row>
    <row r="26" spans="1:15" x14ac:dyDescent="0.25">
      <c r="A26" t="s">
        <v>32</v>
      </c>
      <c r="B26">
        <v>2019</v>
      </c>
      <c r="C26">
        <v>-0.28000000000000003</v>
      </c>
      <c r="D26">
        <v>-0.46</v>
      </c>
      <c r="E26">
        <v>-0.1</v>
      </c>
      <c r="F26">
        <v>34</v>
      </c>
      <c r="G26">
        <v>35</v>
      </c>
      <c r="I26">
        <f t="shared" si="0"/>
        <v>9.1836734693877556E-2</v>
      </c>
      <c r="J26">
        <f t="shared" si="1"/>
        <v>0.38138654644215381</v>
      </c>
      <c r="K26">
        <f t="shared" si="2"/>
        <v>-0.73416328554858601</v>
      </c>
      <c r="L26">
        <f t="shared" si="3"/>
        <v>0.2407969959889677</v>
      </c>
      <c r="M26">
        <f t="shared" si="4"/>
        <v>0.9887640449438202</v>
      </c>
      <c r="N26">
        <f t="shared" si="5"/>
        <v>0.72591425986826474</v>
      </c>
      <c r="O26">
        <f t="shared" si="6"/>
        <v>0.23809141176437254</v>
      </c>
    </row>
    <row r="27" spans="1:15" x14ac:dyDescent="0.25">
      <c r="A27" t="s">
        <v>33</v>
      </c>
      <c r="B27">
        <v>2020</v>
      </c>
      <c r="C27">
        <v>0.25</v>
      </c>
      <c r="D27">
        <v>0.01</v>
      </c>
      <c r="E27">
        <v>0.49</v>
      </c>
      <c r="F27">
        <v>22</v>
      </c>
      <c r="G27">
        <v>21</v>
      </c>
      <c r="I27">
        <f t="shared" si="0"/>
        <v>0.12244897959183673</v>
      </c>
      <c r="J27">
        <f t="shared" si="1"/>
        <v>0.40136724767086013</v>
      </c>
      <c r="K27">
        <f t="shared" si="2"/>
        <v>0.62287095285116956</v>
      </c>
      <c r="L27">
        <f t="shared" si="3"/>
        <v>0.30507965037608303</v>
      </c>
      <c r="M27">
        <f t="shared" si="4"/>
        <v>0.98159509202453987</v>
      </c>
      <c r="N27">
        <f t="shared" si="5"/>
        <v>-0.61140707028335661</v>
      </c>
      <c r="O27">
        <f t="shared" si="6"/>
        <v>0.29946468748572569</v>
      </c>
    </row>
    <row r="28" spans="1:15" x14ac:dyDescent="0.25">
      <c r="A28" t="s">
        <v>34</v>
      </c>
      <c r="B28">
        <v>2020</v>
      </c>
      <c r="C28">
        <v>-0.05</v>
      </c>
      <c r="D28">
        <v>-0.31</v>
      </c>
      <c r="E28">
        <v>0.22</v>
      </c>
      <c r="F28">
        <v>27</v>
      </c>
      <c r="G28">
        <v>31</v>
      </c>
      <c r="I28">
        <f t="shared" si="0"/>
        <v>0.13520408163265307</v>
      </c>
      <c r="J28">
        <f t="shared" si="1"/>
        <v>0.51361598879127168</v>
      </c>
      <c r="K28">
        <f t="shared" si="2"/>
        <v>-9.7348994367695771E-2</v>
      </c>
      <c r="L28">
        <f t="shared" si="3"/>
        <v>0.26323962762693248</v>
      </c>
      <c r="M28">
        <f t="shared" si="4"/>
        <v>0.98654708520179368</v>
      </c>
      <c r="N28">
        <f t="shared" si="5"/>
        <v>9.60393666407761E-2</v>
      </c>
      <c r="O28">
        <f t="shared" si="6"/>
        <v>0.25969828734495581</v>
      </c>
    </row>
    <row r="29" spans="1:15" x14ac:dyDescent="0.25">
      <c r="A29" t="s">
        <v>35</v>
      </c>
      <c r="B29">
        <v>2018</v>
      </c>
      <c r="C29">
        <v>0.09</v>
      </c>
      <c r="D29">
        <v>-0.08</v>
      </c>
      <c r="E29">
        <v>0.27</v>
      </c>
      <c r="F29">
        <v>49</v>
      </c>
      <c r="G29">
        <v>49</v>
      </c>
      <c r="I29">
        <f t="shared" si="0"/>
        <v>8.9285714285714302E-2</v>
      </c>
      <c r="J29">
        <f t="shared" si="1"/>
        <v>0.44194173824159233</v>
      </c>
      <c r="K29">
        <f t="shared" si="2"/>
        <v>0.20364675298172563</v>
      </c>
      <c r="L29">
        <f t="shared" si="3"/>
        <v>0.20203050891044214</v>
      </c>
      <c r="M29">
        <f t="shared" si="4"/>
        <v>0.9921671018276762</v>
      </c>
      <c r="N29">
        <f t="shared" si="5"/>
        <v>-0.20205160870249539</v>
      </c>
      <c r="O29">
        <f t="shared" si="6"/>
        <v>0.20044802450644389</v>
      </c>
    </row>
    <row r="30" spans="1:15" x14ac:dyDescent="0.25">
      <c r="A30" t="s">
        <v>36</v>
      </c>
      <c r="B30">
        <v>2018</v>
      </c>
      <c r="C30">
        <v>0</v>
      </c>
      <c r="D30">
        <v>-0.28999999999999998</v>
      </c>
      <c r="E30">
        <v>0.28999999999999998</v>
      </c>
      <c r="F30">
        <v>58</v>
      </c>
      <c r="G30">
        <v>54</v>
      </c>
      <c r="I30">
        <f t="shared" si="0"/>
        <v>0.14795918367346939</v>
      </c>
      <c r="J30">
        <f t="shared" si="1"/>
        <v>0.78242693374272365</v>
      </c>
      <c r="K30">
        <f t="shared" si="2"/>
        <v>0</v>
      </c>
      <c r="L30">
        <f t="shared" si="3"/>
        <v>0.1891028763103918</v>
      </c>
      <c r="M30">
        <f t="shared" si="4"/>
        <v>0.99316628701594534</v>
      </c>
      <c r="N30">
        <f t="shared" si="5"/>
        <v>0</v>
      </c>
      <c r="O30">
        <f t="shared" si="6"/>
        <v>0.18781060152922738</v>
      </c>
    </row>
    <row r="31" spans="1:15" x14ac:dyDescent="0.25">
      <c r="A31" t="s">
        <v>37</v>
      </c>
      <c r="B31">
        <v>2013</v>
      </c>
      <c r="C31">
        <v>-0.3</v>
      </c>
      <c r="D31">
        <v>-0.79</v>
      </c>
      <c r="E31">
        <v>0.19</v>
      </c>
      <c r="F31">
        <v>28</v>
      </c>
      <c r="G31">
        <v>28</v>
      </c>
      <c r="I31">
        <f t="shared" si="0"/>
        <v>0.25</v>
      </c>
      <c r="J31">
        <f t="shared" si="1"/>
        <v>0.93541434669348533</v>
      </c>
      <c r="K31">
        <f t="shared" si="2"/>
        <v>-0.32071349029490925</v>
      </c>
      <c r="L31">
        <f t="shared" si="3"/>
        <v>0.2672612419124244</v>
      </c>
      <c r="M31">
        <f t="shared" si="4"/>
        <v>0.98604651162790702</v>
      </c>
      <c r="N31">
        <f t="shared" si="5"/>
        <v>0.31623841833730587</v>
      </c>
      <c r="O31">
        <f t="shared" si="6"/>
        <v>0.26353201528108827</v>
      </c>
    </row>
    <row r="32" spans="1:15" x14ac:dyDescent="0.25">
      <c r="A32" t="s">
        <v>38</v>
      </c>
      <c r="B32">
        <v>2019</v>
      </c>
      <c r="C32">
        <v>0.11</v>
      </c>
      <c r="D32">
        <v>-0.4</v>
      </c>
      <c r="E32">
        <v>0.62</v>
      </c>
      <c r="F32">
        <v>14</v>
      </c>
      <c r="G32">
        <v>13</v>
      </c>
      <c r="I32">
        <f t="shared" si="0"/>
        <v>0.26020408163265307</v>
      </c>
      <c r="J32">
        <f t="shared" si="1"/>
        <v>0.67556620603508399</v>
      </c>
      <c r="K32">
        <f t="shared" si="2"/>
        <v>0.16282638032709321</v>
      </c>
      <c r="L32">
        <f t="shared" si="3"/>
        <v>0.38516444325982163</v>
      </c>
      <c r="M32">
        <f t="shared" si="4"/>
        <v>0.96969696969696972</v>
      </c>
      <c r="N32">
        <f t="shared" si="5"/>
        <v>-0.15789224758990858</v>
      </c>
      <c r="O32">
        <f t="shared" si="6"/>
        <v>0.37349279346406949</v>
      </c>
    </row>
    <row r="33" spans="1:15" x14ac:dyDescent="0.25">
      <c r="A33" t="s">
        <v>39</v>
      </c>
      <c r="B33">
        <v>2018</v>
      </c>
      <c r="C33">
        <v>-0.28999999999999998</v>
      </c>
      <c r="D33">
        <v>-0.65</v>
      </c>
      <c r="E33">
        <v>7.0000000000000007E-2</v>
      </c>
      <c r="F33">
        <v>29</v>
      </c>
      <c r="G33">
        <v>25</v>
      </c>
      <c r="I33">
        <f t="shared" si="0"/>
        <v>0.18367346938775511</v>
      </c>
      <c r="J33">
        <f t="shared" si="1"/>
        <v>0.67300540603433268</v>
      </c>
      <c r="K33">
        <f t="shared" si="2"/>
        <v>-0.43090292797024859</v>
      </c>
      <c r="L33">
        <f t="shared" si="3"/>
        <v>0.27291529568840522</v>
      </c>
      <c r="M33">
        <f t="shared" si="4"/>
        <v>0.98550724637681164</v>
      </c>
      <c r="N33">
        <f t="shared" si="5"/>
        <v>0.42465795799966533</v>
      </c>
      <c r="O33">
        <f t="shared" si="6"/>
        <v>0.26896000154799354</v>
      </c>
    </row>
    <row r="34" spans="1:15" x14ac:dyDescent="0.25">
      <c r="A34" t="s">
        <v>40</v>
      </c>
      <c r="B34">
        <v>2018</v>
      </c>
      <c r="C34">
        <v>-0.28999999999999998</v>
      </c>
      <c r="D34">
        <v>-0.62</v>
      </c>
      <c r="E34">
        <v>0.04</v>
      </c>
      <c r="F34">
        <v>25</v>
      </c>
      <c r="G34">
        <v>25</v>
      </c>
      <c r="I34">
        <f t="shared" si="0"/>
        <v>0.16836734693877553</v>
      </c>
      <c r="J34">
        <f t="shared" si="1"/>
        <v>0.59526846375398146</v>
      </c>
      <c r="K34">
        <f t="shared" si="2"/>
        <v>-0.48717514475931334</v>
      </c>
      <c r="L34">
        <f t="shared" si="3"/>
        <v>0.28284271247461901</v>
      </c>
      <c r="M34">
        <f t="shared" si="4"/>
        <v>0.98429319371727753</v>
      </c>
      <c r="N34">
        <f t="shared" si="5"/>
        <v>0.47952317913482151</v>
      </c>
      <c r="O34">
        <f t="shared" si="6"/>
        <v>0.27840015678130037</v>
      </c>
    </row>
    <row r="35" spans="1:15" x14ac:dyDescent="0.25">
      <c r="A35" t="s">
        <v>41</v>
      </c>
      <c r="B35">
        <v>2017</v>
      </c>
      <c r="C35">
        <v>-0.16</v>
      </c>
      <c r="D35">
        <v>-0.37</v>
      </c>
      <c r="E35">
        <v>0.05</v>
      </c>
      <c r="H35">
        <v>100</v>
      </c>
      <c r="I35">
        <f t="shared" si="0"/>
        <v>0.10714285714285714</v>
      </c>
      <c r="J35">
        <f>I35*SQRT(H35)</f>
        <v>1.0714285714285714</v>
      </c>
      <c r="K35">
        <f>C35/J35</f>
        <v>-0.14933333333333335</v>
      </c>
      <c r="L35">
        <f>I35/J35</f>
        <v>9.9999999999999992E-2</v>
      </c>
      <c r="M35">
        <f>1-3/(4*(H35-1)-1)</f>
        <v>0.9924050632911392</v>
      </c>
      <c r="N35">
        <f t="shared" si="5"/>
        <v>0.14819915611814347</v>
      </c>
      <c r="O35">
        <f t="shared" si="6"/>
        <v>9.9240506329113909E-2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2026-04-25T22:22:00Z</dcterms:modified>
</cp:coreProperties>
</file>