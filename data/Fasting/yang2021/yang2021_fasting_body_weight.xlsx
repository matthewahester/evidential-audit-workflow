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yang2021\"/>
    </mc:Choice>
  </mc:AlternateContent>
  <xr:revisionPtr revIDLastSave="0" documentId="13_ncr:1_{5C31D765-A214-422A-AE3A-B8DC6D0C650E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N37" i="1" s="1"/>
  <c r="L37" i="1"/>
  <c r="K37" i="1"/>
  <c r="J37" i="1"/>
  <c r="I3" i="1"/>
  <c r="J3" i="1" s="1"/>
  <c r="K3" i="1" s="1"/>
  <c r="N3" i="1" s="1"/>
  <c r="M3" i="1"/>
  <c r="I4" i="1"/>
  <c r="J4" i="1"/>
  <c r="K4" i="1"/>
  <c r="N4" i="1" s="1"/>
  <c r="L4" i="1"/>
  <c r="O4" i="1" s="1"/>
  <c r="M4" i="1"/>
  <c r="I5" i="1"/>
  <c r="J5" i="1" s="1"/>
  <c r="K5" i="1" s="1"/>
  <c r="N5" i="1" s="1"/>
  <c r="M5" i="1"/>
  <c r="I6" i="1"/>
  <c r="L6" i="1" s="1"/>
  <c r="O6" i="1" s="1"/>
  <c r="J6" i="1"/>
  <c r="K6" i="1"/>
  <c r="N6" i="1" s="1"/>
  <c r="M6" i="1"/>
  <c r="I7" i="1"/>
  <c r="J7" i="1" s="1"/>
  <c r="M7" i="1"/>
  <c r="I8" i="1"/>
  <c r="J8" i="1" s="1"/>
  <c r="K8" i="1" s="1"/>
  <c r="N8" i="1" s="1"/>
  <c r="M8" i="1"/>
  <c r="I9" i="1"/>
  <c r="J9" i="1"/>
  <c r="K9" i="1"/>
  <c r="L9" i="1"/>
  <c r="O9" i="1" s="1"/>
  <c r="M9" i="1"/>
  <c r="N9" i="1"/>
  <c r="I10" i="1"/>
  <c r="J10" i="1"/>
  <c r="K10" i="1" s="1"/>
  <c r="N10" i="1" s="1"/>
  <c r="M10" i="1"/>
  <c r="I11" i="1"/>
  <c r="J11" i="1"/>
  <c r="K11" i="1"/>
  <c r="N11" i="1" s="1"/>
  <c r="L11" i="1"/>
  <c r="O11" i="1" s="1"/>
  <c r="M11" i="1"/>
  <c r="I12" i="1"/>
  <c r="J12" i="1"/>
  <c r="K12" i="1" s="1"/>
  <c r="N12" i="1" s="1"/>
  <c r="L12" i="1"/>
  <c r="M12" i="1"/>
  <c r="O12" i="1"/>
  <c r="I13" i="1"/>
  <c r="L13" i="1" s="1"/>
  <c r="O13" i="1" s="1"/>
  <c r="J13" i="1"/>
  <c r="K13" i="1" s="1"/>
  <c r="N13" i="1" s="1"/>
  <c r="M13" i="1"/>
  <c r="I14" i="1"/>
  <c r="J14" i="1"/>
  <c r="K14" i="1"/>
  <c r="L14" i="1"/>
  <c r="M14" i="1"/>
  <c r="N14" i="1"/>
  <c r="O14" i="1"/>
  <c r="I15" i="1"/>
  <c r="J15" i="1" s="1"/>
  <c r="M15" i="1"/>
  <c r="I16" i="1"/>
  <c r="J16" i="1"/>
  <c r="K16" i="1"/>
  <c r="N16" i="1" s="1"/>
  <c r="L16" i="1"/>
  <c r="O16" i="1" s="1"/>
  <c r="M16" i="1"/>
  <c r="I17" i="1"/>
  <c r="J17" i="1" s="1"/>
  <c r="K17" i="1" s="1"/>
  <c r="N17" i="1" s="1"/>
  <c r="M17" i="1"/>
  <c r="I18" i="1"/>
  <c r="L18" i="1" s="1"/>
  <c r="O18" i="1" s="1"/>
  <c r="J18" i="1"/>
  <c r="K18" i="1"/>
  <c r="N18" i="1" s="1"/>
  <c r="M18" i="1"/>
  <c r="I19" i="1"/>
  <c r="J19" i="1" s="1"/>
  <c r="M19" i="1"/>
  <c r="I20" i="1"/>
  <c r="J20" i="1" s="1"/>
  <c r="K20" i="1" s="1"/>
  <c r="N20" i="1" s="1"/>
  <c r="M20" i="1"/>
  <c r="I21" i="1"/>
  <c r="J21" i="1"/>
  <c r="K21" i="1"/>
  <c r="L21" i="1"/>
  <c r="O21" i="1" s="1"/>
  <c r="M21" i="1"/>
  <c r="N21" i="1"/>
  <c r="I22" i="1"/>
  <c r="J22" i="1"/>
  <c r="K22" i="1" s="1"/>
  <c r="N22" i="1" s="1"/>
  <c r="M22" i="1"/>
  <c r="I23" i="1"/>
  <c r="J23" i="1"/>
  <c r="K23" i="1"/>
  <c r="N23" i="1" s="1"/>
  <c r="L23" i="1"/>
  <c r="O23" i="1" s="1"/>
  <c r="M23" i="1"/>
  <c r="I24" i="1"/>
  <c r="J24" i="1"/>
  <c r="K24" i="1" s="1"/>
  <c r="N24" i="1" s="1"/>
  <c r="L24" i="1"/>
  <c r="M24" i="1"/>
  <c r="O24" i="1"/>
  <c r="I25" i="1"/>
  <c r="L25" i="1" s="1"/>
  <c r="O25" i="1" s="1"/>
  <c r="J25" i="1"/>
  <c r="K25" i="1" s="1"/>
  <c r="N25" i="1" s="1"/>
  <c r="M25" i="1"/>
  <c r="I26" i="1"/>
  <c r="J26" i="1"/>
  <c r="K26" i="1"/>
  <c r="L26" i="1"/>
  <c r="M26" i="1"/>
  <c r="N26" i="1"/>
  <c r="O26" i="1"/>
  <c r="I27" i="1"/>
  <c r="J27" i="1" s="1"/>
  <c r="M27" i="1"/>
  <c r="I28" i="1"/>
  <c r="J28" i="1"/>
  <c r="K28" i="1"/>
  <c r="N28" i="1" s="1"/>
  <c r="L28" i="1"/>
  <c r="O28" i="1" s="1"/>
  <c r="M28" i="1"/>
  <c r="I29" i="1"/>
  <c r="J29" i="1" s="1"/>
  <c r="K29" i="1" s="1"/>
  <c r="N29" i="1" s="1"/>
  <c r="M29" i="1"/>
  <c r="I30" i="1"/>
  <c r="L30" i="1" s="1"/>
  <c r="O30" i="1" s="1"/>
  <c r="J30" i="1"/>
  <c r="K30" i="1"/>
  <c r="N30" i="1" s="1"/>
  <c r="M30" i="1"/>
  <c r="I31" i="1"/>
  <c r="J31" i="1" s="1"/>
  <c r="M31" i="1"/>
  <c r="I32" i="1"/>
  <c r="J32" i="1" s="1"/>
  <c r="K32" i="1" s="1"/>
  <c r="N32" i="1" s="1"/>
  <c r="M32" i="1"/>
  <c r="I33" i="1"/>
  <c r="J33" i="1"/>
  <c r="K33" i="1"/>
  <c r="L33" i="1"/>
  <c r="O33" i="1" s="1"/>
  <c r="M33" i="1"/>
  <c r="N33" i="1"/>
  <c r="I34" i="1"/>
  <c r="J34" i="1"/>
  <c r="K34" i="1" s="1"/>
  <c r="N34" i="1" s="1"/>
  <c r="M34" i="1"/>
  <c r="I35" i="1"/>
  <c r="J35" i="1"/>
  <c r="K35" i="1"/>
  <c r="N35" i="1" s="1"/>
  <c r="L35" i="1"/>
  <c r="O35" i="1" s="1"/>
  <c r="M35" i="1"/>
  <c r="I36" i="1"/>
  <c r="J36" i="1"/>
  <c r="K36" i="1" s="1"/>
  <c r="N36" i="1" s="1"/>
  <c r="L36" i="1"/>
  <c r="M36" i="1"/>
  <c r="O36" i="1"/>
  <c r="I37" i="1"/>
  <c r="O37" i="1" s="1"/>
  <c r="I38" i="1"/>
  <c r="J38" i="1"/>
  <c r="K38" i="1"/>
  <c r="L38" i="1"/>
  <c r="M38" i="1"/>
  <c r="N38" i="1"/>
  <c r="O38" i="1"/>
  <c r="I39" i="1"/>
  <c r="J39" i="1" s="1"/>
  <c r="M39" i="1"/>
  <c r="I40" i="1"/>
  <c r="J40" i="1"/>
  <c r="K40" i="1"/>
  <c r="N40" i="1" s="1"/>
  <c r="L40" i="1"/>
  <c r="O40" i="1" s="1"/>
  <c r="M40" i="1"/>
  <c r="I41" i="1"/>
  <c r="J41" i="1" s="1"/>
  <c r="K41" i="1" s="1"/>
  <c r="N41" i="1" s="1"/>
  <c r="M41" i="1"/>
  <c r="I42" i="1"/>
  <c r="L42" i="1" s="1"/>
  <c r="O42" i="1" s="1"/>
  <c r="J42" i="1"/>
  <c r="K42" i="1"/>
  <c r="N42" i="1" s="1"/>
  <c r="M42" i="1"/>
  <c r="I43" i="1"/>
  <c r="J43" i="1" s="1"/>
  <c r="M43" i="1"/>
  <c r="I44" i="1"/>
  <c r="J44" i="1" s="1"/>
  <c r="K44" i="1" s="1"/>
  <c r="N44" i="1" s="1"/>
  <c r="M44" i="1"/>
  <c r="I45" i="1"/>
  <c r="J45" i="1"/>
  <c r="K45" i="1"/>
  <c r="L45" i="1"/>
  <c r="O45" i="1" s="1"/>
  <c r="M45" i="1"/>
  <c r="N45" i="1"/>
  <c r="I46" i="1"/>
  <c r="J46" i="1"/>
  <c r="K46" i="1" s="1"/>
  <c r="N46" i="1" s="1"/>
  <c r="M46" i="1"/>
  <c r="O2" i="1"/>
  <c r="M2" i="1"/>
  <c r="L2" i="1"/>
  <c r="K2" i="1"/>
  <c r="J2" i="1"/>
  <c r="I2" i="1"/>
  <c r="L19" i="1" l="1"/>
  <c r="O19" i="1" s="1"/>
  <c r="K19" i="1"/>
  <c r="N19" i="1" s="1"/>
  <c r="K31" i="1"/>
  <c r="N31" i="1" s="1"/>
  <c r="L31" i="1"/>
  <c r="O31" i="1" s="1"/>
  <c r="K15" i="1"/>
  <c r="N15" i="1" s="1"/>
  <c r="L15" i="1"/>
  <c r="O15" i="1" s="1"/>
  <c r="K27" i="1"/>
  <c r="N27" i="1" s="1"/>
  <c r="L27" i="1"/>
  <c r="O27" i="1" s="1"/>
  <c r="K39" i="1"/>
  <c r="N39" i="1" s="1"/>
  <c r="L39" i="1"/>
  <c r="O39" i="1" s="1"/>
  <c r="L43" i="1"/>
  <c r="O43" i="1" s="1"/>
  <c r="K43" i="1"/>
  <c r="N43" i="1" s="1"/>
  <c r="L7" i="1"/>
  <c r="O7" i="1" s="1"/>
  <c r="K7" i="1"/>
  <c r="N7" i="1" s="1"/>
  <c r="L41" i="1"/>
  <c r="O41" i="1" s="1"/>
  <c r="L29" i="1"/>
  <c r="O29" i="1" s="1"/>
  <c r="L17" i="1"/>
  <c r="O17" i="1" s="1"/>
  <c r="L5" i="1"/>
  <c r="O5" i="1" s="1"/>
  <c r="L46" i="1"/>
  <c r="O46" i="1" s="1"/>
  <c r="L34" i="1"/>
  <c r="O34" i="1" s="1"/>
  <c r="L22" i="1"/>
  <c r="O22" i="1" s="1"/>
  <c r="L10" i="1"/>
  <c r="O10" i="1" s="1"/>
  <c r="L3" i="1"/>
  <c r="O3" i="1" s="1"/>
  <c r="L20" i="1"/>
  <c r="O20" i="1" s="1"/>
  <c r="L8" i="1"/>
  <c r="O8" i="1" s="1"/>
  <c r="L44" i="1"/>
  <c r="O44" i="1" s="1"/>
  <c r="L32" i="1"/>
  <c r="O32" i="1" s="1"/>
  <c r="N2" i="1"/>
</calcChain>
</file>

<file path=xl/sharedStrings.xml><?xml version="1.0" encoding="utf-8"?>
<sst xmlns="http://schemas.openxmlformats.org/spreadsheetml/2006/main" count="60" uniqueCount="57">
  <si>
    <t>author</t>
  </si>
  <si>
    <t>year</t>
  </si>
  <si>
    <t>wmd</t>
  </si>
  <si>
    <t>lCI</t>
  </si>
  <si>
    <t>uCI</t>
  </si>
  <si>
    <t>n_control</t>
  </si>
  <si>
    <t>n_treat</t>
  </si>
  <si>
    <t>n_total</t>
  </si>
  <si>
    <t>Antoni</t>
  </si>
  <si>
    <t>Arguin</t>
  </si>
  <si>
    <t>Bhutani</t>
  </si>
  <si>
    <t>Bowen</t>
  </si>
  <si>
    <t>Byrne</t>
  </si>
  <si>
    <t>Cai (a)</t>
  </si>
  <si>
    <t>Cai (b)</t>
  </si>
  <si>
    <t>Carter</t>
  </si>
  <si>
    <t>Catenacci</t>
  </si>
  <si>
    <t>Cho (a)</t>
  </si>
  <si>
    <t>Cho (b)</t>
  </si>
  <si>
    <t>Chow</t>
  </si>
  <si>
    <t>Conley</t>
  </si>
  <si>
    <t>Corley</t>
  </si>
  <si>
    <t>Coutinho</t>
  </si>
  <si>
    <t>de Oliveira Maranhao Pureza</t>
  </si>
  <si>
    <t>Domaszewski</t>
  </si>
  <si>
    <t>Gabel (a)</t>
  </si>
  <si>
    <t>Gabel (b)</t>
  </si>
  <si>
    <t>Gasmi (young)</t>
  </si>
  <si>
    <t>Gasmi (older)</t>
  </si>
  <si>
    <t>Harvie</t>
  </si>
  <si>
    <t>Harvie (b)</t>
  </si>
  <si>
    <t>Harvie (a)</t>
  </si>
  <si>
    <t>Hirsh</t>
  </si>
  <si>
    <t>Hutchison (a)</t>
  </si>
  <si>
    <t>Hutchison (b)</t>
  </si>
  <si>
    <t>Keogh</t>
  </si>
  <si>
    <t>Li</t>
  </si>
  <si>
    <t>Lowe</t>
  </si>
  <si>
    <t>Panizza</t>
  </si>
  <si>
    <t>Parvaresh</t>
  </si>
  <si>
    <t>Pinto</t>
  </si>
  <si>
    <t>Stekovic</t>
  </si>
  <si>
    <t>Stote</t>
  </si>
  <si>
    <t>Stratton</t>
  </si>
  <si>
    <t>Sundfor</t>
  </si>
  <si>
    <t>Teng</t>
  </si>
  <si>
    <t>Tinsley</t>
  </si>
  <si>
    <t>Wei</t>
  </si>
  <si>
    <t>Williams (a)</t>
  </si>
  <si>
    <t>Williams (b)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</si>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</sst>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I15" sqref="I15"/>
    </sheetView>
  </sheetViews>
  <sheetFormatPr defaultRowHeight="15" x14ac:dyDescent="0.25"/>
  <cols>
    <col min="1" max="1" width="27" bestFit="1" customWidth="1"/>
    <col min="2" max="2" width="5" bestFit="1" customWidth="1"/>
    <col min="3" max="3" width="5.7109375" bestFit="1" customWidth="1"/>
    <col min="4" max="4" width="6.7109375" bestFit="1" customWidth="1"/>
    <col min="5" max="5" width="6" bestFit="1" customWidth="1"/>
    <col min="6" max="6" width="9.42578125" bestFit="1" customWidth="1"/>
    <col min="7" max="7" width="7.42578125" bestFit="1" customWidth="1"/>
    <col min="8" max="8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</row>
    <row r="2" spans="1:15" x14ac:dyDescent="0.25">
      <c r="A2" t="s">
        <v>8</v>
      </c>
      <c r="B2">
        <v>2018</v>
      </c>
      <c r="C2">
        <v>-0.3</v>
      </c>
      <c r="D2">
        <v>-10.86</v>
      </c>
      <c r="E2">
        <v>10.26</v>
      </c>
      <c r="F2">
        <v>12</v>
      </c>
      <c r="G2">
        <v>15</v>
      </c>
      <c r="I2">
        <f>(E2-D2)/2/1.96</f>
        <v>5.3877551020408161</v>
      </c>
      <c r="J2">
        <f>I2/SQRT(1/F2+1/G2)</f>
        <v>13.911123855765414</v>
      </c>
      <c r="K2">
        <f>C2/J2</f>
        <v>-2.1565475450473118E-2</v>
      </c>
      <c r="L2">
        <f>I2/J2</f>
        <v>0.3872983346207417</v>
      </c>
      <c r="M2">
        <f>1-3/(4*(G2+F2-2)-1)</f>
        <v>0.96969696969696972</v>
      </c>
      <c r="N2">
        <f>-K2*M2</f>
        <v>2.0911976194398177E-2</v>
      </c>
      <c r="O2">
        <f>L2*M2</f>
        <v>0.37556202145041623</v>
      </c>
    </row>
    <row r="3" spans="1:15" x14ac:dyDescent="0.25">
      <c r="A3" t="s">
        <v>9</v>
      </c>
      <c r="B3">
        <v>2012</v>
      </c>
      <c r="C3">
        <v>-0.7</v>
      </c>
      <c r="D3">
        <v>-2.5499999999999998</v>
      </c>
      <c r="E3">
        <v>1.1499999999999999</v>
      </c>
      <c r="F3">
        <v>10</v>
      </c>
      <c r="G3">
        <v>12</v>
      </c>
      <c r="I3">
        <f t="shared" ref="I3:I46" si="0">(E3-D3)/2/1.96</f>
        <v>0.94387755102040816</v>
      </c>
      <c r="J3">
        <f t="shared" ref="J3:J46" si="1">I3/SQRT(1/F3+1/G3)</f>
        <v>2.2044230306614554</v>
      </c>
      <c r="K3">
        <f t="shared" ref="K3:K46" si="2">C3/J3</f>
        <v>-0.31754340716988388</v>
      </c>
      <c r="L3">
        <f t="shared" ref="L3:L46" si="3">I3/J3</f>
        <v>0.42817441928883765</v>
      </c>
      <c r="M3">
        <f t="shared" ref="M3:M46" si="4">1-3/(4*(G3+F3-2)-1)</f>
        <v>0.96202531645569622</v>
      </c>
      <c r="N3">
        <f t="shared" ref="N3:N46" si="5">-K3*M3</f>
        <v>0.30548479677102752</v>
      </c>
      <c r="O3">
        <f t="shared" ref="O3:O46" si="6">L3*M3</f>
        <v>0.411914631214578</v>
      </c>
    </row>
    <row r="4" spans="1:15" x14ac:dyDescent="0.25">
      <c r="A4" t="s">
        <v>10</v>
      </c>
      <c r="B4">
        <v>2013</v>
      </c>
      <c r="C4">
        <v>-3</v>
      </c>
      <c r="D4">
        <v>-14.89</v>
      </c>
      <c r="E4">
        <v>8.89</v>
      </c>
      <c r="F4">
        <v>16</v>
      </c>
      <c r="G4">
        <v>25</v>
      </c>
      <c r="I4">
        <f t="shared" si="0"/>
        <v>6.0663265306122449</v>
      </c>
      <c r="J4">
        <f t="shared" si="1"/>
        <v>18.948020702607408</v>
      </c>
      <c r="K4">
        <f t="shared" si="2"/>
        <v>-0.15832788274224202</v>
      </c>
      <c r="L4">
        <f t="shared" si="3"/>
        <v>0.32015621187164245</v>
      </c>
      <c r="M4">
        <f t="shared" si="4"/>
        <v>0.98064516129032253</v>
      </c>
      <c r="N4">
        <f t="shared" si="5"/>
        <v>0.15526347210852121</v>
      </c>
      <c r="O4">
        <f t="shared" si="6"/>
        <v>0.31395964002896548</v>
      </c>
    </row>
    <row r="5" spans="1:15" x14ac:dyDescent="0.25">
      <c r="A5" t="s">
        <v>11</v>
      </c>
      <c r="B5">
        <v>2018</v>
      </c>
      <c r="C5">
        <v>2.5</v>
      </c>
      <c r="D5">
        <v>-3.28</v>
      </c>
      <c r="E5">
        <v>8.2799999999999994</v>
      </c>
      <c r="F5">
        <v>81</v>
      </c>
      <c r="G5">
        <v>82</v>
      </c>
      <c r="I5">
        <f t="shared" si="0"/>
        <v>2.9489795918367343</v>
      </c>
      <c r="J5">
        <f t="shared" si="1"/>
        <v>18.824671249110942</v>
      </c>
      <c r="K5">
        <f t="shared" si="2"/>
        <v>0.13280444406794467</v>
      </c>
      <c r="L5">
        <f t="shared" si="3"/>
        <v>0.15665503810463674</v>
      </c>
      <c r="M5">
        <f t="shared" si="4"/>
        <v>0.99533437013996895</v>
      </c>
      <c r="N5">
        <f t="shared" si="5"/>
        <v>-0.13218482768815645</v>
      </c>
      <c r="O5">
        <f t="shared" si="6"/>
        <v>0.15592414368113144</v>
      </c>
    </row>
    <row r="6" spans="1:15" x14ac:dyDescent="0.25">
      <c r="A6" t="s">
        <v>12</v>
      </c>
      <c r="B6">
        <v>2018</v>
      </c>
      <c r="C6">
        <v>-2.2999999999999998</v>
      </c>
      <c r="D6">
        <v>-8.56</v>
      </c>
      <c r="E6">
        <v>3.96</v>
      </c>
      <c r="F6">
        <v>25</v>
      </c>
      <c r="G6">
        <v>26</v>
      </c>
      <c r="I6">
        <f t="shared" si="0"/>
        <v>3.193877551020408</v>
      </c>
      <c r="J6">
        <f t="shared" si="1"/>
        <v>11.402231444054356</v>
      </c>
      <c r="K6">
        <f t="shared" si="2"/>
        <v>-0.2017149021474498</v>
      </c>
      <c r="L6">
        <f t="shared" si="3"/>
        <v>0.28010986855435577</v>
      </c>
      <c r="M6">
        <f t="shared" si="4"/>
        <v>0.98461538461538467</v>
      </c>
      <c r="N6">
        <f t="shared" si="5"/>
        <v>0.19861159596056596</v>
      </c>
      <c r="O6">
        <f t="shared" si="6"/>
        <v>0.27580048596121187</v>
      </c>
    </row>
    <row r="7" spans="1:15" x14ac:dyDescent="0.25">
      <c r="A7" t="s">
        <v>13</v>
      </c>
      <c r="B7">
        <v>2019</v>
      </c>
      <c r="C7">
        <v>-2.87</v>
      </c>
      <c r="D7">
        <v>-5.19</v>
      </c>
      <c r="E7">
        <v>-0.55000000000000004</v>
      </c>
      <c r="F7">
        <v>79</v>
      </c>
      <c r="G7">
        <v>90</v>
      </c>
      <c r="I7">
        <f t="shared" si="0"/>
        <v>1.1836734693877553</v>
      </c>
      <c r="J7">
        <f t="shared" si="1"/>
        <v>7.6775625184445975</v>
      </c>
      <c r="K7">
        <f t="shared" si="2"/>
        <v>-0.3738165587196593</v>
      </c>
      <c r="L7">
        <f t="shared" si="3"/>
        <v>0.15417308117571102</v>
      </c>
      <c r="M7">
        <f t="shared" si="4"/>
        <v>0.99550224887556227</v>
      </c>
      <c r="N7">
        <f t="shared" si="5"/>
        <v>0.37213522487234452</v>
      </c>
      <c r="O7">
        <f t="shared" si="6"/>
        <v>0.15347964902649494</v>
      </c>
    </row>
    <row r="8" spans="1:15" x14ac:dyDescent="0.25">
      <c r="A8" t="s">
        <v>14</v>
      </c>
      <c r="B8">
        <v>2019</v>
      </c>
      <c r="C8">
        <v>-2.14</v>
      </c>
      <c r="D8">
        <v>-4.41</v>
      </c>
      <c r="E8">
        <v>0.13</v>
      </c>
      <c r="F8">
        <v>79</v>
      </c>
      <c r="G8">
        <v>95</v>
      </c>
      <c r="I8">
        <f t="shared" si="0"/>
        <v>1.1581632653061225</v>
      </c>
      <c r="J8">
        <f t="shared" si="1"/>
        <v>7.6062485009885545</v>
      </c>
      <c r="K8">
        <f t="shared" si="2"/>
        <v>-0.28134763145351782</v>
      </c>
      <c r="L8">
        <f t="shared" si="3"/>
        <v>0.1522647156683877</v>
      </c>
      <c r="M8">
        <f t="shared" si="4"/>
        <v>0.99563318777292575</v>
      </c>
      <c r="N8">
        <f t="shared" si="5"/>
        <v>0.28011903917642822</v>
      </c>
      <c r="O8">
        <f t="shared" si="6"/>
        <v>0.15159980424625499</v>
      </c>
    </row>
    <row r="9" spans="1:15" x14ac:dyDescent="0.25">
      <c r="A9" t="s">
        <v>15</v>
      </c>
      <c r="B9">
        <v>2018</v>
      </c>
      <c r="C9">
        <v>-1.8</v>
      </c>
      <c r="D9">
        <v>-4.0199999999999996</v>
      </c>
      <c r="E9">
        <v>0.42</v>
      </c>
      <c r="F9">
        <v>67</v>
      </c>
      <c r="G9">
        <v>70</v>
      </c>
      <c r="I9">
        <f t="shared" si="0"/>
        <v>1.1326530612244896</v>
      </c>
      <c r="J9">
        <f t="shared" si="1"/>
        <v>6.6270926284912743</v>
      </c>
      <c r="K9">
        <f t="shared" si="2"/>
        <v>-0.27161231944479225</v>
      </c>
      <c r="L9">
        <f t="shared" si="3"/>
        <v>0.17091251393634885</v>
      </c>
      <c r="M9">
        <f t="shared" si="4"/>
        <v>0.99443413729128016</v>
      </c>
      <c r="N9">
        <f t="shared" si="5"/>
        <v>0.27010056256476556</v>
      </c>
      <c r="O9">
        <f t="shared" si="6"/>
        <v>0.16996123834857696</v>
      </c>
    </row>
    <row r="10" spans="1:15" x14ac:dyDescent="0.25">
      <c r="A10" t="s">
        <v>15</v>
      </c>
      <c r="B10">
        <v>2016</v>
      </c>
      <c r="C10">
        <v>-1</v>
      </c>
      <c r="D10">
        <v>-9.51</v>
      </c>
      <c r="E10">
        <v>7.51</v>
      </c>
      <c r="F10">
        <v>32</v>
      </c>
      <c r="G10">
        <v>31</v>
      </c>
      <c r="I10">
        <f t="shared" si="0"/>
        <v>4.3418367346938771</v>
      </c>
      <c r="J10">
        <f t="shared" si="1"/>
        <v>17.228959498790772</v>
      </c>
      <c r="K10">
        <f t="shared" si="2"/>
        <v>-5.8041810364124764E-2</v>
      </c>
      <c r="L10">
        <f t="shared" si="3"/>
        <v>0.25200806438709267</v>
      </c>
      <c r="M10">
        <f t="shared" si="4"/>
        <v>0.98765432098765427</v>
      </c>
      <c r="N10">
        <f t="shared" si="5"/>
        <v>5.732524480407384E-2</v>
      </c>
      <c r="O10">
        <f t="shared" si="6"/>
        <v>0.24889685371564707</v>
      </c>
    </row>
    <row r="11" spans="1:15" x14ac:dyDescent="0.25">
      <c r="A11" t="s">
        <v>16</v>
      </c>
      <c r="B11">
        <v>2016</v>
      </c>
      <c r="C11">
        <v>-1.2</v>
      </c>
      <c r="D11">
        <v>-14</v>
      </c>
      <c r="E11">
        <v>11.6</v>
      </c>
      <c r="F11">
        <v>12</v>
      </c>
      <c r="G11">
        <v>13</v>
      </c>
      <c r="I11">
        <f t="shared" si="0"/>
        <v>6.5306122448979593</v>
      </c>
      <c r="J11">
        <f t="shared" si="1"/>
        <v>16.31346415908153</v>
      </c>
      <c r="K11">
        <f t="shared" si="2"/>
        <v>-7.3558870654211905E-2</v>
      </c>
      <c r="L11">
        <f t="shared" si="3"/>
        <v>0.40032038451271784</v>
      </c>
      <c r="M11">
        <f t="shared" si="4"/>
        <v>0.96703296703296704</v>
      </c>
      <c r="N11">
        <f t="shared" si="5"/>
        <v>7.1133852940336792E-2</v>
      </c>
      <c r="O11">
        <f t="shared" si="6"/>
        <v>0.38712300919911175</v>
      </c>
    </row>
    <row r="12" spans="1:15" x14ac:dyDescent="0.25">
      <c r="A12" t="s">
        <v>17</v>
      </c>
      <c r="B12">
        <v>2019</v>
      </c>
      <c r="C12">
        <v>-1.9</v>
      </c>
      <c r="D12">
        <v>-3.56</v>
      </c>
      <c r="E12">
        <v>-0.24</v>
      </c>
      <c r="F12">
        <v>9</v>
      </c>
      <c r="G12">
        <v>9</v>
      </c>
      <c r="I12">
        <f t="shared" si="0"/>
        <v>0.84693877551020413</v>
      </c>
      <c r="J12">
        <f t="shared" si="1"/>
        <v>1.7966284542392892</v>
      </c>
      <c r="K12">
        <f t="shared" si="2"/>
        <v>-1.0575364068830131</v>
      </c>
      <c r="L12">
        <f t="shared" si="3"/>
        <v>0.47140452079103168</v>
      </c>
      <c r="M12">
        <f t="shared" si="4"/>
        <v>0.95238095238095233</v>
      </c>
      <c r="N12">
        <f t="shared" si="5"/>
        <v>1.0071775303647743</v>
      </c>
      <c r="O12">
        <f t="shared" si="6"/>
        <v>0.44895668646764919</v>
      </c>
    </row>
    <row r="13" spans="1:15" x14ac:dyDescent="0.25">
      <c r="A13" t="s">
        <v>18</v>
      </c>
      <c r="B13">
        <v>2019</v>
      </c>
      <c r="C13">
        <v>-1.9</v>
      </c>
      <c r="D13">
        <v>-4.13</v>
      </c>
      <c r="E13">
        <v>0.33</v>
      </c>
      <c r="F13">
        <v>9</v>
      </c>
      <c r="G13">
        <v>8</v>
      </c>
      <c r="I13">
        <f t="shared" si="0"/>
        <v>1.1377551020408163</v>
      </c>
      <c r="J13">
        <f t="shared" si="1"/>
        <v>2.3414806828640491</v>
      </c>
      <c r="K13">
        <f t="shared" si="2"/>
        <v>-0.81145234889401718</v>
      </c>
      <c r="L13">
        <f t="shared" si="3"/>
        <v>0.48591265790377508</v>
      </c>
      <c r="M13">
        <f t="shared" si="4"/>
        <v>0.94915254237288138</v>
      </c>
      <c r="N13">
        <f t="shared" si="5"/>
        <v>0.77019205996720275</v>
      </c>
      <c r="O13">
        <f t="shared" si="6"/>
        <v>0.46120523462053231</v>
      </c>
    </row>
    <row r="14" spans="1:15" x14ac:dyDescent="0.25">
      <c r="A14" t="s">
        <v>19</v>
      </c>
      <c r="B14">
        <v>2020</v>
      </c>
      <c r="C14">
        <v>-2.1</v>
      </c>
      <c r="D14">
        <v>-24.62</v>
      </c>
      <c r="E14">
        <v>20.420000000000002</v>
      </c>
      <c r="F14">
        <v>9</v>
      </c>
      <c r="G14">
        <v>11</v>
      </c>
      <c r="I14">
        <f t="shared" si="0"/>
        <v>11.489795918367349</v>
      </c>
      <c r="J14">
        <f t="shared" si="1"/>
        <v>25.563182132050159</v>
      </c>
      <c r="K14">
        <f t="shared" si="2"/>
        <v>-8.2149397095876375E-2</v>
      </c>
      <c r="L14">
        <f t="shared" si="3"/>
        <v>0.44946657497549469</v>
      </c>
      <c r="M14">
        <f t="shared" si="4"/>
        <v>0.95774647887323949</v>
      </c>
      <c r="N14">
        <f t="shared" si="5"/>
        <v>7.8678295810135121E-2</v>
      </c>
      <c r="O14">
        <f t="shared" si="6"/>
        <v>0.43047502955399491</v>
      </c>
    </row>
    <row r="15" spans="1:15" x14ac:dyDescent="0.25">
      <c r="A15" t="s">
        <v>20</v>
      </c>
      <c r="B15">
        <v>2018</v>
      </c>
      <c r="C15">
        <v>0.2</v>
      </c>
      <c r="D15">
        <v>-10.72</v>
      </c>
      <c r="E15">
        <v>11.12</v>
      </c>
      <c r="F15">
        <v>12</v>
      </c>
      <c r="G15">
        <v>11</v>
      </c>
      <c r="I15">
        <f t="shared" si="0"/>
        <v>5.5714285714285712</v>
      </c>
      <c r="J15">
        <f t="shared" si="1"/>
        <v>13.347182987435541</v>
      </c>
      <c r="K15">
        <f t="shared" si="2"/>
        <v>1.4984435306556547E-2</v>
      </c>
      <c r="L15">
        <f t="shared" si="3"/>
        <v>0.41742355496836092</v>
      </c>
      <c r="M15">
        <f t="shared" si="4"/>
        <v>0.96385542168674698</v>
      </c>
      <c r="N15">
        <f t="shared" si="5"/>
        <v>-1.444282921113884E-2</v>
      </c>
      <c r="O15">
        <f t="shared" si="6"/>
        <v>0.40233595659601051</v>
      </c>
    </row>
    <row r="16" spans="1:15" x14ac:dyDescent="0.25">
      <c r="A16" t="s">
        <v>21</v>
      </c>
      <c r="B16">
        <v>2018</v>
      </c>
      <c r="C16">
        <v>-0.5</v>
      </c>
      <c r="D16">
        <v>-13.51</v>
      </c>
      <c r="E16">
        <v>12.51</v>
      </c>
      <c r="F16">
        <v>18</v>
      </c>
      <c r="G16">
        <v>19</v>
      </c>
      <c r="I16">
        <f t="shared" si="0"/>
        <v>6.6377551020408161</v>
      </c>
      <c r="J16">
        <f t="shared" si="1"/>
        <v>20.180569418329615</v>
      </c>
      <c r="K16">
        <f t="shared" si="2"/>
        <v>-2.4776307825380775E-2</v>
      </c>
      <c r="L16">
        <f t="shared" si="3"/>
        <v>0.32891812735531006</v>
      </c>
      <c r="M16">
        <f t="shared" si="4"/>
        <v>0.97841726618705038</v>
      </c>
      <c r="N16">
        <f t="shared" si="5"/>
        <v>2.4241567368717881E-2</v>
      </c>
      <c r="O16">
        <f t="shared" si="6"/>
        <v>0.32181917496634654</v>
      </c>
    </row>
    <row r="17" spans="1:15" x14ac:dyDescent="0.25">
      <c r="A17" t="s">
        <v>22</v>
      </c>
      <c r="B17">
        <v>2018</v>
      </c>
      <c r="C17">
        <v>-2.1</v>
      </c>
      <c r="D17">
        <v>-12.13</v>
      </c>
      <c r="E17">
        <v>7.93</v>
      </c>
      <c r="F17">
        <v>14</v>
      </c>
      <c r="G17">
        <v>14</v>
      </c>
      <c r="I17">
        <f t="shared" si="0"/>
        <v>5.1173469387755111</v>
      </c>
      <c r="J17">
        <f t="shared" si="1"/>
        <v>13.539227372437679</v>
      </c>
      <c r="K17">
        <f t="shared" si="2"/>
        <v>-0.15510486250308861</v>
      </c>
      <c r="L17">
        <f t="shared" si="3"/>
        <v>0.3779644730092272</v>
      </c>
      <c r="M17">
        <f t="shared" si="4"/>
        <v>0.970873786407767</v>
      </c>
      <c r="N17">
        <f t="shared" si="5"/>
        <v>0.15058724514862973</v>
      </c>
      <c r="O17">
        <f t="shared" si="6"/>
        <v>0.36695579903808467</v>
      </c>
    </row>
    <row r="18" spans="1:15" x14ac:dyDescent="0.25">
      <c r="A18" t="s">
        <v>23</v>
      </c>
      <c r="B18">
        <v>2020</v>
      </c>
      <c r="C18">
        <v>-0.06</v>
      </c>
      <c r="D18">
        <v>-6.43</v>
      </c>
      <c r="E18">
        <v>6.31</v>
      </c>
      <c r="F18">
        <v>27</v>
      </c>
      <c r="G18">
        <v>31</v>
      </c>
      <c r="I18">
        <f t="shared" si="0"/>
        <v>3.2499999999999996</v>
      </c>
      <c r="J18">
        <f t="shared" si="1"/>
        <v>12.346165466416602</v>
      </c>
      <c r="K18">
        <f t="shared" si="2"/>
        <v>-4.8598085100356771E-3</v>
      </c>
      <c r="L18">
        <f t="shared" si="3"/>
        <v>0.26323962762693248</v>
      </c>
      <c r="M18">
        <f t="shared" si="4"/>
        <v>0.98654708520179368</v>
      </c>
      <c r="N18">
        <f t="shared" si="5"/>
        <v>4.7944299202145688E-3</v>
      </c>
      <c r="O18">
        <f t="shared" si="6"/>
        <v>0.25969828734495581</v>
      </c>
    </row>
    <row r="19" spans="1:15" x14ac:dyDescent="0.25">
      <c r="A19" t="s">
        <v>24</v>
      </c>
      <c r="B19">
        <v>2020</v>
      </c>
      <c r="C19">
        <v>-1.91</v>
      </c>
      <c r="D19">
        <v>-9.6199999999999992</v>
      </c>
      <c r="E19">
        <v>5.8</v>
      </c>
      <c r="F19">
        <v>20</v>
      </c>
      <c r="G19">
        <v>25</v>
      </c>
      <c r="I19">
        <f t="shared" si="0"/>
        <v>3.9336734693877546</v>
      </c>
      <c r="J19">
        <f t="shared" si="1"/>
        <v>13.112244897959183</v>
      </c>
      <c r="K19">
        <f t="shared" si="2"/>
        <v>-0.14566536964980545</v>
      </c>
      <c r="L19">
        <f t="shared" si="3"/>
        <v>0.3</v>
      </c>
      <c r="M19">
        <f t="shared" si="4"/>
        <v>0.98245614035087714</v>
      </c>
      <c r="N19">
        <f t="shared" si="5"/>
        <v>0.14310983684893167</v>
      </c>
      <c r="O19">
        <f t="shared" si="6"/>
        <v>0.29473684210526313</v>
      </c>
    </row>
    <row r="20" spans="1:15" x14ac:dyDescent="0.25">
      <c r="A20" t="s">
        <v>25</v>
      </c>
      <c r="B20">
        <v>2019</v>
      </c>
      <c r="C20">
        <v>-8</v>
      </c>
      <c r="D20">
        <v>-25.91</v>
      </c>
      <c r="E20">
        <v>9.91</v>
      </c>
      <c r="F20">
        <v>17</v>
      </c>
      <c r="G20">
        <v>11</v>
      </c>
      <c r="I20">
        <f t="shared" si="0"/>
        <v>9.137755102040817</v>
      </c>
      <c r="J20">
        <f t="shared" si="1"/>
        <v>23.614638523753538</v>
      </c>
      <c r="K20">
        <f t="shared" si="2"/>
        <v>-0.33877291799122583</v>
      </c>
      <c r="L20">
        <f t="shared" si="3"/>
        <v>0.38695299497594743</v>
      </c>
      <c r="M20">
        <f t="shared" si="4"/>
        <v>0.970873786407767</v>
      </c>
      <c r="N20">
        <f t="shared" si="5"/>
        <v>0.32890574562254937</v>
      </c>
      <c r="O20">
        <f t="shared" si="6"/>
        <v>0.37568251939412373</v>
      </c>
    </row>
    <row r="21" spans="1:15" x14ac:dyDescent="0.25">
      <c r="A21" t="s">
        <v>26</v>
      </c>
      <c r="B21">
        <v>2019</v>
      </c>
      <c r="C21">
        <v>-3</v>
      </c>
      <c r="D21">
        <v>-20.9</v>
      </c>
      <c r="E21">
        <v>14.9</v>
      </c>
      <c r="F21">
        <v>15</v>
      </c>
      <c r="G21">
        <v>11</v>
      </c>
      <c r="I21">
        <f t="shared" si="0"/>
        <v>9.1326530612244898</v>
      </c>
      <c r="J21">
        <f t="shared" si="1"/>
        <v>23.006590251118475</v>
      </c>
      <c r="K21">
        <f t="shared" si="2"/>
        <v>-0.13039741948958097</v>
      </c>
      <c r="L21">
        <f t="shared" si="3"/>
        <v>0.39695813075909858</v>
      </c>
      <c r="M21">
        <f t="shared" si="4"/>
        <v>0.96842105263157896</v>
      </c>
      <c r="N21">
        <f t="shared" si="5"/>
        <v>0.12627960624254159</v>
      </c>
      <c r="O21">
        <f t="shared" si="6"/>
        <v>0.3844226108403902</v>
      </c>
    </row>
    <row r="22" spans="1:15" x14ac:dyDescent="0.25">
      <c r="A22" t="s">
        <v>27</v>
      </c>
      <c r="B22">
        <v>2018</v>
      </c>
      <c r="C22">
        <v>-0.4</v>
      </c>
      <c r="D22">
        <v>-5.04</v>
      </c>
      <c r="E22">
        <v>4.24</v>
      </c>
      <c r="F22">
        <v>10</v>
      </c>
      <c r="G22">
        <v>10</v>
      </c>
      <c r="I22">
        <f t="shared" si="0"/>
        <v>2.3673469387755106</v>
      </c>
      <c r="J22">
        <f t="shared" si="1"/>
        <v>5.2935486814280743</v>
      </c>
      <c r="K22">
        <f t="shared" si="2"/>
        <v>-7.5563676481027367E-2</v>
      </c>
      <c r="L22">
        <f t="shared" si="3"/>
        <v>0.44721359549995793</v>
      </c>
      <c r="M22">
        <f t="shared" si="4"/>
        <v>0.95774647887323949</v>
      </c>
      <c r="N22">
        <f t="shared" si="5"/>
        <v>7.2370845080420576E-2</v>
      </c>
      <c r="O22">
        <f t="shared" si="6"/>
        <v>0.42831724639432595</v>
      </c>
    </row>
    <row r="23" spans="1:15" x14ac:dyDescent="0.25">
      <c r="A23" t="s">
        <v>28</v>
      </c>
      <c r="B23">
        <v>2018</v>
      </c>
      <c r="C23">
        <v>-0.55000000000000004</v>
      </c>
      <c r="D23">
        <v>-6.05</v>
      </c>
      <c r="E23">
        <v>4.95</v>
      </c>
      <c r="F23">
        <v>10</v>
      </c>
      <c r="G23">
        <v>10</v>
      </c>
      <c r="I23">
        <f t="shared" si="0"/>
        <v>2.806122448979592</v>
      </c>
      <c r="J23">
        <f t="shared" si="1"/>
        <v>6.2746805491065532</v>
      </c>
      <c r="K23">
        <f t="shared" si="2"/>
        <v>-8.7653864717991761E-2</v>
      </c>
      <c r="L23">
        <f t="shared" si="3"/>
        <v>0.44721359549995793</v>
      </c>
      <c r="M23">
        <f t="shared" si="4"/>
        <v>0.95774647887323949</v>
      </c>
      <c r="N23">
        <f t="shared" si="5"/>
        <v>8.3950180293287893E-2</v>
      </c>
      <c r="O23">
        <f t="shared" si="6"/>
        <v>0.42831724639432595</v>
      </c>
    </row>
    <row r="24" spans="1:15" x14ac:dyDescent="0.25">
      <c r="A24" t="s">
        <v>29</v>
      </c>
      <c r="B24">
        <v>2011</v>
      </c>
      <c r="C24">
        <v>-1.2</v>
      </c>
      <c r="D24">
        <v>-8.23</v>
      </c>
      <c r="E24">
        <v>5.83</v>
      </c>
      <c r="F24">
        <v>54</v>
      </c>
      <c r="G24">
        <v>53</v>
      </c>
      <c r="I24">
        <f t="shared" si="0"/>
        <v>3.5867346938775513</v>
      </c>
      <c r="J24">
        <f t="shared" si="1"/>
        <v>18.549925918013678</v>
      </c>
      <c r="K24">
        <f t="shared" si="2"/>
        <v>-6.4690285303764472E-2</v>
      </c>
      <c r="L24">
        <f t="shared" si="3"/>
        <v>0.19335574221320762</v>
      </c>
      <c r="M24">
        <f t="shared" si="4"/>
        <v>0.99284009546539376</v>
      </c>
      <c r="N24">
        <f t="shared" si="5"/>
        <v>6.4227109036673072E-2</v>
      </c>
      <c r="O24">
        <f t="shared" si="6"/>
        <v>0.19197133355774312</v>
      </c>
    </row>
    <row r="25" spans="1:15" x14ac:dyDescent="0.25">
      <c r="A25" t="s">
        <v>30</v>
      </c>
      <c r="B25">
        <v>2013</v>
      </c>
      <c r="C25">
        <v>-1.1000000000000001</v>
      </c>
      <c r="D25">
        <v>-9.23</v>
      </c>
      <c r="E25">
        <v>7.03</v>
      </c>
      <c r="F25">
        <v>40</v>
      </c>
      <c r="G25">
        <v>37</v>
      </c>
      <c r="I25">
        <f t="shared" si="0"/>
        <v>4.1479591836734695</v>
      </c>
      <c r="J25">
        <f t="shared" si="1"/>
        <v>18.185279038792412</v>
      </c>
      <c r="K25">
        <f t="shared" si="2"/>
        <v>-6.0488486190038979E-2</v>
      </c>
      <c r="L25">
        <f t="shared" si="3"/>
        <v>0.22809433799861634</v>
      </c>
      <c r="M25">
        <f t="shared" si="4"/>
        <v>0.98996655518394649</v>
      </c>
      <c r="N25">
        <f t="shared" si="5"/>
        <v>5.988157830184461E-2</v>
      </c>
      <c r="O25">
        <f t="shared" si="6"/>
        <v>0.22580576604545297</v>
      </c>
    </row>
    <row r="26" spans="1:15" x14ac:dyDescent="0.25">
      <c r="A26" t="s">
        <v>31</v>
      </c>
      <c r="B26">
        <v>2013</v>
      </c>
      <c r="C26">
        <v>-1.3</v>
      </c>
      <c r="D26">
        <v>-8.93</v>
      </c>
      <c r="E26">
        <v>6.33</v>
      </c>
      <c r="F26">
        <v>40</v>
      </c>
      <c r="G26">
        <v>38</v>
      </c>
      <c r="I26">
        <f t="shared" si="0"/>
        <v>3.8928571428571428</v>
      </c>
      <c r="J26">
        <f t="shared" si="1"/>
        <v>17.184739740773995</v>
      </c>
      <c r="K26">
        <f t="shared" si="2"/>
        <v>-7.5648512553001188E-2</v>
      </c>
      <c r="L26">
        <f t="shared" si="3"/>
        <v>0.22652988649112993</v>
      </c>
      <c r="M26">
        <f t="shared" si="4"/>
        <v>0.99009900990099009</v>
      </c>
      <c r="N26">
        <f t="shared" si="5"/>
        <v>7.4899517379209093E-2</v>
      </c>
      <c r="O26">
        <f t="shared" si="6"/>
        <v>0.22428701632785142</v>
      </c>
    </row>
    <row r="27" spans="1:15" x14ac:dyDescent="0.25">
      <c r="A27" t="s">
        <v>32</v>
      </c>
      <c r="B27">
        <v>2019</v>
      </c>
      <c r="C27">
        <v>-0.9</v>
      </c>
      <c r="D27">
        <v>-8.7200000000000006</v>
      </c>
      <c r="E27">
        <v>6.92</v>
      </c>
      <c r="F27">
        <v>12</v>
      </c>
      <c r="G27">
        <v>10</v>
      </c>
      <c r="I27">
        <f t="shared" si="0"/>
        <v>3.989795918367347</v>
      </c>
      <c r="J27">
        <f t="shared" si="1"/>
        <v>9.3181557296068007</v>
      </c>
      <c r="K27">
        <f t="shared" si="2"/>
        <v>-9.6585636269246752E-2</v>
      </c>
      <c r="L27">
        <f t="shared" si="3"/>
        <v>0.42817441928883765</v>
      </c>
      <c r="M27">
        <f t="shared" si="4"/>
        <v>0.96202531645569622</v>
      </c>
      <c r="N27">
        <f t="shared" si="5"/>
        <v>9.291782729699688E-2</v>
      </c>
      <c r="O27">
        <f t="shared" si="6"/>
        <v>0.411914631214578</v>
      </c>
    </row>
    <row r="28" spans="1:15" x14ac:dyDescent="0.25">
      <c r="A28" t="s">
        <v>33</v>
      </c>
      <c r="B28">
        <v>2018</v>
      </c>
      <c r="C28">
        <v>-1.5</v>
      </c>
      <c r="D28">
        <v>-2.75</v>
      </c>
      <c r="E28">
        <v>-0.25</v>
      </c>
      <c r="F28">
        <v>26</v>
      </c>
      <c r="G28">
        <v>25</v>
      </c>
      <c r="I28">
        <f t="shared" si="0"/>
        <v>0.63775510204081631</v>
      </c>
      <c r="J28">
        <f t="shared" si="1"/>
        <v>2.2768034033654865</v>
      </c>
      <c r="K28">
        <f t="shared" si="2"/>
        <v>-0.65881841083984483</v>
      </c>
      <c r="L28">
        <f t="shared" si="3"/>
        <v>0.28010986855435577</v>
      </c>
      <c r="M28">
        <f t="shared" si="4"/>
        <v>0.98461538461538467</v>
      </c>
      <c r="N28">
        <f t="shared" si="5"/>
        <v>0.64868274298077033</v>
      </c>
      <c r="O28">
        <f t="shared" si="6"/>
        <v>0.27580048596121187</v>
      </c>
    </row>
    <row r="29" spans="1:15" x14ac:dyDescent="0.25">
      <c r="A29" t="s">
        <v>34</v>
      </c>
      <c r="B29">
        <v>2018</v>
      </c>
      <c r="C29">
        <v>-3.1</v>
      </c>
      <c r="D29">
        <v>-4.3499999999999996</v>
      </c>
      <c r="E29">
        <v>-1.85</v>
      </c>
      <c r="F29">
        <v>12</v>
      </c>
      <c r="G29">
        <v>25</v>
      </c>
      <c r="I29">
        <f t="shared" si="0"/>
        <v>0.6377551020408162</v>
      </c>
      <c r="J29">
        <f t="shared" si="1"/>
        <v>1.8159910633019749</v>
      </c>
      <c r="K29">
        <f t="shared" si="2"/>
        <v>-1.7070568587288866</v>
      </c>
      <c r="L29">
        <f t="shared" si="3"/>
        <v>0.35118845842842461</v>
      </c>
      <c r="M29">
        <f t="shared" si="4"/>
        <v>0.97841726618705038</v>
      </c>
      <c r="N29">
        <f t="shared" si="5"/>
        <v>1.6702139049433711</v>
      </c>
      <c r="O29">
        <f t="shared" si="6"/>
        <v>0.34360885141198377</v>
      </c>
    </row>
    <row r="30" spans="1:15" x14ac:dyDescent="0.25">
      <c r="A30" t="s">
        <v>35</v>
      </c>
      <c r="B30">
        <v>2014</v>
      </c>
      <c r="C30">
        <v>2.1</v>
      </c>
      <c r="D30">
        <v>-1.06</v>
      </c>
      <c r="E30">
        <v>5.26</v>
      </c>
      <c r="F30">
        <v>17</v>
      </c>
      <c r="G30">
        <v>19</v>
      </c>
      <c r="I30">
        <f t="shared" si="0"/>
        <v>1.6122448979591837</v>
      </c>
      <c r="J30">
        <f t="shared" si="1"/>
        <v>4.8292648288887854</v>
      </c>
      <c r="K30">
        <f t="shared" si="2"/>
        <v>0.43484879674391569</v>
      </c>
      <c r="L30">
        <f t="shared" si="3"/>
        <v>0.3338489304447943</v>
      </c>
      <c r="M30">
        <f t="shared" si="4"/>
        <v>0.97777777777777775</v>
      </c>
      <c r="N30">
        <f t="shared" si="5"/>
        <v>-0.42518549014960644</v>
      </c>
      <c r="O30">
        <f t="shared" si="6"/>
        <v>0.32643006532379887</v>
      </c>
    </row>
    <row r="31" spans="1:15" x14ac:dyDescent="0.25">
      <c r="A31" t="s">
        <v>36</v>
      </c>
      <c r="B31">
        <v>2017</v>
      </c>
      <c r="C31">
        <v>-1.5</v>
      </c>
      <c r="D31">
        <v>-4.72</v>
      </c>
      <c r="E31">
        <v>1.72</v>
      </c>
      <c r="F31">
        <v>23</v>
      </c>
      <c r="G31">
        <v>23</v>
      </c>
      <c r="I31">
        <f t="shared" si="0"/>
        <v>1.6428571428571428</v>
      </c>
      <c r="J31">
        <f t="shared" si="1"/>
        <v>5.5711996289957559</v>
      </c>
      <c r="K31">
        <f t="shared" si="2"/>
        <v>-0.26924183297850779</v>
      </c>
      <c r="L31">
        <f t="shared" si="3"/>
        <v>0.29488391230979427</v>
      </c>
      <c r="M31">
        <f t="shared" si="4"/>
        <v>0.98285714285714287</v>
      </c>
      <c r="N31">
        <f t="shared" si="5"/>
        <v>0.26462625869887624</v>
      </c>
      <c r="O31">
        <f t="shared" si="6"/>
        <v>0.28982875952734066</v>
      </c>
    </row>
    <row r="32" spans="1:15" x14ac:dyDescent="0.25">
      <c r="A32" t="s">
        <v>37</v>
      </c>
      <c r="B32">
        <v>2020</v>
      </c>
      <c r="C32">
        <v>-1.1299999999999999</v>
      </c>
      <c r="D32">
        <v>-2.34</v>
      </c>
      <c r="E32">
        <v>0.08</v>
      </c>
      <c r="F32">
        <v>57</v>
      </c>
      <c r="G32">
        <v>59</v>
      </c>
      <c r="I32">
        <f t="shared" si="0"/>
        <v>0.61734693877551017</v>
      </c>
      <c r="J32">
        <f t="shared" si="1"/>
        <v>3.3240208405148071</v>
      </c>
      <c r="K32">
        <f t="shared" si="2"/>
        <v>-0.33994973383650368</v>
      </c>
      <c r="L32">
        <f t="shared" si="3"/>
        <v>0.18572294470930534</v>
      </c>
      <c r="M32">
        <f t="shared" si="4"/>
        <v>0.99340659340659343</v>
      </c>
      <c r="N32">
        <f t="shared" si="5"/>
        <v>0.33770830701999927</v>
      </c>
      <c r="O32">
        <f t="shared" si="6"/>
        <v>0.18449839782111213</v>
      </c>
    </row>
    <row r="33" spans="1:15" x14ac:dyDescent="0.25">
      <c r="A33" t="s">
        <v>38</v>
      </c>
      <c r="B33">
        <v>2019</v>
      </c>
      <c r="C33">
        <v>-2.6</v>
      </c>
      <c r="D33">
        <v>-4.4000000000000004</v>
      </c>
      <c r="E33">
        <v>-0.8</v>
      </c>
      <c r="F33">
        <v>30</v>
      </c>
      <c r="G33">
        <v>30</v>
      </c>
      <c r="I33">
        <f t="shared" si="0"/>
        <v>0.91836734693877564</v>
      </c>
      <c r="J33">
        <f t="shared" si="1"/>
        <v>3.5568214403945673</v>
      </c>
      <c r="K33">
        <f t="shared" si="2"/>
        <v>-0.73098974563974051</v>
      </c>
      <c r="L33">
        <f t="shared" si="3"/>
        <v>0.2581988897471611</v>
      </c>
      <c r="M33">
        <f t="shared" si="4"/>
        <v>0.98701298701298701</v>
      </c>
      <c r="N33">
        <f t="shared" si="5"/>
        <v>0.72149637231974384</v>
      </c>
      <c r="O33">
        <f t="shared" si="6"/>
        <v>0.25484565741278237</v>
      </c>
    </row>
    <row r="34" spans="1:15" x14ac:dyDescent="0.25">
      <c r="A34" t="s">
        <v>39</v>
      </c>
      <c r="B34">
        <v>2019</v>
      </c>
      <c r="C34">
        <v>-2.4</v>
      </c>
      <c r="D34">
        <v>-3.71</v>
      </c>
      <c r="E34">
        <v>-1.0900000000000001</v>
      </c>
      <c r="F34">
        <v>34</v>
      </c>
      <c r="G34">
        <v>35</v>
      </c>
      <c r="I34">
        <f t="shared" si="0"/>
        <v>0.66836734693877553</v>
      </c>
      <c r="J34">
        <f t="shared" si="1"/>
        <v>2.7756465324401196</v>
      </c>
      <c r="K34">
        <f t="shared" si="2"/>
        <v>-0.86466341155122439</v>
      </c>
      <c r="L34">
        <f t="shared" si="3"/>
        <v>0.24079699598896767</v>
      </c>
      <c r="M34">
        <f t="shared" si="4"/>
        <v>0.9887640449438202</v>
      </c>
      <c r="N34">
        <f t="shared" si="5"/>
        <v>0.85494809232031177</v>
      </c>
      <c r="O34">
        <f t="shared" si="6"/>
        <v>0.23809141176437251</v>
      </c>
    </row>
    <row r="35" spans="1:15" x14ac:dyDescent="0.25">
      <c r="A35" t="s">
        <v>40</v>
      </c>
      <c r="B35">
        <v>2020</v>
      </c>
      <c r="C35">
        <v>1.2</v>
      </c>
      <c r="D35">
        <v>-9.43</v>
      </c>
      <c r="E35">
        <v>11.83</v>
      </c>
      <c r="F35">
        <v>22</v>
      </c>
      <c r="G35">
        <v>21</v>
      </c>
      <c r="I35">
        <f t="shared" si="0"/>
        <v>5.4234693877551017</v>
      </c>
      <c r="J35">
        <f t="shared" si="1"/>
        <v>17.777224344755179</v>
      </c>
      <c r="K35">
        <f t="shared" si="2"/>
        <v>6.7502101381424956E-2</v>
      </c>
      <c r="L35">
        <f t="shared" si="3"/>
        <v>0.30507965037608303</v>
      </c>
      <c r="M35">
        <f t="shared" si="4"/>
        <v>0.98159509202453987</v>
      </c>
      <c r="N35">
        <f t="shared" si="5"/>
        <v>-6.6259731417349643E-2</v>
      </c>
      <c r="O35">
        <f t="shared" si="6"/>
        <v>0.29946468748572569</v>
      </c>
    </row>
    <row r="36" spans="1:15" x14ac:dyDescent="0.25">
      <c r="A36" t="s">
        <v>41</v>
      </c>
      <c r="B36">
        <v>2019</v>
      </c>
      <c r="C36">
        <v>-3.8</v>
      </c>
      <c r="D36">
        <v>-9.73</v>
      </c>
      <c r="E36">
        <v>2.13</v>
      </c>
      <c r="F36">
        <v>30</v>
      </c>
      <c r="G36">
        <v>30</v>
      </c>
      <c r="I36">
        <f t="shared" si="0"/>
        <v>3.0255102040816326</v>
      </c>
      <c r="J36">
        <f t="shared" si="1"/>
        <v>11.717750634188768</v>
      </c>
      <c r="K36">
        <f t="shared" si="2"/>
        <v>-0.3242943222321848</v>
      </c>
      <c r="L36">
        <f t="shared" si="3"/>
        <v>0.2581988897471611</v>
      </c>
      <c r="M36">
        <f t="shared" si="4"/>
        <v>0.98701298701298701</v>
      </c>
      <c r="N36">
        <f t="shared" si="5"/>
        <v>0.32008270765774083</v>
      </c>
      <c r="O36">
        <f t="shared" si="6"/>
        <v>0.25484565741278237</v>
      </c>
    </row>
    <row r="37" spans="1:15" x14ac:dyDescent="0.25">
      <c r="A37" t="s">
        <v>42</v>
      </c>
      <c r="B37">
        <v>2007</v>
      </c>
      <c r="C37">
        <v>-1.4</v>
      </c>
      <c r="D37">
        <v>-10.98</v>
      </c>
      <c r="E37">
        <v>8.18</v>
      </c>
      <c r="H37">
        <v>15</v>
      </c>
      <c r="I37">
        <f t="shared" si="0"/>
        <v>4.8877551020408161</v>
      </c>
      <c r="J37">
        <f>I37*SQRT(H37)</f>
        <v>18.930194110544416</v>
      </c>
      <c r="K37">
        <f>C37/J37</f>
        <v>-7.3955924161399789E-2</v>
      </c>
      <c r="L37">
        <f>I37/J37</f>
        <v>0.2581988897471611</v>
      </c>
      <c r="M37">
        <f>1-3/(4*(H37-1)-1)</f>
        <v>0.94545454545454544</v>
      </c>
      <c r="N37">
        <f t="shared" si="5"/>
        <v>6.9921964661687069E-2</v>
      </c>
      <c r="O37">
        <f t="shared" si="6"/>
        <v>0.2441153139427705</v>
      </c>
    </row>
    <row r="38" spans="1:15" x14ac:dyDescent="0.25">
      <c r="A38" t="s">
        <v>43</v>
      </c>
      <c r="B38">
        <v>2020</v>
      </c>
      <c r="C38">
        <v>0.2</v>
      </c>
      <c r="D38">
        <v>-9.77</v>
      </c>
      <c r="E38">
        <v>10.17</v>
      </c>
      <c r="F38">
        <v>13</v>
      </c>
      <c r="G38">
        <v>13</v>
      </c>
      <c r="I38">
        <f t="shared" si="0"/>
        <v>5.0867346938775508</v>
      </c>
      <c r="J38">
        <f t="shared" si="1"/>
        <v>12.968679732275525</v>
      </c>
      <c r="K38">
        <f t="shared" si="2"/>
        <v>1.5421770305750883E-2</v>
      </c>
      <c r="L38">
        <f t="shared" si="3"/>
        <v>0.39223227027636809</v>
      </c>
      <c r="M38">
        <f t="shared" si="4"/>
        <v>0.96842105263157896</v>
      </c>
      <c r="N38">
        <f t="shared" si="5"/>
        <v>-1.4934767032937698E-2</v>
      </c>
      <c r="O38">
        <f t="shared" si="6"/>
        <v>0.37984598805711439</v>
      </c>
    </row>
    <row r="39" spans="1:15" x14ac:dyDescent="0.25">
      <c r="A39" t="s">
        <v>44</v>
      </c>
      <c r="B39">
        <v>2018</v>
      </c>
      <c r="C39">
        <v>0.3</v>
      </c>
      <c r="D39">
        <v>-1.63</v>
      </c>
      <c r="E39">
        <v>2.23</v>
      </c>
      <c r="F39">
        <v>58</v>
      </c>
      <c r="G39">
        <v>54</v>
      </c>
      <c r="I39">
        <f t="shared" si="0"/>
        <v>0.98469387755102045</v>
      </c>
      <c r="J39">
        <f t="shared" si="1"/>
        <v>5.2071861452532993</v>
      </c>
      <c r="K39">
        <f t="shared" si="2"/>
        <v>5.7612689777466509E-2</v>
      </c>
      <c r="L39">
        <f t="shared" si="3"/>
        <v>0.1891028763103918</v>
      </c>
      <c r="M39">
        <f t="shared" si="4"/>
        <v>0.99316628701594534</v>
      </c>
      <c r="N39">
        <f t="shared" si="5"/>
        <v>-5.7218981191287925E-2</v>
      </c>
      <c r="O39">
        <f t="shared" si="6"/>
        <v>0.18781060152922738</v>
      </c>
    </row>
    <row r="40" spans="1:15" x14ac:dyDescent="0.25">
      <c r="A40" t="s">
        <v>45</v>
      </c>
      <c r="B40">
        <v>2011</v>
      </c>
      <c r="C40">
        <v>-3.1</v>
      </c>
      <c r="D40">
        <v>-8.83</v>
      </c>
      <c r="E40">
        <v>2.63</v>
      </c>
      <c r="F40">
        <v>12</v>
      </c>
      <c r="G40">
        <v>13</v>
      </c>
      <c r="I40">
        <f t="shared" si="0"/>
        <v>2.9234693877551021</v>
      </c>
      <c r="J40">
        <f t="shared" si="1"/>
        <v>7.3028241899638413</v>
      </c>
      <c r="K40">
        <f t="shared" si="2"/>
        <v>-0.42449330825467252</v>
      </c>
      <c r="L40">
        <f t="shared" si="3"/>
        <v>0.40032038451271784</v>
      </c>
      <c r="M40">
        <f t="shared" si="4"/>
        <v>0.96703296703296704</v>
      </c>
      <c r="N40">
        <f t="shared" si="5"/>
        <v>0.41049902336715582</v>
      </c>
      <c r="O40">
        <f t="shared" si="6"/>
        <v>0.38712300919911175</v>
      </c>
    </row>
    <row r="41" spans="1:15" x14ac:dyDescent="0.25">
      <c r="A41" t="s">
        <v>45</v>
      </c>
      <c r="B41">
        <v>2013</v>
      </c>
      <c r="C41">
        <v>-2.5</v>
      </c>
      <c r="D41">
        <v>-6.44</v>
      </c>
      <c r="E41">
        <v>1.44</v>
      </c>
      <c r="F41">
        <v>28</v>
      </c>
      <c r="G41">
        <v>28</v>
      </c>
      <c r="I41">
        <f t="shared" si="0"/>
        <v>2.0102040816326534</v>
      </c>
      <c r="J41">
        <f t="shared" si="1"/>
        <v>7.5214949509639446</v>
      </c>
      <c r="K41">
        <f t="shared" si="2"/>
        <v>-0.33238073232763432</v>
      </c>
      <c r="L41">
        <f t="shared" si="3"/>
        <v>0.2672612419124244</v>
      </c>
      <c r="M41">
        <f t="shared" si="4"/>
        <v>0.98604651162790702</v>
      </c>
      <c r="N41">
        <f t="shared" si="5"/>
        <v>0.32774286164399291</v>
      </c>
      <c r="O41">
        <f t="shared" si="6"/>
        <v>0.26353201528108827</v>
      </c>
    </row>
    <row r="42" spans="1:15" x14ac:dyDescent="0.25">
      <c r="A42" t="s">
        <v>46</v>
      </c>
      <c r="B42">
        <v>2016</v>
      </c>
      <c r="C42">
        <v>-4</v>
      </c>
      <c r="D42">
        <v>-26.69</v>
      </c>
      <c r="E42">
        <v>18.690000000000001</v>
      </c>
      <c r="F42">
        <v>8</v>
      </c>
      <c r="G42">
        <v>10</v>
      </c>
      <c r="I42">
        <f t="shared" si="0"/>
        <v>11.576530612244898</v>
      </c>
      <c r="J42">
        <f t="shared" si="1"/>
        <v>24.405469424904943</v>
      </c>
      <c r="K42">
        <f t="shared" si="2"/>
        <v>-0.1638976874551791</v>
      </c>
      <c r="L42">
        <f t="shared" si="3"/>
        <v>0.47434164902525688</v>
      </c>
      <c r="M42">
        <f t="shared" si="4"/>
        <v>0.95238095238095233</v>
      </c>
      <c r="N42">
        <f t="shared" si="5"/>
        <v>0.15609303567159913</v>
      </c>
      <c r="O42">
        <f t="shared" si="6"/>
        <v>0.45175395145262559</v>
      </c>
    </row>
    <row r="43" spans="1:15" x14ac:dyDescent="0.25">
      <c r="A43" t="s">
        <v>46</v>
      </c>
      <c r="B43">
        <v>2019</v>
      </c>
      <c r="C43">
        <v>-0.5</v>
      </c>
      <c r="D43">
        <v>-7.38</v>
      </c>
      <c r="E43">
        <v>6.38</v>
      </c>
      <c r="F43">
        <v>14</v>
      </c>
      <c r="G43">
        <v>13</v>
      </c>
      <c r="I43">
        <f t="shared" si="0"/>
        <v>3.510204081632653</v>
      </c>
      <c r="J43">
        <f t="shared" si="1"/>
        <v>9.1135205833752497</v>
      </c>
      <c r="K43">
        <f t="shared" si="2"/>
        <v>-5.486353988293971E-2</v>
      </c>
      <c r="L43">
        <f t="shared" si="3"/>
        <v>0.38516444325982163</v>
      </c>
      <c r="M43">
        <f t="shared" si="4"/>
        <v>0.96969696969696972</v>
      </c>
      <c r="N43">
        <f t="shared" si="5"/>
        <v>5.3201008371335477E-2</v>
      </c>
      <c r="O43">
        <f t="shared" si="6"/>
        <v>0.37349279346406949</v>
      </c>
    </row>
    <row r="44" spans="1:15" x14ac:dyDescent="0.25">
      <c r="A44" t="s">
        <v>47</v>
      </c>
      <c r="B44">
        <v>2017</v>
      </c>
      <c r="C44">
        <v>-2.6</v>
      </c>
      <c r="D44">
        <v>-9.5</v>
      </c>
      <c r="E44">
        <v>4.3</v>
      </c>
      <c r="F44">
        <v>48</v>
      </c>
      <c r="G44">
        <v>52</v>
      </c>
      <c r="I44">
        <f t="shared" si="0"/>
        <v>3.5204081632653064</v>
      </c>
      <c r="J44">
        <f t="shared" si="1"/>
        <v>17.587953546509777</v>
      </c>
      <c r="K44">
        <f t="shared" si="2"/>
        <v>-0.14782845503455144</v>
      </c>
      <c r="L44">
        <f t="shared" si="3"/>
        <v>0.20016019225635889</v>
      </c>
      <c r="M44">
        <f t="shared" si="4"/>
        <v>0.99232736572890023</v>
      </c>
      <c r="N44">
        <f t="shared" si="5"/>
        <v>0.14669422136420962</v>
      </c>
      <c r="O44">
        <f t="shared" si="6"/>
        <v>0.19862443630554283</v>
      </c>
    </row>
    <row r="45" spans="1:15" x14ac:dyDescent="0.25">
      <c r="A45" t="s">
        <v>48</v>
      </c>
      <c r="B45">
        <v>1998</v>
      </c>
      <c r="C45">
        <v>-4.2</v>
      </c>
      <c r="D45">
        <v>-8.2200000000000006</v>
      </c>
      <c r="E45">
        <v>-0.18</v>
      </c>
      <c r="F45">
        <v>18</v>
      </c>
      <c r="G45">
        <v>18</v>
      </c>
      <c r="I45">
        <f t="shared" si="0"/>
        <v>2.0510204081632657</v>
      </c>
      <c r="J45">
        <f t="shared" si="1"/>
        <v>6.1530612244897975</v>
      </c>
      <c r="K45">
        <f t="shared" si="2"/>
        <v>-0.68258706467661678</v>
      </c>
      <c r="L45">
        <f t="shared" si="3"/>
        <v>0.33333333333333331</v>
      </c>
      <c r="M45">
        <f t="shared" si="4"/>
        <v>0.97777777777777775</v>
      </c>
      <c r="N45">
        <f t="shared" si="5"/>
        <v>0.66741846323935861</v>
      </c>
      <c r="O45">
        <f t="shared" si="6"/>
        <v>0.3259259259259259</v>
      </c>
    </row>
    <row r="46" spans="1:15" x14ac:dyDescent="0.25">
      <c r="A46" t="s">
        <v>49</v>
      </c>
      <c r="B46">
        <v>1998</v>
      </c>
      <c r="C46">
        <v>-5</v>
      </c>
      <c r="D46">
        <v>-8.98</v>
      </c>
      <c r="E46">
        <v>-1.02</v>
      </c>
      <c r="F46">
        <v>18</v>
      </c>
      <c r="G46">
        <v>18</v>
      </c>
      <c r="I46">
        <f t="shared" si="0"/>
        <v>2.0306122448979593</v>
      </c>
      <c r="J46">
        <f t="shared" si="1"/>
        <v>6.091836734693878</v>
      </c>
      <c r="K46">
        <f t="shared" si="2"/>
        <v>-0.8207705192629815</v>
      </c>
      <c r="L46">
        <f t="shared" si="3"/>
        <v>0.33333333333333331</v>
      </c>
      <c r="M46">
        <f t="shared" si="4"/>
        <v>0.97777777777777775</v>
      </c>
      <c r="N46">
        <f t="shared" si="5"/>
        <v>0.80253117439047073</v>
      </c>
      <c r="O46">
        <f t="shared" si="6"/>
        <v>0.3259259259259259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2026-04-25T22:15:10Z</dcterms:modified>
</cp:coreProperties>
</file>