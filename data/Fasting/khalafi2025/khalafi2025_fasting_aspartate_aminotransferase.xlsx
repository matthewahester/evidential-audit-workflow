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Fasting\khalafi2025\"/>
    </mc:Choice>
  </mc:AlternateContent>
  <xr:revisionPtr revIDLastSave="0" documentId="13_ncr:1_{5AB13A15-DAAA-412E-9A44-431DD0B0F138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AS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" i="2"/>
  <c r="I14" i="2"/>
  <c r="I15" i="2"/>
  <c r="I16" i="2"/>
  <c r="I17" i="2"/>
  <c r="I13" i="2"/>
  <c r="I3" i="2"/>
  <c r="I4" i="2"/>
  <c r="I5" i="2"/>
  <c r="K5" i="2"/>
  <c r="I6" i="2"/>
  <c r="K6" i="2" s="1"/>
  <c r="I7" i="2"/>
  <c r="I8" i="2"/>
  <c r="K8" i="2"/>
  <c r="I9" i="2"/>
  <c r="K9" i="2"/>
  <c r="I10" i="2"/>
  <c r="K10" i="2"/>
  <c r="I11" i="2"/>
  <c r="I12" i="2"/>
  <c r="K12" i="2"/>
  <c r="K13" i="2"/>
  <c r="K14" i="2"/>
  <c r="K16" i="2"/>
  <c r="K17" i="2"/>
  <c r="I18" i="2"/>
  <c r="K18" i="2"/>
  <c r="I19" i="2"/>
  <c r="I2" i="2"/>
  <c r="K2" i="2" s="1"/>
  <c r="K4" i="2" l="1"/>
  <c r="K19" i="2"/>
  <c r="K15" i="2"/>
  <c r="K11" i="2"/>
  <c r="K7" i="2"/>
  <c r="K3" i="2"/>
</calcChain>
</file>

<file path=xl/sharedStrings.xml><?xml version="1.0" encoding="utf-8"?>
<sst xmlns="http://schemas.openxmlformats.org/spreadsheetml/2006/main" count="47" uniqueCount="39">
  <si>
    <t>Author</t>
  </si>
  <si>
    <t>Year</t>
  </si>
  <si>
    <t>Control</t>
  </si>
  <si>
    <t>Pre-post (no control)</t>
  </si>
  <si>
    <t>Habitual diet</t>
  </si>
  <si>
    <t>Nutrition advice</t>
  </si>
  <si>
    <t>100% baseline energy daily</t>
  </si>
  <si>
    <t>Usual habitual diet</t>
  </si>
  <si>
    <t>Continue usual habitual diet</t>
  </si>
  <si>
    <t>No advice to restrict energy</t>
  </si>
  <si>
    <t>Mediterranean diet</t>
  </si>
  <si>
    <t>Weight loss booklet</t>
  </si>
  <si>
    <t>Ad libitum intake</t>
  </si>
  <si>
    <t>d</t>
  </si>
  <si>
    <t>se_d</t>
  </si>
  <si>
    <t>lCI_d</t>
  </si>
  <si>
    <t>uCI_d</t>
  </si>
  <si>
    <t>n</t>
  </si>
  <si>
    <t>Ezpeleta</t>
  </si>
  <si>
    <t>Hirsh</t>
  </si>
  <si>
    <t>Holmer</t>
  </si>
  <si>
    <t>Johari</t>
  </si>
  <si>
    <t>Kord Varkaneh</t>
  </si>
  <si>
    <t>Lao</t>
  </si>
  <si>
    <t>Schübel</t>
  </si>
  <si>
    <t>Sulaj</t>
  </si>
  <si>
    <t>Teong</t>
  </si>
  <si>
    <t>Xiao</t>
  </si>
  <si>
    <t>Denga</t>
  </si>
  <si>
    <t>Dengb</t>
  </si>
  <si>
    <t>Hutchisona</t>
  </si>
  <si>
    <t>Hutchisonb</t>
  </si>
  <si>
    <t>Ingersena</t>
  </si>
  <si>
    <t>Ingersenb</t>
  </si>
  <si>
    <t>Zhanga</t>
  </si>
  <si>
    <t>Zhangb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</si>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</sst>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tabSelected="1" topLeftCell="B1" workbookViewId="0">
      <selection activeCell="I3" sqref="I3"/>
    </sheetView>
  </sheetViews>
  <sheetFormatPr defaultRowHeight="15" x14ac:dyDescent="0.25"/>
  <cols>
    <col min="1" max="1" width="25" customWidth="1"/>
    <col min="2" max="2" width="8" customWidth="1"/>
    <col min="3" max="3" width="10" customWidth="1"/>
    <col min="4" max="4" width="35" customWidth="1"/>
    <col min="5" max="8" width="10" customWidth="1"/>
  </cols>
  <sheetData>
    <row r="1" spans="1:11" x14ac:dyDescent="0.25">
      <c r="A1" t="s">
        <v>0</v>
      </c>
      <c r="B1" t="s">
        <v>1</v>
      </c>
      <c r="C1" t="s">
        <v>17</v>
      </c>
      <c r="D1" t="s">
        <v>2</v>
      </c>
      <c r="E1" t="s">
        <v>13</v>
      </c>
      <c r="F1" t="s">
        <v>14</v>
      </c>
      <c r="G1" t="s">
        <v>15</v>
      </c>
      <c r="H1" t="s">
        <v>16</v>
      </c>
      <c r="I1" t="s">
        <v>36</v>
      </c>
      <c r="J1" t="s">
        <v>37</v>
      </c>
      <c r="K1" t="s">
        <v>38</v>
      </c>
    </row>
    <row r="2" spans="1:11" x14ac:dyDescent="0.25">
      <c r="A2" t="s">
        <v>30</v>
      </c>
      <c r="B2">
        <v>2019</v>
      </c>
      <c r="C2">
        <v>42</v>
      </c>
      <c r="D2" t="s">
        <v>6</v>
      </c>
      <c r="E2">
        <v>-0.61199999999999999</v>
      </c>
      <c r="F2">
        <v>0.46800000000000003</v>
      </c>
      <c r="G2">
        <v>-1.5289999999999999</v>
      </c>
      <c r="H2">
        <v>0.30499999999999999</v>
      </c>
      <c r="I2">
        <f>1-3/(4*(C2-1)-1)</f>
        <v>0.98159509202453987</v>
      </c>
      <c r="J2">
        <f>-I2*E2</f>
        <v>0.60073619631901842</v>
      </c>
      <c r="K2">
        <f>F2*I2</f>
        <v>0.45938650306748469</v>
      </c>
    </row>
    <row r="3" spans="1:11" x14ac:dyDescent="0.25">
      <c r="A3" t="s">
        <v>31</v>
      </c>
      <c r="B3">
        <v>2019</v>
      </c>
      <c r="C3">
        <v>42</v>
      </c>
      <c r="D3" t="s">
        <v>6</v>
      </c>
      <c r="E3">
        <v>-0.59099999999999997</v>
      </c>
      <c r="F3">
        <v>0.502</v>
      </c>
      <c r="G3">
        <v>-1.575</v>
      </c>
      <c r="H3">
        <v>0.39300000000000002</v>
      </c>
      <c r="I3">
        <f t="shared" ref="I3:I19" si="0">1-3/(4*(C3-1)-1)</f>
        <v>0.98159509202453987</v>
      </c>
      <c r="J3">
        <f t="shared" ref="J3:J19" si="1">-I3*E3</f>
        <v>0.58012269938650307</v>
      </c>
      <c r="K3">
        <f t="shared" ref="K3:K19" si="2">F3*I3</f>
        <v>0.49276073619631899</v>
      </c>
    </row>
    <row r="4" spans="1:11" x14ac:dyDescent="0.25">
      <c r="A4" t="s">
        <v>34</v>
      </c>
      <c r="B4">
        <v>2022</v>
      </c>
      <c r="C4">
        <v>40</v>
      </c>
      <c r="D4" t="s">
        <v>12</v>
      </c>
      <c r="E4">
        <v>3.4000000000000002E-2</v>
      </c>
      <c r="F4">
        <v>0.38400000000000001</v>
      </c>
      <c r="G4">
        <v>-0.71899999999999997</v>
      </c>
      <c r="H4">
        <v>0.78700000000000003</v>
      </c>
      <c r="I4">
        <f t="shared" si="0"/>
        <v>0.98064516129032253</v>
      </c>
      <c r="J4">
        <f t="shared" si="1"/>
        <v>-3.3341935483870967E-2</v>
      </c>
      <c r="K4">
        <f t="shared" si="2"/>
        <v>0.37656774193548387</v>
      </c>
    </row>
    <row r="5" spans="1:11" x14ac:dyDescent="0.25">
      <c r="A5" t="s">
        <v>35</v>
      </c>
      <c r="B5">
        <v>2022</v>
      </c>
      <c r="C5">
        <v>40</v>
      </c>
      <c r="D5" t="s">
        <v>12</v>
      </c>
      <c r="E5">
        <v>0.629</v>
      </c>
      <c r="F5">
        <v>0.41</v>
      </c>
      <c r="G5">
        <v>-0.17399999999999999</v>
      </c>
      <c r="H5">
        <v>1.4319999999999999</v>
      </c>
      <c r="I5">
        <f t="shared" si="0"/>
        <v>0.98064516129032253</v>
      </c>
      <c r="J5">
        <f t="shared" si="1"/>
        <v>-0.61682580645161289</v>
      </c>
      <c r="K5">
        <f t="shared" si="2"/>
        <v>0.40206451612903221</v>
      </c>
    </row>
    <row r="6" spans="1:11" x14ac:dyDescent="0.25">
      <c r="A6" t="s">
        <v>22</v>
      </c>
      <c r="B6">
        <v>2022</v>
      </c>
      <c r="C6">
        <v>44</v>
      </c>
      <c r="D6" t="s">
        <v>8</v>
      </c>
      <c r="E6">
        <v>-0.92900000000000005</v>
      </c>
      <c r="F6">
        <v>0.318</v>
      </c>
      <c r="G6">
        <v>-1.5509999999999999</v>
      </c>
      <c r="H6">
        <v>-0.30599999999999999</v>
      </c>
      <c r="I6">
        <f t="shared" si="0"/>
        <v>0.98245614035087714</v>
      </c>
      <c r="J6">
        <f t="shared" si="1"/>
        <v>0.9127017543859649</v>
      </c>
      <c r="K6">
        <f t="shared" si="2"/>
        <v>0.31242105263157893</v>
      </c>
    </row>
    <row r="7" spans="1:11" x14ac:dyDescent="0.25">
      <c r="A7" t="s">
        <v>23</v>
      </c>
      <c r="B7">
        <v>2023</v>
      </c>
      <c r="C7">
        <v>27</v>
      </c>
      <c r="D7" t="s">
        <v>8</v>
      </c>
      <c r="E7">
        <v>0.48299999999999998</v>
      </c>
      <c r="F7">
        <v>0.39100000000000001</v>
      </c>
      <c r="G7">
        <v>-0.28299999999999997</v>
      </c>
      <c r="H7">
        <v>1.2490000000000001</v>
      </c>
      <c r="I7">
        <f t="shared" si="0"/>
        <v>0.970873786407767</v>
      </c>
      <c r="J7">
        <f t="shared" si="1"/>
        <v>-0.46893203883495144</v>
      </c>
      <c r="K7">
        <f t="shared" si="2"/>
        <v>0.37961165048543694</v>
      </c>
    </row>
    <row r="8" spans="1:11" x14ac:dyDescent="0.25">
      <c r="A8" t="s">
        <v>18</v>
      </c>
      <c r="B8">
        <v>2023</v>
      </c>
      <c r="C8">
        <v>39</v>
      </c>
      <c r="D8" t="s">
        <v>4</v>
      </c>
      <c r="E8">
        <v>-0.56000000000000005</v>
      </c>
      <c r="F8">
        <v>0.32700000000000001</v>
      </c>
      <c r="G8">
        <v>-1.2</v>
      </c>
      <c r="H8">
        <v>0.08</v>
      </c>
      <c r="I8">
        <f t="shared" si="0"/>
        <v>0.98013245033112584</v>
      </c>
      <c r="J8">
        <f t="shared" si="1"/>
        <v>0.54887417218543055</v>
      </c>
      <c r="K8">
        <f t="shared" si="2"/>
        <v>0.32050331125827813</v>
      </c>
    </row>
    <row r="9" spans="1:11" x14ac:dyDescent="0.25">
      <c r="A9" t="s">
        <v>19</v>
      </c>
      <c r="B9">
        <v>2019</v>
      </c>
      <c r="C9">
        <v>22</v>
      </c>
      <c r="D9" t="s">
        <v>4</v>
      </c>
      <c r="E9">
        <v>0.13</v>
      </c>
      <c r="F9">
        <v>0.42899999999999999</v>
      </c>
      <c r="G9">
        <v>-0.71</v>
      </c>
      <c r="H9">
        <v>0.97</v>
      </c>
      <c r="I9">
        <f t="shared" si="0"/>
        <v>0.96385542168674698</v>
      </c>
      <c r="J9">
        <f t="shared" si="1"/>
        <v>-0.12530120481927712</v>
      </c>
      <c r="K9">
        <f t="shared" si="2"/>
        <v>0.41349397590361447</v>
      </c>
    </row>
    <row r="10" spans="1:11" x14ac:dyDescent="0.25">
      <c r="A10" t="s">
        <v>25</v>
      </c>
      <c r="B10">
        <v>2022</v>
      </c>
      <c r="C10">
        <v>40</v>
      </c>
      <c r="D10" t="s">
        <v>10</v>
      </c>
      <c r="E10">
        <v>-0.158</v>
      </c>
      <c r="F10">
        <v>0.317</v>
      </c>
      <c r="G10">
        <v>-0.78</v>
      </c>
      <c r="H10">
        <v>0.46300000000000002</v>
      </c>
      <c r="I10">
        <f t="shared" si="0"/>
        <v>0.98064516129032253</v>
      </c>
      <c r="J10">
        <f t="shared" si="1"/>
        <v>0.15494193548387097</v>
      </c>
      <c r="K10">
        <f t="shared" si="2"/>
        <v>0.31086451612903226</v>
      </c>
    </row>
    <row r="11" spans="1:11" x14ac:dyDescent="0.25">
      <c r="A11" t="s">
        <v>24</v>
      </c>
      <c r="B11">
        <v>2018</v>
      </c>
      <c r="C11">
        <v>101</v>
      </c>
      <c r="D11" t="s">
        <v>9</v>
      </c>
      <c r="E11">
        <v>-0.433</v>
      </c>
      <c r="F11">
        <v>0.20499999999999999</v>
      </c>
      <c r="G11">
        <v>-0.83399999999999996</v>
      </c>
      <c r="H11">
        <v>-3.2000000000000001E-2</v>
      </c>
      <c r="I11">
        <f t="shared" si="0"/>
        <v>0.99248120300751874</v>
      </c>
      <c r="J11">
        <f t="shared" si="1"/>
        <v>0.4297443609022556</v>
      </c>
      <c r="K11">
        <f t="shared" si="2"/>
        <v>0.20345864661654134</v>
      </c>
    </row>
    <row r="12" spans="1:11" x14ac:dyDescent="0.25">
      <c r="A12" t="s">
        <v>20</v>
      </c>
      <c r="B12">
        <v>2021</v>
      </c>
      <c r="C12">
        <v>44</v>
      </c>
      <c r="D12" t="s">
        <v>5</v>
      </c>
      <c r="E12">
        <v>0.188</v>
      </c>
      <c r="F12">
        <v>0.28599999999999998</v>
      </c>
      <c r="G12">
        <v>-0.374</v>
      </c>
      <c r="H12">
        <v>0.749</v>
      </c>
      <c r="I12">
        <f t="shared" si="0"/>
        <v>0.98245614035087714</v>
      </c>
      <c r="J12">
        <f t="shared" si="1"/>
        <v>-0.18470175438596489</v>
      </c>
      <c r="K12">
        <f t="shared" si="2"/>
        <v>0.28098245614035083</v>
      </c>
    </row>
    <row r="13" spans="1:11" x14ac:dyDescent="0.25">
      <c r="A13" t="s">
        <v>28</v>
      </c>
      <c r="B13">
        <v>2024</v>
      </c>
      <c r="C13">
        <v>20</v>
      </c>
      <c r="D13" t="s">
        <v>3</v>
      </c>
      <c r="E13">
        <v>-0.58199999999999996</v>
      </c>
      <c r="F13">
        <v>0.24199999999999999</v>
      </c>
      <c r="G13">
        <v>-1.056</v>
      </c>
      <c r="H13">
        <v>-0.108</v>
      </c>
      <c r="I13">
        <f>1-3/(4*(C13-2)-1)</f>
        <v>0.95774647887323949</v>
      </c>
      <c r="J13">
        <f t="shared" si="1"/>
        <v>0.5574084507042254</v>
      </c>
      <c r="K13">
        <f t="shared" si="2"/>
        <v>0.23177464788732394</v>
      </c>
    </row>
    <row r="14" spans="1:11" x14ac:dyDescent="0.25">
      <c r="A14" t="s">
        <v>29</v>
      </c>
      <c r="B14">
        <v>2024</v>
      </c>
      <c r="C14">
        <v>20</v>
      </c>
      <c r="D14" t="s">
        <v>3</v>
      </c>
      <c r="E14">
        <v>-0.751</v>
      </c>
      <c r="F14">
        <v>0.253</v>
      </c>
      <c r="G14">
        <v>-1.248</v>
      </c>
      <c r="H14">
        <v>-0.255</v>
      </c>
      <c r="I14">
        <f t="shared" ref="I14:I17" si="3">1-3/(4*(C14-2)-1)</f>
        <v>0.95774647887323949</v>
      </c>
      <c r="J14">
        <f t="shared" si="1"/>
        <v>0.71926760563380288</v>
      </c>
      <c r="K14">
        <f t="shared" si="2"/>
        <v>0.24230985915492959</v>
      </c>
    </row>
    <row r="15" spans="1:11" x14ac:dyDescent="0.25">
      <c r="A15" t="s">
        <v>32</v>
      </c>
      <c r="B15">
        <v>2022</v>
      </c>
      <c r="C15">
        <v>12</v>
      </c>
      <c r="D15" t="s">
        <v>3</v>
      </c>
      <c r="E15">
        <v>-7.0999999999999994E-2</v>
      </c>
      <c r="F15">
        <v>0.30199999999999999</v>
      </c>
      <c r="G15">
        <v>-0.66200000000000003</v>
      </c>
      <c r="H15">
        <v>0.52100000000000002</v>
      </c>
      <c r="I15">
        <f t="shared" si="3"/>
        <v>0.92307692307692313</v>
      </c>
      <c r="J15">
        <f t="shared" si="1"/>
        <v>6.5538461538461532E-2</v>
      </c>
      <c r="K15">
        <f t="shared" si="2"/>
        <v>0.27876923076923077</v>
      </c>
    </row>
    <row r="16" spans="1:11" x14ac:dyDescent="0.25">
      <c r="A16" t="s">
        <v>33</v>
      </c>
      <c r="B16">
        <v>2022</v>
      </c>
      <c r="C16">
        <v>11</v>
      </c>
      <c r="D16" t="s">
        <v>3</v>
      </c>
      <c r="E16">
        <v>-6.9000000000000006E-2</v>
      </c>
      <c r="F16">
        <v>0.30199999999999999</v>
      </c>
      <c r="G16">
        <v>-0.66100000000000003</v>
      </c>
      <c r="H16">
        <v>0.52300000000000002</v>
      </c>
      <c r="I16">
        <f t="shared" si="3"/>
        <v>0.91428571428571426</v>
      </c>
      <c r="J16">
        <f t="shared" si="1"/>
        <v>6.3085714285714287E-2</v>
      </c>
      <c r="K16">
        <f t="shared" si="2"/>
        <v>0.2761142857142857</v>
      </c>
    </row>
    <row r="17" spans="1:11" x14ac:dyDescent="0.25">
      <c r="A17" t="s">
        <v>27</v>
      </c>
      <c r="B17">
        <v>2022</v>
      </c>
      <c r="C17">
        <v>31</v>
      </c>
      <c r="D17" t="s">
        <v>3</v>
      </c>
      <c r="E17">
        <v>-0.73499999999999999</v>
      </c>
      <c r="F17">
        <v>0.20200000000000001</v>
      </c>
      <c r="G17">
        <v>-1.131</v>
      </c>
      <c r="H17">
        <v>-0.33800000000000002</v>
      </c>
      <c r="I17">
        <f t="shared" si="3"/>
        <v>0.97391304347826091</v>
      </c>
      <c r="J17">
        <f t="shared" si="1"/>
        <v>0.71582608695652172</v>
      </c>
      <c r="K17">
        <f t="shared" si="2"/>
        <v>0.19673043478260871</v>
      </c>
    </row>
    <row r="18" spans="1:11" x14ac:dyDescent="0.25">
      <c r="A18" t="s">
        <v>21</v>
      </c>
      <c r="B18">
        <v>2019</v>
      </c>
      <c r="C18">
        <v>43</v>
      </c>
      <c r="D18" t="s">
        <v>7</v>
      </c>
      <c r="E18">
        <v>-0.34399999999999997</v>
      </c>
      <c r="F18">
        <v>0.36299999999999999</v>
      </c>
      <c r="G18">
        <v>-1.0549999999999999</v>
      </c>
      <c r="H18">
        <v>0.36799999999999999</v>
      </c>
      <c r="I18">
        <f t="shared" si="0"/>
        <v>0.98203592814371254</v>
      </c>
      <c r="J18">
        <f t="shared" si="1"/>
        <v>0.33782035928143711</v>
      </c>
      <c r="K18">
        <f t="shared" si="2"/>
        <v>0.35647904191616764</v>
      </c>
    </row>
    <row r="19" spans="1:11" x14ac:dyDescent="0.25">
      <c r="A19" t="s">
        <v>26</v>
      </c>
      <c r="B19">
        <v>2023</v>
      </c>
      <c r="C19">
        <v>103</v>
      </c>
      <c r="D19" t="s">
        <v>11</v>
      </c>
      <c r="E19">
        <v>-0.30499999999999999</v>
      </c>
      <c r="F19">
        <v>0.215</v>
      </c>
      <c r="G19">
        <v>-0.72699999999999998</v>
      </c>
      <c r="H19">
        <v>0.11600000000000001</v>
      </c>
      <c r="I19">
        <f t="shared" si="0"/>
        <v>0.99262899262899262</v>
      </c>
      <c r="J19">
        <f t="shared" si="1"/>
        <v>0.30275184275184275</v>
      </c>
      <c r="K19">
        <f t="shared" si="2"/>
        <v>0.21341523341523341</v>
      </c>
    </row>
  </sheetData>
  <sortState xmlns:xlrd2="http://schemas.microsoft.com/office/spreadsheetml/2017/richdata2" ref="A2:H19">
    <sortCondition ref="D2:D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Hester</cp:lastModifiedBy>
  <dcterms:created xsi:type="dcterms:W3CDTF">2026-04-15T23:02:39Z</dcterms:created>
  <dcterms:modified xsi:type="dcterms:W3CDTF">2026-04-16T00:05:34Z</dcterms:modified>
</cp:coreProperties>
</file>