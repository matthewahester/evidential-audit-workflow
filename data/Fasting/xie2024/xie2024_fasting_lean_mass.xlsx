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xie2024\"/>
    </mc:Choice>
  </mc:AlternateContent>
  <xr:revisionPtr revIDLastSave="0" documentId="13_ncr:1_{C9C542A1-1646-4075-9AA3-ED0C29132E89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N3" i="1" s="1"/>
  <c r="Q3" i="1" s="1"/>
  <c r="P3" i="1"/>
  <c r="L4" i="1"/>
  <c r="M4" i="1"/>
  <c r="N4" i="1" s="1"/>
  <c r="Q4" i="1" s="1"/>
  <c r="P4" i="1"/>
  <c r="L5" i="1"/>
  <c r="M5" i="1"/>
  <c r="N5" i="1"/>
  <c r="Q5" i="1" s="1"/>
  <c r="O5" i="1"/>
  <c r="P5" i="1"/>
  <c r="R5" i="1"/>
  <c r="L6" i="1"/>
  <c r="M6" i="1"/>
  <c r="N6" i="1" s="1"/>
  <c r="Q6" i="1" s="1"/>
  <c r="O6" i="1"/>
  <c r="R6" i="1" s="1"/>
  <c r="P6" i="1"/>
  <c r="L7" i="1"/>
  <c r="M7" i="1" s="1"/>
  <c r="N7" i="1" s="1"/>
  <c r="Q7" i="1" s="1"/>
  <c r="P7" i="1"/>
  <c r="L8" i="1"/>
  <c r="O8" i="1" s="1"/>
  <c r="R8" i="1" s="1"/>
  <c r="M8" i="1"/>
  <c r="N8" i="1" s="1"/>
  <c r="Q8" i="1" s="1"/>
  <c r="P8" i="1"/>
  <c r="L9" i="1"/>
  <c r="M9" i="1" s="1"/>
  <c r="P9" i="1"/>
  <c r="L10" i="1"/>
  <c r="M10" i="1" s="1"/>
  <c r="P10" i="1"/>
  <c r="L11" i="1"/>
  <c r="M11" i="1" s="1"/>
  <c r="P11" i="1"/>
  <c r="L12" i="1"/>
  <c r="M12" i="1"/>
  <c r="O12" i="1" s="1"/>
  <c r="R12" i="1" s="1"/>
  <c r="N12" i="1"/>
  <c r="P12" i="1"/>
  <c r="Q12" i="1"/>
  <c r="L13" i="1"/>
  <c r="O13" i="1" s="1"/>
  <c r="R13" i="1" s="1"/>
  <c r="M13" i="1"/>
  <c r="N13" i="1" s="1"/>
  <c r="Q13" i="1" s="1"/>
  <c r="P13" i="1"/>
  <c r="L14" i="1"/>
  <c r="M14" i="1" s="1"/>
  <c r="P14" i="1"/>
  <c r="L15" i="1"/>
  <c r="M15" i="1" s="1"/>
  <c r="N15" i="1" s="1"/>
  <c r="Q15" i="1" s="1"/>
  <c r="P15" i="1"/>
  <c r="L16" i="1"/>
  <c r="M16" i="1"/>
  <c r="N16" i="1" s="1"/>
  <c r="Q16" i="1" s="1"/>
  <c r="O16" i="1"/>
  <c r="R16" i="1" s="1"/>
  <c r="P16" i="1"/>
  <c r="P2" i="1"/>
  <c r="L2" i="1"/>
  <c r="N10" i="1" l="1"/>
  <c r="Q10" i="1" s="1"/>
  <c r="O10" i="1"/>
  <c r="R10" i="1" s="1"/>
  <c r="O14" i="1"/>
  <c r="R14" i="1" s="1"/>
  <c r="N14" i="1"/>
  <c r="Q14" i="1" s="1"/>
  <c r="N9" i="1"/>
  <c r="Q9" i="1" s="1"/>
  <c r="O9" i="1"/>
  <c r="R9" i="1" s="1"/>
  <c r="O11" i="1"/>
  <c r="R11" i="1" s="1"/>
  <c r="N11" i="1"/>
  <c r="Q11" i="1" s="1"/>
  <c r="O4" i="1"/>
  <c r="R4" i="1" s="1"/>
  <c r="O7" i="1"/>
  <c r="R7" i="1" s="1"/>
  <c r="O3" i="1"/>
  <c r="R3" i="1" s="1"/>
  <c r="O15" i="1"/>
  <c r="R15" i="1" s="1"/>
  <c r="M2" i="1"/>
  <c r="N2" i="1" s="1"/>
  <c r="Q2" i="1" s="1"/>
  <c r="O2" i="1" l="1"/>
  <c r="R2" i="1" s="1"/>
</calcChain>
</file>

<file path=xl/sharedStrings.xml><?xml version="1.0" encoding="utf-8"?>
<sst xmlns="http://schemas.openxmlformats.org/spreadsheetml/2006/main" count="33" uniqueCount="32">
  <si>
    <t>Ameur</t>
  </si>
  <si>
    <t>Chow</t>
  </si>
  <si>
    <t>Cienfuegos</t>
  </si>
  <si>
    <t>Domaszewski</t>
  </si>
  <si>
    <t>Fagundes</t>
  </si>
  <si>
    <t>Jamshed</t>
  </si>
  <si>
    <t>Kotarsky</t>
  </si>
  <si>
    <t>Lin</t>
  </si>
  <si>
    <t>Liu</t>
  </si>
  <si>
    <t>Lowe</t>
  </si>
  <si>
    <t>Queiroz</t>
  </si>
  <si>
    <t>Steger</t>
  </si>
  <si>
    <t>Thomas</t>
  </si>
  <si>
    <t>Zhang</t>
  </si>
  <si>
    <t>author</t>
  </si>
  <si>
    <t>year</t>
  </si>
  <si>
    <t>mean_treat</t>
  </si>
  <si>
    <t>sd_treat</t>
  </si>
  <si>
    <t>n_treat</t>
  </si>
  <si>
    <t>mean_control</t>
  </si>
  <si>
    <t>sd_control</t>
  </si>
  <si>
    <t>n_control</t>
  </si>
  <si>
    <t>md</t>
  </si>
  <si>
    <t>lCI_md</t>
  </si>
  <si>
    <t>uCI_md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</si>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</sst>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F6" sqref="F6"/>
    </sheetView>
  </sheetViews>
  <sheetFormatPr defaultRowHeight="15" x14ac:dyDescent="0.25"/>
  <cols>
    <col min="1" max="1" width="13.140625" bestFit="1" customWidth="1"/>
    <col min="2" max="2" width="5" bestFit="1" customWidth="1"/>
    <col min="3" max="3" width="11.28515625" bestFit="1" customWidth="1"/>
    <col min="4" max="4" width="8.28515625" bestFit="1" customWidth="1"/>
    <col min="5" max="5" width="7.42578125" bestFit="1" customWidth="1"/>
    <col min="6" max="6" width="13.42578125" bestFit="1" customWidth="1"/>
    <col min="7" max="7" width="10.28515625" bestFit="1" customWidth="1"/>
    <col min="8" max="8" width="9.42578125" bestFit="1" customWidth="1"/>
    <col min="9" max="9" width="5.7109375" bestFit="1" customWidth="1"/>
    <col min="10" max="10" width="7.140625" bestFit="1" customWidth="1"/>
    <col min="11" max="11" width="7.7109375" bestFit="1" customWidth="1"/>
    <col min="12" max="13" width="12" bestFit="1" customWidth="1"/>
    <col min="14" max="14" width="12.7109375" bestFit="1" customWidth="1"/>
    <col min="15" max="16" width="12" bestFit="1" customWidth="1"/>
    <col min="17" max="17" width="12.7109375" bestFit="1" customWidth="1"/>
    <col min="18" max="18" width="12" bestFit="1" customWidth="1"/>
  </cols>
  <sheetData>
    <row r="1" spans="1:1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 x14ac:dyDescent="0.25">
      <c r="A2" t="s">
        <v>0</v>
      </c>
      <c r="B2">
        <v>2024</v>
      </c>
      <c r="C2">
        <v>3.6</v>
      </c>
      <c r="D2">
        <v>3.06</v>
      </c>
      <c r="E2">
        <v>20</v>
      </c>
      <c r="F2">
        <v>3.5</v>
      </c>
      <c r="G2">
        <v>3.25</v>
      </c>
      <c r="H2">
        <v>24</v>
      </c>
      <c r="I2">
        <v>0.1</v>
      </c>
      <c r="J2">
        <v>-1.77</v>
      </c>
      <c r="K2">
        <v>1.97</v>
      </c>
      <c r="L2">
        <f>(K2-J2)/2/1.96</f>
        <v>0.95408163265306134</v>
      </c>
      <c r="M2">
        <f>L2/SQRT(1/E2+1/H2)</f>
        <v>3.1512279195708586</v>
      </c>
      <c r="N2">
        <f>I2/M2</f>
        <v>3.1733661465406869E-2</v>
      </c>
      <c r="O2">
        <f>L2/M2</f>
        <v>0.30276503540974919</v>
      </c>
      <c r="P2">
        <f>1-3/(4*(E2+H2-2)-1)</f>
        <v>0.98203592814371254</v>
      </c>
      <c r="Q2">
        <f>-N2*P2</f>
        <v>-3.11635956905792E-2</v>
      </c>
      <c r="R2">
        <f>O2*P2</f>
        <v>0.29732614255807704</v>
      </c>
    </row>
    <row r="3" spans="1:18" x14ac:dyDescent="0.25">
      <c r="A3" t="s">
        <v>1</v>
      </c>
      <c r="B3">
        <v>2020</v>
      </c>
      <c r="C3">
        <v>-1.4</v>
      </c>
      <c r="D3">
        <v>9.85</v>
      </c>
      <c r="E3">
        <v>11</v>
      </c>
      <c r="F3">
        <v>-0.1</v>
      </c>
      <c r="G3">
        <v>8.2899999999999991</v>
      </c>
      <c r="H3">
        <v>9</v>
      </c>
      <c r="I3">
        <v>-1.3</v>
      </c>
      <c r="J3">
        <v>-9.25</v>
      </c>
      <c r="K3">
        <v>6.65</v>
      </c>
      <c r="L3">
        <f t="shared" ref="L3:L16" si="0">(K3-J3)/2/1.96</f>
        <v>4.0561224489795924</v>
      </c>
      <c r="M3">
        <f t="shared" ref="M3:M16" si="1">L3/SQRT(1/E3+1/H3)</f>
        <v>9.0243027508791638</v>
      </c>
      <c r="N3">
        <f t="shared" ref="N3:N16" si="2">I3/M3</f>
        <v>-0.14405545069654846</v>
      </c>
      <c r="O3">
        <f t="shared" ref="O3:O16" si="3">L3/M3</f>
        <v>0.44946657497549464</v>
      </c>
      <c r="P3">
        <f t="shared" ref="P3:P16" si="4">1-3/(4*(E3+H3-2)-1)</f>
        <v>0.95774647887323949</v>
      </c>
      <c r="Q3">
        <f t="shared" ref="Q3:Q16" si="5">-N3*P3</f>
        <v>0.13796860066711683</v>
      </c>
      <c r="R3">
        <f t="shared" ref="R3:R16" si="6">O3*P3</f>
        <v>0.43047502955399491</v>
      </c>
    </row>
    <row r="4" spans="1:18" x14ac:dyDescent="0.25">
      <c r="A4" t="s">
        <v>2</v>
      </c>
      <c r="B4">
        <v>2020</v>
      </c>
      <c r="C4">
        <v>-1.5</v>
      </c>
      <c r="D4">
        <v>0.82</v>
      </c>
      <c r="E4">
        <v>20</v>
      </c>
      <c r="F4">
        <v>-0.3</v>
      </c>
      <c r="G4">
        <v>0.75</v>
      </c>
      <c r="H4">
        <v>19</v>
      </c>
      <c r="I4">
        <v>-1.2</v>
      </c>
      <c r="J4">
        <v>-1.69</v>
      </c>
      <c r="K4">
        <v>-0.71</v>
      </c>
      <c r="L4">
        <f t="shared" si="0"/>
        <v>0.25</v>
      </c>
      <c r="M4">
        <f t="shared" si="1"/>
        <v>0.78036809197606161</v>
      </c>
      <c r="N4">
        <f t="shared" si="2"/>
        <v>-1.5377358612412497</v>
      </c>
      <c r="O4">
        <f t="shared" si="3"/>
        <v>0.32036163775859372</v>
      </c>
      <c r="P4">
        <f t="shared" si="4"/>
        <v>0.97959183673469385</v>
      </c>
      <c r="Q4">
        <f t="shared" si="5"/>
        <v>1.5063534967261221</v>
      </c>
      <c r="R4">
        <f t="shared" si="6"/>
        <v>0.31382364515127548</v>
      </c>
    </row>
    <row r="5" spans="1:18" x14ac:dyDescent="0.25">
      <c r="A5" t="s">
        <v>3</v>
      </c>
      <c r="B5">
        <v>2020</v>
      </c>
      <c r="C5">
        <v>0.28999999999999998</v>
      </c>
      <c r="D5">
        <v>4.84</v>
      </c>
      <c r="E5">
        <v>25</v>
      </c>
      <c r="F5">
        <v>-0.46</v>
      </c>
      <c r="G5">
        <v>6.03</v>
      </c>
      <c r="H5">
        <v>20</v>
      </c>
      <c r="I5">
        <v>0.75</v>
      </c>
      <c r="J5">
        <v>-2.5</v>
      </c>
      <c r="K5">
        <v>4</v>
      </c>
      <c r="L5">
        <f t="shared" si="0"/>
        <v>1.6581632653061225</v>
      </c>
      <c r="M5">
        <f t="shared" si="1"/>
        <v>5.5272108843537415</v>
      </c>
      <c r="N5">
        <f t="shared" si="2"/>
        <v>0.1356923076923077</v>
      </c>
      <c r="O5">
        <f t="shared" si="3"/>
        <v>0.3</v>
      </c>
      <c r="P5">
        <f t="shared" si="4"/>
        <v>0.98245614035087714</v>
      </c>
      <c r="Q5">
        <f t="shared" si="5"/>
        <v>-0.13331174089068826</v>
      </c>
      <c r="R5">
        <f t="shared" si="6"/>
        <v>0.29473684210526313</v>
      </c>
    </row>
    <row r="6" spans="1:18" x14ac:dyDescent="0.25">
      <c r="A6" t="s">
        <v>3</v>
      </c>
      <c r="B6">
        <v>2022</v>
      </c>
      <c r="C6">
        <v>-0.6</v>
      </c>
      <c r="D6">
        <v>8.5399999999999991</v>
      </c>
      <c r="E6">
        <v>23</v>
      </c>
      <c r="F6">
        <v>0.34</v>
      </c>
      <c r="G6">
        <v>5.44</v>
      </c>
      <c r="H6">
        <v>23</v>
      </c>
      <c r="I6">
        <v>-0.94</v>
      </c>
      <c r="J6">
        <v>-5.08</v>
      </c>
      <c r="K6">
        <v>3.2</v>
      </c>
      <c r="L6">
        <f t="shared" si="0"/>
        <v>2.1122448979591839</v>
      </c>
      <c r="M6">
        <f t="shared" si="1"/>
        <v>7.1629709515659723</v>
      </c>
      <c r="N6">
        <f t="shared" si="2"/>
        <v>-0.13123046377767267</v>
      </c>
      <c r="O6">
        <f t="shared" si="3"/>
        <v>0.29488391230979427</v>
      </c>
      <c r="P6">
        <f t="shared" si="4"/>
        <v>0.98285714285714287</v>
      </c>
      <c r="Q6">
        <f t="shared" si="5"/>
        <v>0.12898079868434115</v>
      </c>
      <c r="R6">
        <f t="shared" si="6"/>
        <v>0.28982875952734066</v>
      </c>
    </row>
    <row r="7" spans="1:18" x14ac:dyDescent="0.25">
      <c r="A7" t="s">
        <v>4</v>
      </c>
      <c r="B7">
        <v>2023</v>
      </c>
      <c r="C7">
        <v>-1.75</v>
      </c>
      <c r="D7">
        <v>4.97</v>
      </c>
      <c r="E7">
        <v>24</v>
      </c>
      <c r="F7">
        <v>-0.45</v>
      </c>
      <c r="G7">
        <v>5.61</v>
      </c>
      <c r="H7">
        <v>12</v>
      </c>
      <c r="I7">
        <v>-1.3</v>
      </c>
      <c r="J7">
        <v>-5.05</v>
      </c>
      <c r="K7">
        <v>2.4500000000000002</v>
      </c>
      <c r="L7">
        <f t="shared" si="0"/>
        <v>1.9132653061224489</v>
      </c>
      <c r="M7">
        <f t="shared" si="1"/>
        <v>5.4115314886725567</v>
      </c>
      <c r="N7">
        <f t="shared" si="2"/>
        <v>-0.2402277437951098</v>
      </c>
      <c r="O7">
        <f t="shared" si="3"/>
        <v>0.35355339059327379</v>
      </c>
      <c r="P7">
        <f t="shared" si="4"/>
        <v>0.97777777777777775</v>
      </c>
      <c r="Q7">
        <f t="shared" si="5"/>
        <v>0.23488934948855181</v>
      </c>
      <c r="R7">
        <f t="shared" si="6"/>
        <v>0.34569664858008992</v>
      </c>
    </row>
    <row r="8" spans="1:18" x14ac:dyDescent="0.25">
      <c r="A8" t="s">
        <v>5</v>
      </c>
      <c r="B8">
        <v>2022</v>
      </c>
      <c r="C8">
        <v>-1.5</v>
      </c>
      <c r="D8">
        <v>2</v>
      </c>
      <c r="E8">
        <v>45</v>
      </c>
      <c r="F8">
        <v>-1.3</v>
      </c>
      <c r="G8">
        <v>2</v>
      </c>
      <c r="H8">
        <v>45</v>
      </c>
      <c r="I8">
        <v>-0.2</v>
      </c>
      <c r="J8">
        <v>-1.03</v>
      </c>
      <c r="K8">
        <v>0.63</v>
      </c>
      <c r="L8">
        <f t="shared" si="0"/>
        <v>0.42346938775510207</v>
      </c>
      <c r="M8">
        <f t="shared" si="1"/>
        <v>2.0086916769947103</v>
      </c>
      <c r="N8">
        <f t="shared" si="2"/>
        <v>-9.9567296609317651E-2</v>
      </c>
      <c r="O8">
        <f t="shared" si="3"/>
        <v>0.21081851067789198</v>
      </c>
      <c r="P8">
        <f t="shared" si="4"/>
        <v>0.99145299145299148</v>
      </c>
      <c r="Q8">
        <f t="shared" si="5"/>
        <v>9.8716294074195285E-2</v>
      </c>
      <c r="R8">
        <f t="shared" si="6"/>
        <v>0.20901664306526044</v>
      </c>
    </row>
    <row r="9" spans="1:18" x14ac:dyDescent="0.25">
      <c r="A9" t="s">
        <v>6</v>
      </c>
      <c r="B9">
        <v>2021</v>
      </c>
      <c r="C9">
        <v>0</v>
      </c>
      <c r="D9">
        <v>6.63</v>
      </c>
      <c r="E9">
        <v>11</v>
      </c>
      <c r="F9">
        <v>1</v>
      </c>
      <c r="G9">
        <v>6.32</v>
      </c>
      <c r="H9">
        <v>10</v>
      </c>
      <c r="I9">
        <v>-1</v>
      </c>
      <c r="J9">
        <v>-6.54</v>
      </c>
      <c r="K9">
        <v>4.54</v>
      </c>
      <c r="L9">
        <f t="shared" si="0"/>
        <v>2.8265306122448979</v>
      </c>
      <c r="M9">
        <f t="shared" si="1"/>
        <v>6.4690482232717637</v>
      </c>
      <c r="N9">
        <f t="shared" si="2"/>
        <v>-0.15458224540707527</v>
      </c>
      <c r="O9">
        <f t="shared" si="3"/>
        <v>0.4369314487526515</v>
      </c>
      <c r="P9">
        <f t="shared" si="4"/>
        <v>0.96</v>
      </c>
      <c r="Q9">
        <f t="shared" si="5"/>
        <v>0.14839895559079225</v>
      </c>
      <c r="R9">
        <f t="shared" si="6"/>
        <v>0.41945419080254542</v>
      </c>
    </row>
    <row r="10" spans="1:18" x14ac:dyDescent="0.25">
      <c r="A10" t="s">
        <v>7</v>
      </c>
      <c r="B10">
        <v>2023</v>
      </c>
      <c r="C10">
        <v>-0.41</v>
      </c>
      <c r="D10">
        <v>1.33</v>
      </c>
      <c r="E10">
        <v>30</v>
      </c>
      <c r="F10">
        <v>0.39</v>
      </c>
      <c r="G10">
        <v>2.41</v>
      </c>
      <c r="H10">
        <v>30</v>
      </c>
      <c r="I10">
        <v>-0.8</v>
      </c>
      <c r="J10">
        <v>-1.78</v>
      </c>
      <c r="K10">
        <v>0.18</v>
      </c>
      <c r="L10">
        <f t="shared" si="0"/>
        <v>0.5</v>
      </c>
      <c r="M10">
        <f t="shared" si="1"/>
        <v>1.9364916731037087</v>
      </c>
      <c r="N10">
        <f t="shared" si="2"/>
        <v>-0.41311822359545775</v>
      </c>
      <c r="O10">
        <f t="shared" si="3"/>
        <v>0.2581988897471611</v>
      </c>
      <c r="P10">
        <f t="shared" si="4"/>
        <v>0.98701298701298701</v>
      </c>
      <c r="Q10">
        <f t="shared" si="5"/>
        <v>0.4077530518604518</v>
      </c>
      <c r="R10">
        <f t="shared" si="6"/>
        <v>0.25484565741278237</v>
      </c>
    </row>
    <row r="11" spans="1:18" x14ac:dyDescent="0.25">
      <c r="A11" t="s">
        <v>8</v>
      </c>
      <c r="B11">
        <v>2022</v>
      </c>
      <c r="C11">
        <v>-1.7</v>
      </c>
      <c r="D11">
        <v>2.5</v>
      </c>
      <c r="E11">
        <v>69</v>
      </c>
      <c r="F11">
        <v>-1.4</v>
      </c>
      <c r="G11">
        <v>2.31</v>
      </c>
      <c r="H11">
        <v>70</v>
      </c>
      <c r="I11">
        <v>-0.3</v>
      </c>
      <c r="J11">
        <v>-1.1000000000000001</v>
      </c>
      <c r="K11">
        <v>0.5</v>
      </c>
      <c r="L11">
        <f t="shared" si="0"/>
        <v>0.40816326530612246</v>
      </c>
      <c r="M11">
        <f t="shared" si="1"/>
        <v>2.4060246968718624</v>
      </c>
      <c r="N11">
        <f t="shared" si="2"/>
        <v>-0.12468699942691282</v>
      </c>
      <c r="O11">
        <f t="shared" si="3"/>
        <v>0.16964217609103785</v>
      </c>
      <c r="P11">
        <f t="shared" si="4"/>
        <v>0.99451553930530168</v>
      </c>
      <c r="Q11">
        <f t="shared" si="5"/>
        <v>0.12400315847941604</v>
      </c>
      <c r="R11">
        <f t="shared" si="6"/>
        <v>0.16871178024410347</v>
      </c>
    </row>
    <row r="12" spans="1:18" x14ac:dyDescent="0.25">
      <c r="A12" t="s">
        <v>9</v>
      </c>
      <c r="B12">
        <v>2021</v>
      </c>
      <c r="C12">
        <v>-1.1000000000000001</v>
      </c>
      <c r="D12">
        <v>2.4</v>
      </c>
      <c r="E12">
        <v>59</v>
      </c>
      <c r="F12">
        <v>-0.35</v>
      </c>
      <c r="G12">
        <v>2.2599999999999998</v>
      </c>
      <c r="H12">
        <v>57</v>
      </c>
      <c r="I12">
        <v>-0.75</v>
      </c>
      <c r="J12">
        <v>-1.6</v>
      </c>
      <c r="K12">
        <v>0.1</v>
      </c>
      <c r="L12">
        <f t="shared" si="0"/>
        <v>0.43367346938775514</v>
      </c>
      <c r="M12">
        <f t="shared" si="1"/>
        <v>2.3350559623451126</v>
      </c>
      <c r="N12">
        <f t="shared" si="2"/>
        <v>-0.32119144555609275</v>
      </c>
      <c r="O12">
        <f t="shared" si="3"/>
        <v>0.18572294470930534</v>
      </c>
      <c r="P12">
        <f t="shared" si="4"/>
        <v>0.99340659340659343</v>
      </c>
      <c r="Q12">
        <f t="shared" si="5"/>
        <v>0.31907369976121741</v>
      </c>
      <c r="R12">
        <f t="shared" si="6"/>
        <v>0.18449839782111213</v>
      </c>
    </row>
    <row r="13" spans="1:18" x14ac:dyDescent="0.25">
      <c r="A13" t="s">
        <v>10</v>
      </c>
      <c r="B13">
        <v>2023</v>
      </c>
      <c r="C13">
        <v>-1.25</v>
      </c>
      <c r="D13">
        <v>1.07</v>
      </c>
      <c r="E13">
        <v>32</v>
      </c>
      <c r="F13">
        <v>-1</v>
      </c>
      <c r="G13">
        <v>1.41</v>
      </c>
      <c r="H13">
        <v>16</v>
      </c>
      <c r="I13">
        <v>-0.25</v>
      </c>
      <c r="J13">
        <v>-1.03</v>
      </c>
      <c r="K13">
        <v>0.53</v>
      </c>
      <c r="L13">
        <f t="shared" si="0"/>
        <v>0.39795918367346939</v>
      </c>
      <c r="M13">
        <f t="shared" si="1"/>
        <v>1.2997292512727068</v>
      </c>
      <c r="N13">
        <f t="shared" si="2"/>
        <v>-0.19234775223778161</v>
      </c>
      <c r="O13">
        <f t="shared" si="3"/>
        <v>0.30618621784789724</v>
      </c>
      <c r="P13">
        <f t="shared" si="4"/>
        <v>0.98360655737704916</v>
      </c>
      <c r="Q13">
        <f t="shared" si="5"/>
        <v>0.18919451039781798</v>
      </c>
      <c r="R13">
        <f t="shared" si="6"/>
        <v>0.3011667716536694</v>
      </c>
    </row>
    <row r="14" spans="1:18" x14ac:dyDescent="0.25">
      <c r="A14" t="s">
        <v>11</v>
      </c>
      <c r="B14">
        <v>2023</v>
      </c>
      <c r="C14">
        <v>-1.8</v>
      </c>
      <c r="D14">
        <v>0.6</v>
      </c>
      <c r="E14">
        <v>15</v>
      </c>
      <c r="F14">
        <v>-1.2</v>
      </c>
      <c r="G14">
        <v>0.3</v>
      </c>
      <c r="H14">
        <v>21</v>
      </c>
      <c r="I14">
        <v>-0.6</v>
      </c>
      <c r="J14">
        <v>-0.93</v>
      </c>
      <c r="K14">
        <v>-0.27</v>
      </c>
      <c r="L14">
        <f t="shared" si="0"/>
        <v>0.16836734693877553</v>
      </c>
      <c r="M14">
        <f t="shared" si="1"/>
        <v>0.4980373286793045</v>
      </c>
      <c r="N14">
        <f t="shared" si="2"/>
        <v>-1.2047289740130125</v>
      </c>
      <c r="O14">
        <f t="shared" si="3"/>
        <v>0.33806170189140661</v>
      </c>
      <c r="P14">
        <f t="shared" si="4"/>
        <v>0.97777777777777775</v>
      </c>
      <c r="Q14">
        <f t="shared" si="5"/>
        <v>1.1779572190349454</v>
      </c>
      <c r="R14">
        <f t="shared" si="6"/>
        <v>0.33054921962715311</v>
      </c>
    </row>
    <row r="15" spans="1:18" x14ac:dyDescent="0.25">
      <c r="A15" t="s">
        <v>12</v>
      </c>
      <c r="B15">
        <v>2022</v>
      </c>
      <c r="C15">
        <v>-1.2</v>
      </c>
      <c r="D15">
        <v>2.2999999999999998</v>
      </c>
      <c r="E15">
        <v>40</v>
      </c>
      <c r="F15">
        <v>-1.5</v>
      </c>
      <c r="G15">
        <v>1.8</v>
      </c>
      <c r="H15">
        <v>41</v>
      </c>
      <c r="I15">
        <v>0.3</v>
      </c>
      <c r="J15">
        <v>-0.6</v>
      </c>
      <c r="K15">
        <v>1.2</v>
      </c>
      <c r="L15">
        <f t="shared" si="0"/>
        <v>0.45918367346938771</v>
      </c>
      <c r="M15">
        <f t="shared" si="1"/>
        <v>2.0661690542159779</v>
      </c>
      <c r="N15">
        <f t="shared" si="2"/>
        <v>0.1451962507074897</v>
      </c>
      <c r="O15">
        <f t="shared" si="3"/>
        <v>0.2222391592461577</v>
      </c>
      <c r="P15">
        <f t="shared" si="4"/>
        <v>0.99047619047619051</v>
      </c>
      <c r="Q15">
        <f t="shared" si="5"/>
        <v>-0.14381342927218027</v>
      </c>
      <c r="R15">
        <f t="shared" si="6"/>
        <v>0.22012259582476573</v>
      </c>
    </row>
    <row r="16" spans="1:18" x14ac:dyDescent="0.25">
      <c r="A16" t="s">
        <v>13</v>
      </c>
      <c r="B16">
        <v>2022</v>
      </c>
      <c r="C16">
        <v>-0.8</v>
      </c>
      <c r="D16">
        <v>1.1100000000000001</v>
      </c>
      <c r="E16">
        <v>41</v>
      </c>
      <c r="F16">
        <v>0.3</v>
      </c>
      <c r="G16">
        <v>1.04</v>
      </c>
      <c r="H16">
        <v>19</v>
      </c>
      <c r="I16">
        <v>-1.1000000000000001</v>
      </c>
      <c r="J16">
        <v>-1.68</v>
      </c>
      <c r="K16">
        <v>-0.52</v>
      </c>
      <c r="L16">
        <f t="shared" si="0"/>
        <v>0.29591836734693877</v>
      </c>
      <c r="M16">
        <f t="shared" si="1"/>
        <v>1.066264685899827</v>
      </c>
      <c r="N16">
        <f t="shared" si="2"/>
        <v>-1.0316387802637426</v>
      </c>
      <c r="O16">
        <f t="shared" si="3"/>
        <v>0.27752805777039452</v>
      </c>
      <c r="P16">
        <f t="shared" si="4"/>
        <v>0.98701298701298701</v>
      </c>
      <c r="Q16">
        <f t="shared" si="5"/>
        <v>1.0182408740265512</v>
      </c>
      <c r="R16">
        <f t="shared" si="6"/>
        <v>0.27392379727986993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2026-04-25T20:35:05Z</dcterms:modified>
</cp:coreProperties>
</file>