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dai2025\"/>
    </mc:Choice>
  </mc:AlternateContent>
  <xr:revisionPtr revIDLastSave="0" documentId="13_ncr:1_{2C6E83A5-4E59-4A8B-93E9-D0FD3E4A7F1B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R2" i="1"/>
  <c r="Q2" i="1"/>
  <c r="P2" i="1"/>
  <c r="M2" i="1"/>
  <c r="N2" i="1" s="1"/>
  <c r="O3" i="1"/>
  <c r="O4" i="1"/>
  <c r="O5" i="1"/>
  <c r="O6" i="1"/>
  <c r="O7" i="1"/>
  <c r="O8" i="1"/>
  <c r="O9" i="1"/>
  <c r="O10" i="1"/>
  <c r="O11" i="1"/>
  <c r="N4" i="1"/>
  <c r="M3" i="1"/>
  <c r="M4" i="1"/>
  <c r="M5" i="1"/>
  <c r="M6" i="1"/>
  <c r="M7" i="1"/>
  <c r="M8" i="1"/>
  <c r="M9" i="1"/>
  <c r="M10" i="1"/>
  <c r="M11" i="1"/>
  <c r="N3" i="1" l="1"/>
  <c r="N5" i="1"/>
  <c r="N6" i="1"/>
  <c r="N7" i="1"/>
  <c r="N8" i="1"/>
  <c r="N9" i="1"/>
  <c r="N10" i="1"/>
  <c r="N11" i="1"/>
  <c r="P3" i="1" l="1"/>
  <c r="P4" i="1"/>
  <c r="P5" i="1"/>
  <c r="P6" i="1"/>
  <c r="P7" i="1"/>
  <c r="P8" i="1"/>
  <c r="P9" i="1"/>
  <c r="P10" i="1"/>
  <c r="P11" i="1"/>
  <c r="R9" i="1" l="1"/>
  <c r="R10" i="1"/>
  <c r="R11" i="1"/>
  <c r="Q3" i="1"/>
  <c r="Q4" i="1"/>
  <c r="Q5" i="1"/>
  <c r="Q6" i="1"/>
  <c r="Q7" i="1"/>
  <c r="Q8" i="1"/>
  <c r="Q9" i="1"/>
  <c r="Q10" i="1"/>
  <c r="Q11" i="1"/>
  <c r="L3" i="1"/>
  <c r="R3" i="1" s="1"/>
  <c r="L4" i="1"/>
  <c r="R4" i="1" s="1"/>
  <c r="L5" i="1"/>
  <c r="R5" i="1" s="1"/>
  <c r="L6" i="1"/>
  <c r="R6" i="1" s="1"/>
  <c r="L7" i="1"/>
  <c r="R7" i="1" s="1"/>
  <c r="L8" i="1"/>
  <c r="R8" i="1" s="1"/>
  <c r="L9" i="1"/>
  <c r="L10" i="1"/>
  <c r="L11" i="1"/>
  <c r="L2" i="1"/>
</calcChain>
</file>

<file path=xl/sharedStrings.xml><?xml version="1.0" encoding="utf-8"?>
<sst xmlns="http://schemas.openxmlformats.org/spreadsheetml/2006/main" count="28" uniqueCount="28">
  <si>
    <t>Ameur</t>
  </si>
  <si>
    <t>Batitucci</t>
  </si>
  <si>
    <t>Bhutani</t>
  </si>
  <si>
    <t>Cho</t>
  </si>
  <si>
    <t>Cooke</t>
  </si>
  <si>
    <t>Ezpeleta</t>
  </si>
  <si>
    <t>Keawtep</t>
  </si>
  <si>
    <t>Maaloul</t>
  </si>
  <si>
    <t>Oh</t>
  </si>
  <si>
    <t>Haganesetal</t>
  </si>
  <si>
    <t>Author</t>
  </si>
  <si>
    <t>Year</t>
  </si>
  <si>
    <t>n_treat</t>
  </si>
  <si>
    <t>mean_treat</t>
  </si>
  <si>
    <t>sd_treat</t>
  </si>
  <si>
    <t>n_control</t>
  </si>
  <si>
    <t>mean_control</t>
  </si>
  <si>
    <t>sd_control</t>
  </si>
  <si>
    <t>md</t>
  </si>
  <si>
    <t>lCI_md</t>
  </si>
  <si>
    <t>uCI_md</t>
  </si>
  <si>
    <t>se_md</t>
  </si>
  <si>
    <t>d</t>
  </si>
  <si>
    <t>se_d</t>
  </si>
  <si>
    <t>J</t>
  </si>
  <si>
    <t>g</t>
  </si>
  <si>
    <t>se_g</t>
  </si>
  <si>
    <t>pooled_sd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</si>
</sst>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topLeftCell="B1" workbookViewId="0">
      <selection activeCell="R5" sqref="R5"/>
    </sheetView>
  </sheetViews>
  <sheetFormatPr defaultRowHeight="15" x14ac:dyDescent="0.25"/>
  <cols>
    <col min="1" max="1" width="11.85546875" bestFit="1" customWidth="1"/>
    <col min="2" max="2" width="5" bestFit="1" customWidth="1"/>
    <col min="3" max="3" width="7.42578125" bestFit="1" customWidth="1"/>
    <col min="4" max="4" width="11.28515625" bestFit="1" customWidth="1"/>
    <col min="5" max="5" width="8.28515625" bestFit="1" customWidth="1"/>
    <col min="6" max="6" width="9.42578125" bestFit="1" customWidth="1"/>
    <col min="7" max="7" width="13.42578125" bestFit="1" customWidth="1"/>
    <col min="8" max="8" width="10.28515625" bestFit="1" customWidth="1"/>
    <col min="9" max="9" width="5.7109375" bestFit="1" customWidth="1"/>
    <col min="10" max="10" width="7.140625" bestFit="1" customWidth="1"/>
    <col min="11" max="11" width="7.7109375" bestFit="1" customWidth="1"/>
  </cols>
  <sheetData>
    <row r="1" spans="1:18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27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</row>
    <row r="2" spans="1:18" x14ac:dyDescent="0.25">
      <c r="A2" t="s">
        <v>0</v>
      </c>
      <c r="B2">
        <v>2024</v>
      </c>
      <c r="C2">
        <v>20</v>
      </c>
      <c r="D2">
        <v>-8.3000000000000007</v>
      </c>
      <c r="E2">
        <v>4.97</v>
      </c>
      <c r="F2">
        <v>20</v>
      </c>
      <c r="G2">
        <v>-4</v>
      </c>
      <c r="H2">
        <v>4.21</v>
      </c>
      <c r="I2">
        <v>-4.3</v>
      </c>
      <c r="J2">
        <v>-7.16</v>
      </c>
      <c r="K2">
        <v>-1.44</v>
      </c>
      <c r="L2">
        <f>(K2-J2)/2/1.96</f>
        <v>1.4591836734693879</v>
      </c>
      <c r="M2">
        <f>L2/SQRT(1/C2+1/F2)</f>
        <v>4.614343932694676</v>
      </c>
      <c r="N2">
        <f>I2/M2</f>
        <v>-0.93187678740905944</v>
      </c>
      <c r="O2">
        <f>L2/M2</f>
        <v>0.31622776601683794</v>
      </c>
      <c r="P2">
        <f>1-3/(4*(C2+F2-2)-1)</f>
        <v>0.98013245033112584</v>
      </c>
      <c r="Q2">
        <f>-N2*P2</f>
        <v>0.91336267904993906</v>
      </c>
      <c r="R2">
        <f>O2*P2</f>
        <v>0.30994509516882129</v>
      </c>
    </row>
    <row r="3" spans="1:18" x14ac:dyDescent="0.25">
      <c r="A3" t="s">
        <v>1</v>
      </c>
      <c r="B3">
        <v>2024</v>
      </c>
      <c r="C3">
        <v>15</v>
      </c>
      <c r="D3">
        <v>-1.8</v>
      </c>
      <c r="E3">
        <v>1.69</v>
      </c>
      <c r="F3">
        <v>10</v>
      </c>
      <c r="G3">
        <v>-0.9</v>
      </c>
      <c r="H3">
        <v>2.59</v>
      </c>
      <c r="I3">
        <v>-0.9</v>
      </c>
      <c r="J3">
        <v>-2.72</v>
      </c>
      <c r="K3">
        <v>0.92</v>
      </c>
      <c r="L3">
        <f t="shared" ref="L3:L11" si="0">(K3-J3)/2/1.96</f>
        <v>0.9285714285714286</v>
      </c>
      <c r="M3">
        <f t="shared" ref="M3:M11" si="1">L3/SQRT(1/C3+1/F3)</f>
        <v>2.2745261897272369</v>
      </c>
      <c r="N3">
        <f t="shared" ref="N3:N11" si="2">I3/M3</f>
        <v>-0.39568680460343647</v>
      </c>
      <c r="O3">
        <f t="shared" ref="O3:O11" si="3">L3/M3</f>
        <v>0.40824829046386302</v>
      </c>
      <c r="P3">
        <f t="shared" ref="P3:P11" si="4">1-3/(4*(C3+F3-2)-1)</f>
        <v>0.96703296703296704</v>
      </c>
      <c r="Q3">
        <f t="shared" ref="Q3:Q11" si="5">-N3*P3</f>
        <v>0.38264218467145505</v>
      </c>
      <c r="R3">
        <f t="shared" ref="R3:R11" si="6">O3*P3</f>
        <v>0.39478955561340601</v>
      </c>
    </row>
    <row r="4" spans="1:18" x14ac:dyDescent="0.25">
      <c r="A4" t="s">
        <v>2</v>
      </c>
      <c r="B4">
        <v>2013</v>
      </c>
      <c r="C4">
        <v>16</v>
      </c>
      <c r="D4">
        <v>-5</v>
      </c>
      <c r="E4">
        <v>4</v>
      </c>
      <c r="F4">
        <v>16</v>
      </c>
      <c r="G4">
        <v>-2</v>
      </c>
      <c r="H4">
        <v>4</v>
      </c>
      <c r="I4">
        <v>-3</v>
      </c>
      <c r="J4">
        <v>-5.77</v>
      </c>
      <c r="K4">
        <v>-0.23</v>
      </c>
      <c r="L4">
        <f t="shared" si="0"/>
        <v>1.4132653061224487</v>
      </c>
      <c r="M4">
        <f t="shared" si="1"/>
        <v>3.9973179262994614</v>
      </c>
      <c r="N4">
        <f>I4/M4</f>
        <v>-0.75050322624131782</v>
      </c>
      <c r="O4">
        <f t="shared" si="3"/>
        <v>0.35355339059327379</v>
      </c>
      <c r="P4">
        <f t="shared" si="4"/>
        <v>0.97478991596638653</v>
      </c>
      <c r="Q4">
        <f t="shared" si="5"/>
        <v>0.73158297684027618</v>
      </c>
      <c r="R4">
        <f t="shared" si="6"/>
        <v>0.3446402799060484</v>
      </c>
    </row>
    <row r="5" spans="1:18" x14ac:dyDescent="0.25">
      <c r="A5" t="s">
        <v>3</v>
      </c>
      <c r="B5">
        <v>2019</v>
      </c>
      <c r="C5">
        <v>9</v>
      </c>
      <c r="D5">
        <v>-3.2</v>
      </c>
      <c r="E5">
        <v>1.5</v>
      </c>
      <c r="F5">
        <v>8</v>
      </c>
      <c r="G5">
        <v>-3.2</v>
      </c>
      <c r="H5">
        <v>1.7</v>
      </c>
      <c r="I5">
        <v>0</v>
      </c>
      <c r="J5">
        <v>-1.53</v>
      </c>
      <c r="K5">
        <v>1.53</v>
      </c>
      <c r="L5">
        <f t="shared" si="0"/>
        <v>0.78061224489795922</v>
      </c>
      <c r="M5">
        <f t="shared" si="1"/>
        <v>1.6064867465390116</v>
      </c>
      <c r="N5">
        <f t="shared" si="2"/>
        <v>0</v>
      </c>
      <c r="O5">
        <f t="shared" si="3"/>
        <v>0.48591265790377497</v>
      </c>
      <c r="P5">
        <f t="shared" si="4"/>
        <v>0.94915254237288138</v>
      </c>
      <c r="Q5">
        <f t="shared" si="5"/>
        <v>0</v>
      </c>
      <c r="R5">
        <f t="shared" si="6"/>
        <v>0.4612052346205322</v>
      </c>
    </row>
    <row r="6" spans="1:18" x14ac:dyDescent="0.25">
      <c r="A6" t="s">
        <v>4</v>
      </c>
      <c r="B6">
        <v>2022</v>
      </c>
      <c r="C6">
        <v>11</v>
      </c>
      <c r="D6">
        <v>-2.93</v>
      </c>
      <c r="E6">
        <v>2.83</v>
      </c>
      <c r="F6">
        <v>8</v>
      </c>
      <c r="G6">
        <v>-3.58</v>
      </c>
      <c r="H6">
        <v>3.06</v>
      </c>
      <c r="I6">
        <v>0.65</v>
      </c>
      <c r="J6">
        <v>-2.0499999999999998</v>
      </c>
      <c r="K6">
        <v>3.35</v>
      </c>
      <c r="L6">
        <f t="shared" si="0"/>
        <v>1.3775510204081634</v>
      </c>
      <c r="M6">
        <f t="shared" si="1"/>
        <v>2.9646418050861629</v>
      </c>
      <c r="N6">
        <f t="shared" si="2"/>
        <v>0.21925077049269659</v>
      </c>
      <c r="O6">
        <f t="shared" si="3"/>
        <v>0.46466018864229264</v>
      </c>
      <c r="P6">
        <f t="shared" si="4"/>
        <v>0.95522388059701491</v>
      </c>
      <c r="Q6">
        <f t="shared" si="5"/>
        <v>-0.20943357181391914</v>
      </c>
      <c r="R6">
        <f t="shared" si="6"/>
        <v>0.44385450855383174</v>
      </c>
    </row>
    <row r="7" spans="1:18" x14ac:dyDescent="0.25">
      <c r="A7" t="s">
        <v>5</v>
      </c>
      <c r="B7">
        <v>2023</v>
      </c>
      <c r="C7">
        <v>20</v>
      </c>
      <c r="D7">
        <v>-3.24</v>
      </c>
      <c r="E7">
        <v>2.4500000000000002</v>
      </c>
      <c r="F7">
        <v>19</v>
      </c>
      <c r="G7">
        <v>-3.32</v>
      </c>
      <c r="H7">
        <v>2.39</v>
      </c>
      <c r="I7">
        <v>0.08</v>
      </c>
      <c r="J7">
        <v>-1.44</v>
      </c>
      <c r="K7">
        <v>1.6</v>
      </c>
      <c r="L7">
        <f t="shared" si="0"/>
        <v>0.77551020408163263</v>
      </c>
      <c r="M7">
        <f t="shared" si="1"/>
        <v>2.4207336730685993</v>
      </c>
      <c r="N7">
        <f t="shared" si="2"/>
        <v>3.304783210562335E-2</v>
      </c>
      <c r="O7">
        <f t="shared" si="3"/>
        <v>0.32036163775859372</v>
      </c>
      <c r="P7">
        <f t="shared" si="4"/>
        <v>0.97959183673469385</v>
      </c>
      <c r="Q7">
        <f t="shared" si="5"/>
        <v>-3.2373386552447363E-2</v>
      </c>
      <c r="R7">
        <f t="shared" si="6"/>
        <v>0.31382364515127548</v>
      </c>
    </row>
    <row r="8" spans="1:18" x14ac:dyDescent="0.25">
      <c r="A8" t="s">
        <v>9</v>
      </c>
      <c r="B8">
        <v>2022</v>
      </c>
      <c r="C8">
        <v>27</v>
      </c>
      <c r="D8">
        <v>-2.6</v>
      </c>
      <c r="E8">
        <v>4.76</v>
      </c>
      <c r="F8">
        <v>29</v>
      </c>
      <c r="G8">
        <v>-1.4</v>
      </c>
      <c r="H8">
        <v>4.6399999999999997</v>
      </c>
      <c r="I8">
        <v>-1.2</v>
      </c>
      <c r="J8">
        <v>-3.66</v>
      </c>
      <c r="K8">
        <v>1.26</v>
      </c>
      <c r="L8">
        <f t="shared" si="0"/>
        <v>1.2551020408163265</v>
      </c>
      <c r="M8">
        <f t="shared" si="1"/>
        <v>4.6931658653651525</v>
      </c>
      <c r="N8">
        <f t="shared" si="2"/>
        <v>-0.25569094177041912</v>
      </c>
      <c r="O8">
        <f t="shared" si="3"/>
        <v>0.26743185236191797</v>
      </c>
      <c r="P8">
        <f t="shared" si="4"/>
        <v>0.98604651162790702</v>
      </c>
      <c r="Q8">
        <f t="shared" si="5"/>
        <v>0.25212316118757605</v>
      </c>
      <c r="R8">
        <f t="shared" si="6"/>
        <v>0.26370024511965867</v>
      </c>
    </row>
    <row r="9" spans="1:18" x14ac:dyDescent="0.25">
      <c r="A9" t="s">
        <v>6</v>
      </c>
      <c r="B9">
        <v>2024</v>
      </c>
      <c r="C9">
        <v>23</v>
      </c>
      <c r="D9">
        <v>-2.5</v>
      </c>
      <c r="E9">
        <v>5.03</v>
      </c>
      <c r="F9">
        <v>23</v>
      </c>
      <c r="G9">
        <v>-1.39</v>
      </c>
      <c r="H9">
        <v>3.08</v>
      </c>
      <c r="I9">
        <v>-1.1100000000000001</v>
      </c>
      <c r="J9">
        <v>-3.52</v>
      </c>
      <c r="K9">
        <v>1.3</v>
      </c>
      <c r="L9">
        <f t="shared" si="0"/>
        <v>1.2295918367346941</v>
      </c>
      <c r="M9">
        <f t="shared" si="1"/>
        <v>4.1697487906458921</v>
      </c>
      <c r="N9">
        <f t="shared" si="2"/>
        <v>-0.26620308697974626</v>
      </c>
      <c r="O9">
        <f t="shared" si="3"/>
        <v>0.29488391230979433</v>
      </c>
      <c r="P9">
        <f t="shared" si="4"/>
        <v>0.98285714285714287</v>
      </c>
      <c r="Q9">
        <f t="shared" si="5"/>
        <v>0.26163960548866488</v>
      </c>
      <c r="R9">
        <f t="shared" si="6"/>
        <v>0.28982875952734072</v>
      </c>
    </row>
    <row r="10" spans="1:18" x14ac:dyDescent="0.25">
      <c r="A10" t="s">
        <v>7</v>
      </c>
      <c r="B10">
        <v>2023</v>
      </c>
      <c r="C10">
        <v>10</v>
      </c>
      <c r="D10">
        <v>-3.6</v>
      </c>
      <c r="E10">
        <v>5.41</v>
      </c>
      <c r="F10">
        <v>10</v>
      </c>
      <c r="G10">
        <v>-1.4</v>
      </c>
      <c r="H10">
        <v>3.97</v>
      </c>
      <c r="I10">
        <v>-2.2000000000000002</v>
      </c>
      <c r="J10">
        <v>-6.36</v>
      </c>
      <c r="K10">
        <v>1.96</v>
      </c>
      <c r="L10">
        <f t="shared" si="0"/>
        <v>2.1224489795918369</v>
      </c>
      <c r="M10">
        <f t="shared" si="1"/>
        <v>4.7459401971424109</v>
      </c>
      <c r="N10">
        <f t="shared" si="2"/>
        <v>-0.46355409225861027</v>
      </c>
      <c r="O10">
        <f t="shared" si="3"/>
        <v>0.44721359549995798</v>
      </c>
      <c r="P10">
        <f t="shared" si="4"/>
        <v>0.95774647887323949</v>
      </c>
      <c r="Q10">
        <f t="shared" si="5"/>
        <v>0.44396729962796477</v>
      </c>
      <c r="R10">
        <f t="shared" si="6"/>
        <v>0.428317246394326</v>
      </c>
    </row>
    <row r="11" spans="1:18" x14ac:dyDescent="0.25">
      <c r="A11" t="s">
        <v>8</v>
      </c>
      <c r="B11">
        <v>2018</v>
      </c>
      <c r="C11">
        <v>12</v>
      </c>
      <c r="D11">
        <v>-2.7</v>
      </c>
      <c r="E11">
        <v>2</v>
      </c>
      <c r="F11">
        <v>13</v>
      </c>
      <c r="G11">
        <v>-1.6</v>
      </c>
      <c r="H11">
        <v>2.2999999999999998</v>
      </c>
      <c r="I11">
        <v>-1.1000000000000001</v>
      </c>
      <c r="J11">
        <v>-2.79</v>
      </c>
      <c r="K11">
        <v>0.59</v>
      </c>
      <c r="L11">
        <f t="shared" si="0"/>
        <v>0.86224489795918369</v>
      </c>
      <c r="M11">
        <f t="shared" si="1"/>
        <v>2.1538870647537331</v>
      </c>
      <c r="N11">
        <f t="shared" si="2"/>
        <v>-0.51070458521267437</v>
      </c>
      <c r="O11">
        <f t="shared" si="3"/>
        <v>0.40032038451271784</v>
      </c>
      <c r="P11">
        <f t="shared" si="4"/>
        <v>0.96703296703296704</v>
      </c>
      <c r="Q11">
        <f t="shared" si="5"/>
        <v>0.49386817031555325</v>
      </c>
      <c r="R11">
        <f t="shared" si="6"/>
        <v>0.38712300919911175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2026-03-20T11:39:12Z</dcterms:modified>
</cp:coreProperties>
</file>